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How to use" sheetId="2" state="visible" r:id="rId2"/>
    <sheet xmlns:r="http://schemas.openxmlformats.org/officeDocument/2006/relationships" name="Submissions" sheetId="3" state="visible" r:id="rId3"/>
    <sheet xmlns:r="http://schemas.openxmlformats.org/officeDocument/2006/relationships" name="Papers" sheetId="4" state="visible" r:id="rId4"/>
    <sheet xmlns:r="http://schemas.openxmlformats.org/officeDocument/2006/relationships" name="Journals" sheetId="5" state="visible" r:id="rId5"/>
    <sheet xmlns:r="http://schemas.openxmlformats.org/officeDocument/2006/relationships" name="ABDC list" sheetId="6" state="visible" r:id="rId6"/>
  </sheets>
  <definedNames/>
  <calcPr calcId="124519" fullCalcOnLoad="1"/>
</workbook>
</file>

<file path=xl/styles.xml><?xml version="1.0" encoding="utf-8"?>
<styleSheet xmlns="http://schemas.openxmlformats.org/spreadsheetml/2006/main">
  <numFmts count="1">
    <numFmt numFmtId="164" formatCode="d-mmm-yyyy"/>
  </numFmts>
  <fonts count="10">
    <font>
      <name val="Calibri"/>
      <family val="2"/>
      <color theme="1"/>
      <sz val="11"/>
      <scheme val="minor"/>
    </font>
    <font>
      <b val="1"/>
      <color rgb="00FFFFFF"/>
    </font>
    <font>
      <i val="1"/>
      <color rgb="006B6862"/>
    </font>
    <font>
      <b val="1"/>
      <color rgb="002F5D8A"/>
      <sz val="18"/>
    </font>
    <font>
      <color rgb="006B6862"/>
    </font>
    <font>
      <b val="1"/>
    </font>
    <font>
      <b val="1"/>
      <color rgb="006B6862"/>
      <sz val="9"/>
    </font>
    <font>
      <b val="1"/>
      <color rgb="002F5D8A"/>
      <sz val="22"/>
    </font>
    <font>
      <b val="1"/>
      <color rgb="002F5D8A"/>
      <sz val="12"/>
    </font>
    <font>
      <b val="1"/>
      <color rgb="002F5D8A"/>
      <sz val="16"/>
    </font>
  </fonts>
  <fills count="3">
    <fill>
      <patternFill/>
    </fill>
    <fill>
      <patternFill patternType="gray125"/>
    </fill>
    <fill>
      <patternFill patternType="solid">
        <fgColor rgb="002F5D8A"/>
      </patternFill>
    </fill>
  </fills>
  <borders count="2">
    <border>
      <left/>
      <right/>
      <top/>
      <bottom/>
      <diagonal/>
    </border>
    <border>
      <bottom style="thin">
        <color rgb="00D9D6CF"/>
      </bottom>
    </border>
  </borders>
  <cellStyleXfs count="1">
    <xf numFmtId="0" fontId="0" fillId="0" borderId="0"/>
  </cellStyleXfs>
  <cellXfs count="16">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6" fillId="0" borderId="1" pivotButton="0" quotePrefix="0" xfId="0"/>
    <xf numFmtId="15" fontId="0" fillId="0" borderId="0" pivotButton="0" quotePrefix="0" xfId="0"/>
    <xf numFmtId="0" fontId="0" fillId="0" borderId="0" applyAlignment="1" pivotButton="0" quotePrefix="0" xfId="0">
      <alignment/>
    </xf>
    <xf numFmtId="0" fontId="9"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xf>
    <xf numFmtId="164" fontId="0" fillId="0" borderId="0" applyAlignment="1" pivotButton="0" quotePrefix="0" xfId="0">
      <alignment vertical="top"/>
    </xf>
    <xf numFmtId="0" fontId="2" fillId="0" borderId="0" pivotButton="0" quotePrefix="0" xfId="0"/>
  </cellXfs>
  <cellStyles count="1">
    <cellStyle name="Normal" xfId="0" builtinId="0" hidden="0"/>
  </cellStyles>
  <dxfs count="8">
    <dxf>
      <font>
        <b val="1"/>
        <color rgb="00A8322F"/>
      </font>
    </dxf>
    <dxf>
      <font>
        <color rgb="00B07A12"/>
      </font>
    </dxf>
    <dxf>
      <fill>
        <patternFill patternType="solid">
          <fgColor rgb="00E3ECF5"/>
        </patternFill>
      </fill>
    </dxf>
    <dxf>
      <font>
        <color rgb="009A3B37"/>
      </font>
    </dxf>
    <dxf>
      <fill>
        <patternFill patternType="solid">
          <fgColor rgb="00DFF1E6"/>
        </patternFill>
      </fill>
    </dxf>
    <dxf>
      <fill>
        <patternFill patternType="solid">
          <fgColor rgb="00FBE9DC"/>
        </patternFill>
      </fill>
    </dxf>
    <dxf>
      <font>
        <color rgb="006B6862"/>
      </font>
    </dxf>
    <dxf>
      <font>
        <color rgb="008A878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64"/>
  <sheetViews>
    <sheetView showGridLines="0" workbookViewId="0">
      <selection activeCell="A1" sqref="A1"/>
    </sheetView>
  </sheetViews>
  <sheetFormatPr baseColWidth="8" defaultRowHeight="15"/>
  <cols>
    <col width="2" customWidth="1" min="1" max="1"/>
    <col width="34" customWidth="1" min="2" max="2"/>
    <col width="34" customWidth="1" min="3" max="3"/>
    <col width="9" customWidth="1" min="4" max="4"/>
    <col width="13" customWidth="1" min="5" max="5"/>
    <col width="8" customWidth="1" min="6" max="6"/>
    <col width="26" customWidth="1" min="7" max="7"/>
    <col width="22" customWidth="1" min="8" max="8"/>
    <col width="2" customWidth="1" min="9" max="9"/>
  </cols>
  <sheetData>
    <row r="2">
      <c r="B2" s="1" t="inlineStr">
        <is>
          <t>SK research submissions</t>
        </is>
      </c>
    </row>
    <row r="3">
      <c r="B3" s="2">
        <f>"As of "&amp;TEXT(TODAY(),"d mmm yyyy")&amp;"  ·  edit Submissions, Papers and Journals; this page updates itself"</f>
        <v/>
      </c>
      <c r="G3" t="inlineStr">
        <is>
          <t>Chase editor after (days):</t>
        </is>
      </c>
      <c r="H3" s="3" t="n">
        <v>90</v>
      </c>
    </row>
    <row r="5">
      <c r="B5" s="4" t="inlineStr">
        <is>
          <t>PAPERS TRACKED</t>
        </is>
      </c>
      <c r="C5" s="4" t="inlineStr">
        <is>
          <t>UNDER REVIEW</t>
        </is>
      </c>
      <c r="E5" s="4" t="inlineStr">
        <is>
          <t>WAITING ON YOU</t>
        </is>
      </c>
      <c r="G5" s="4" t="inlineStr">
        <is>
          <t>SUBMISSIONS SENT</t>
        </is>
      </c>
      <c r="H5" s="4" t="inlineStr">
        <is>
          <t>ACCEPTED</t>
        </is>
      </c>
    </row>
    <row r="6">
      <c r="B6" s="5">
        <f>COUNTIFS(Papers!$A$2:$A$200,"&lt;&gt;",Papers!$G$2:$G$200,"&lt;&gt;Parked",Papers!$G$2:$G$200,"&lt;&gt;Closed – rejected",Papers!$G$2:$G$200,"&lt;&gt;Withdrawn",Papers!$G$2:$G$200,"&lt;&gt;Published")</f>
        <v/>
      </c>
      <c r="C6" s="5">
        <f>COUNTIF(Submissions!$E:$E,"Under review")</f>
        <v/>
      </c>
      <c r="E6" s="5">
        <f>COUNTIF(Papers!$G$2:$G$200,"Revision due")+COUNTIF(Papers!$G$2:$G$200,"Needs resubmission")+COUNTIF(Papers!$G$2:$G$200,"Not yet submitted")</f>
        <v/>
      </c>
      <c r="G6" s="5">
        <f>SUMPRODUCT((Submissions!$B$2:$B$2000&lt;&gt;"")*(Submissions!$E$2:$E$2000&lt;&gt;"Planned"))</f>
        <v/>
      </c>
      <c r="H6" s="5">
        <f>COUNTIF(Submissions!$E:$E,"Accepted")</f>
        <v/>
      </c>
    </row>
    <row r="9">
      <c r="B9" s="6" t="inlineStr">
        <is>
          <t>Under review now  (longest wait first)</t>
        </is>
      </c>
    </row>
    <row r="10">
      <c r="B10" s="7" t="inlineStr">
        <is>
          <t>PAPER</t>
        </is>
      </c>
      <c r="C10" s="7" t="inlineStr">
        <is>
          <t>JOURNAL</t>
        </is>
      </c>
      <c r="D10" s="7" t="inlineStr">
        <is>
          <t>ABDC</t>
        </is>
      </c>
      <c r="E10" s="7" t="inlineStr">
        <is>
          <t>SUBMITTED</t>
        </is>
      </c>
      <c r="F10" s="7" t="inlineStr">
        <is>
          <t>DAYS</t>
        </is>
      </c>
      <c r="G10" s="7" t="inlineStr">
        <is>
          <t>CHECK</t>
        </is>
      </c>
      <c r="H10" s="4" t="inlineStr">
        <is>
          <t>ON JOURNAL SITE</t>
        </is>
      </c>
    </row>
    <row r="11">
      <c r="B11">
        <f>IFERROR(INDEX(Submissions!$A:$A,MATCH(1,Submissions!$P:$P,0))&amp;"","")</f>
        <v/>
      </c>
      <c r="C11">
        <f>IFERROR(INDEX(Submissions!$B:$B,MATCH(1,Submissions!$P:$P,0))&amp;"","")</f>
        <v/>
      </c>
      <c r="D11">
        <f>IFERROR(INDEX(Submissions!$C:$C,MATCH(1,Submissions!$P:$P,0))&amp;"","")</f>
        <v/>
      </c>
      <c r="E11" s="8">
        <f>IFERROR(INDEX(Submissions!$F:$F,MATCH(1,Submissions!$P:$P,0)),"")</f>
        <v/>
      </c>
      <c r="F11">
        <f>IFERROR(INDEX(Submissions!$H:$H,MATCH(1,Submissions!$P:$P,0)),"")</f>
        <v/>
      </c>
      <c r="G11">
        <f>IF(F11="","",IF(F11&gt;=2*$H$3,"Overdue: chase editor",IF(F11&gt;=$H$3,"Check status","")))</f>
        <v/>
      </c>
      <c r="H11">
        <f>IFERROR(INDEX(Submissions!$L:$L,MATCH(1,Submissions!$P:$P,0))&amp;"","")</f>
        <v/>
      </c>
    </row>
    <row r="12">
      <c r="B12">
        <f>IFERROR(INDEX(Submissions!$A:$A,MATCH(2,Submissions!$P:$P,0))&amp;"","")</f>
        <v/>
      </c>
      <c r="C12">
        <f>IFERROR(INDEX(Submissions!$B:$B,MATCH(2,Submissions!$P:$P,0))&amp;"","")</f>
        <v/>
      </c>
      <c r="D12">
        <f>IFERROR(INDEX(Submissions!$C:$C,MATCH(2,Submissions!$P:$P,0))&amp;"","")</f>
        <v/>
      </c>
      <c r="E12" s="8">
        <f>IFERROR(INDEX(Submissions!$F:$F,MATCH(2,Submissions!$P:$P,0)),"")</f>
        <v/>
      </c>
      <c r="F12">
        <f>IFERROR(INDEX(Submissions!$H:$H,MATCH(2,Submissions!$P:$P,0)),"")</f>
        <v/>
      </c>
      <c r="G12">
        <f>IF(F12="","",IF(F12&gt;=2*$H$3,"Overdue: chase editor",IF(F12&gt;=$H$3,"Check status","")))</f>
        <v/>
      </c>
      <c r="H12">
        <f>IFERROR(INDEX(Submissions!$L:$L,MATCH(2,Submissions!$P:$P,0))&amp;"","")</f>
        <v/>
      </c>
    </row>
    <row r="13">
      <c r="B13">
        <f>IFERROR(INDEX(Submissions!$A:$A,MATCH(3,Submissions!$P:$P,0))&amp;"","")</f>
        <v/>
      </c>
      <c r="C13">
        <f>IFERROR(INDEX(Submissions!$B:$B,MATCH(3,Submissions!$P:$P,0))&amp;"","")</f>
        <v/>
      </c>
      <c r="D13">
        <f>IFERROR(INDEX(Submissions!$C:$C,MATCH(3,Submissions!$P:$P,0))&amp;"","")</f>
        <v/>
      </c>
      <c r="E13" s="8">
        <f>IFERROR(INDEX(Submissions!$F:$F,MATCH(3,Submissions!$P:$P,0)),"")</f>
        <v/>
      </c>
      <c r="F13">
        <f>IFERROR(INDEX(Submissions!$H:$H,MATCH(3,Submissions!$P:$P,0)),"")</f>
        <v/>
      </c>
      <c r="G13">
        <f>IF(F13="","",IF(F13&gt;=2*$H$3,"Overdue: chase editor",IF(F13&gt;=$H$3,"Check status","")))</f>
        <v/>
      </c>
      <c r="H13">
        <f>IFERROR(INDEX(Submissions!$L:$L,MATCH(3,Submissions!$P:$P,0))&amp;"","")</f>
        <v/>
      </c>
    </row>
    <row r="14">
      <c r="B14">
        <f>IFERROR(INDEX(Submissions!$A:$A,MATCH(4,Submissions!$P:$P,0))&amp;"","")</f>
        <v/>
      </c>
      <c r="C14">
        <f>IFERROR(INDEX(Submissions!$B:$B,MATCH(4,Submissions!$P:$P,0))&amp;"","")</f>
        <v/>
      </c>
      <c r="D14">
        <f>IFERROR(INDEX(Submissions!$C:$C,MATCH(4,Submissions!$P:$P,0))&amp;"","")</f>
        <v/>
      </c>
      <c r="E14" s="8">
        <f>IFERROR(INDEX(Submissions!$F:$F,MATCH(4,Submissions!$P:$P,0)),"")</f>
        <v/>
      </c>
      <c r="F14">
        <f>IFERROR(INDEX(Submissions!$H:$H,MATCH(4,Submissions!$P:$P,0)),"")</f>
        <v/>
      </c>
      <c r="G14">
        <f>IF(F14="","",IF(F14&gt;=2*$H$3,"Overdue: chase editor",IF(F14&gt;=$H$3,"Check status","")))</f>
        <v/>
      </c>
      <c r="H14">
        <f>IFERROR(INDEX(Submissions!$L:$L,MATCH(4,Submissions!$P:$P,0))&amp;"","")</f>
        <v/>
      </c>
    </row>
    <row r="15">
      <c r="B15">
        <f>IFERROR(INDEX(Submissions!$A:$A,MATCH(5,Submissions!$P:$P,0))&amp;"","")</f>
        <v/>
      </c>
      <c r="C15">
        <f>IFERROR(INDEX(Submissions!$B:$B,MATCH(5,Submissions!$P:$P,0))&amp;"","")</f>
        <v/>
      </c>
      <c r="D15">
        <f>IFERROR(INDEX(Submissions!$C:$C,MATCH(5,Submissions!$P:$P,0))&amp;"","")</f>
        <v/>
      </c>
      <c r="E15" s="8">
        <f>IFERROR(INDEX(Submissions!$F:$F,MATCH(5,Submissions!$P:$P,0)),"")</f>
        <v/>
      </c>
      <c r="F15">
        <f>IFERROR(INDEX(Submissions!$H:$H,MATCH(5,Submissions!$P:$P,0)),"")</f>
        <v/>
      </c>
      <c r="G15">
        <f>IF(F15="","",IF(F15&gt;=2*$H$3,"Overdue: chase editor",IF(F15&gt;=$H$3,"Check status","")))</f>
        <v/>
      </c>
      <c r="H15">
        <f>IFERROR(INDEX(Submissions!$L:$L,MATCH(5,Submissions!$P:$P,0))&amp;"","")</f>
        <v/>
      </c>
    </row>
    <row r="16">
      <c r="B16">
        <f>IFERROR(INDEX(Submissions!$A:$A,MATCH(6,Submissions!$P:$P,0))&amp;"","")</f>
        <v/>
      </c>
      <c r="C16">
        <f>IFERROR(INDEX(Submissions!$B:$B,MATCH(6,Submissions!$P:$P,0))&amp;"","")</f>
        <v/>
      </c>
      <c r="D16">
        <f>IFERROR(INDEX(Submissions!$C:$C,MATCH(6,Submissions!$P:$P,0))&amp;"","")</f>
        <v/>
      </c>
      <c r="E16" s="8">
        <f>IFERROR(INDEX(Submissions!$F:$F,MATCH(6,Submissions!$P:$P,0)),"")</f>
        <v/>
      </c>
      <c r="F16">
        <f>IFERROR(INDEX(Submissions!$H:$H,MATCH(6,Submissions!$P:$P,0)),"")</f>
        <v/>
      </c>
      <c r="G16">
        <f>IF(F16="","",IF(F16&gt;=2*$H$3,"Overdue: chase editor",IF(F16&gt;=$H$3,"Check status","")))</f>
        <v/>
      </c>
      <c r="H16">
        <f>IFERROR(INDEX(Submissions!$L:$L,MATCH(6,Submissions!$P:$P,0))&amp;"","")</f>
        <v/>
      </c>
    </row>
    <row r="17">
      <c r="B17">
        <f>IFERROR(INDEX(Submissions!$A:$A,MATCH(7,Submissions!$P:$P,0))&amp;"","")</f>
        <v/>
      </c>
      <c r="C17">
        <f>IFERROR(INDEX(Submissions!$B:$B,MATCH(7,Submissions!$P:$P,0))&amp;"","")</f>
        <v/>
      </c>
      <c r="D17">
        <f>IFERROR(INDEX(Submissions!$C:$C,MATCH(7,Submissions!$P:$P,0))&amp;"","")</f>
        <v/>
      </c>
      <c r="E17" s="8">
        <f>IFERROR(INDEX(Submissions!$F:$F,MATCH(7,Submissions!$P:$P,0)),"")</f>
        <v/>
      </c>
      <c r="F17">
        <f>IFERROR(INDEX(Submissions!$H:$H,MATCH(7,Submissions!$P:$P,0)),"")</f>
        <v/>
      </c>
      <c r="G17">
        <f>IF(F17="","",IF(F17&gt;=2*$H$3,"Overdue: chase editor",IF(F17&gt;=$H$3,"Check status","")))</f>
        <v/>
      </c>
      <c r="H17">
        <f>IFERROR(INDEX(Submissions!$L:$L,MATCH(7,Submissions!$P:$P,0))&amp;"","")</f>
        <v/>
      </c>
    </row>
    <row r="18">
      <c r="B18">
        <f>IFERROR(INDEX(Submissions!$A:$A,MATCH(8,Submissions!$P:$P,0))&amp;"","")</f>
        <v/>
      </c>
      <c r="C18">
        <f>IFERROR(INDEX(Submissions!$B:$B,MATCH(8,Submissions!$P:$P,0))&amp;"","")</f>
        <v/>
      </c>
      <c r="D18">
        <f>IFERROR(INDEX(Submissions!$C:$C,MATCH(8,Submissions!$P:$P,0))&amp;"","")</f>
        <v/>
      </c>
      <c r="E18" s="8">
        <f>IFERROR(INDEX(Submissions!$F:$F,MATCH(8,Submissions!$P:$P,0)),"")</f>
        <v/>
      </c>
      <c r="F18">
        <f>IFERROR(INDEX(Submissions!$H:$H,MATCH(8,Submissions!$P:$P,0)),"")</f>
        <v/>
      </c>
      <c r="G18">
        <f>IF(F18="","",IF(F18&gt;=2*$H$3,"Overdue: chase editor",IF(F18&gt;=$H$3,"Check status","")))</f>
        <v/>
      </c>
      <c r="H18">
        <f>IFERROR(INDEX(Submissions!$L:$L,MATCH(8,Submissions!$P:$P,0))&amp;"","")</f>
        <v/>
      </c>
    </row>
    <row r="19">
      <c r="B19">
        <f>IFERROR(INDEX(Submissions!$A:$A,MATCH(9,Submissions!$P:$P,0))&amp;"","")</f>
        <v/>
      </c>
      <c r="C19">
        <f>IFERROR(INDEX(Submissions!$B:$B,MATCH(9,Submissions!$P:$P,0))&amp;"","")</f>
        <v/>
      </c>
      <c r="D19">
        <f>IFERROR(INDEX(Submissions!$C:$C,MATCH(9,Submissions!$P:$P,0))&amp;"","")</f>
        <v/>
      </c>
      <c r="E19" s="8">
        <f>IFERROR(INDEX(Submissions!$F:$F,MATCH(9,Submissions!$P:$P,0)),"")</f>
        <v/>
      </c>
      <c r="F19">
        <f>IFERROR(INDEX(Submissions!$H:$H,MATCH(9,Submissions!$P:$P,0)),"")</f>
        <v/>
      </c>
      <c r="G19">
        <f>IF(F19="","",IF(F19&gt;=2*$H$3,"Overdue: chase editor",IF(F19&gt;=$H$3,"Check status","")))</f>
        <v/>
      </c>
      <c r="H19">
        <f>IFERROR(INDEX(Submissions!$L:$L,MATCH(9,Submissions!$P:$P,0))&amp;"","")</f>
        <v/>
      </c>
    </row>
    <row r="20">
      <c r="B20">
        <f>IFERROR(INDEX(Submissions!$A:$A,MATCH(10,Submissions!$P:$P,0))&amp;"","")</f>
        <v/>
      </c>
      <c r="C20">
        <f>IFERROR(INDEX(Submissions!$B:$B,MATCH(10,Submissions!$P:$P,0))&amp;"","")</f>
        <v/>
      </c>
      <c r="D20">
        <f>IFERROR(INDEX(Submissions!$C:$C,MATCH(10,Submissions!$P:$P,0))&amp;"","")</f>
        <v/>
      </c>
      <c r="E20" s="8">
        <f>IFERROR(INDEX(Submissions!$F:$F,MATCH(10,Submissions!$P:$P,0)),"")</f>
        <v/>
      </c>
      <c r="F20">
        <f>IFERROR(INDEX(Submissions!$H:$H,MATCH(10,Submissions!$P:$P,0)),"")</f>
        <v/>
      </c>
      <c r="G20">
        <f>IF(F20="","",IF(F20&gt;=2*$H$3,"Overdue: chase editor",IF(F20&gt;=$H$3,"Check status","")))</f>
        <v/>
      </c>
      <c r="H20">
        <f>IFERROR(INDEX(Submissions!$L:$L,MATCH(10,Submissions!$P:$P,0))&amp;"","")</f>
        <v/>
      </c>
    </row>
    <row r="21">
      <c r="B21">
        <f>IFERROR(INDEX(Submissions!$A:$A,MATCH(11,Submissions!$P:$P,0))&amp;"","")</f>
        <v/>
      </c>
      <c r="C21">
        <f>IFERROR(INDEX(Submissions!$B:$B,MATCH(11,Submissions!$P:$P,0))&amp;"","")</f>
        <v/>
      </c>
      <c r="D21">
        <f>IFERROR(INDEX(Submissions!$C:$C,MATCH(11,Submissions!$P:$P,0))&amp;"","")</f>
        <v/>
      </c>
      <c r="E21" s="8">
        <f>IFERROR(INDEX(Submissions!$F:$F,MATCH(11,Submissions!$P:$P,0)),"")</f>
        <v/>
      </c>
      <c r="F21">
        <f>IFERROR(INDEX(Submissions!$H:$H,MATCH(11,Submissions!$P:$P,0)),"")</f>
        <v/>
      </c>
      <c r="G21">
        <f>IF(F21="","",IF(F21&gt;=2*$H$3,"Overdue: chase editor",IF(F21&gt;=$H$3,"Check status","")))</f>
        <v/>
      </c>
      <c r="H21">
        <f>IFERROR(INDEX(Submissions!$L:$L,MATCH(11,Submissions!$P:$P,0))&amp;"","")</f>
        <v/>
      </c>
    </row>
    <row r="22">
      <c r="B22">
        <f>IFERROR(INDEX(Submissions!$A:$A,MATCH(12,Submissions!$P:$P,0))&amp;"","")</f>
        <v/>
      </c>
      <c r="C22">
        <f>IFERROR(INDEX(Submissions!$B:$B,MATCH(12,Submissions!$P:$P,0))&amp;"","")</f>
        <v/>
      </c>
      <c r="D22">
        <f>IFERROR(INDEX(Submissions!$C:$C,MATCH(12,Submissions!$P:$P,0))&amp;"","")</f>
        <v/>
      </c>
      <c r="E22" s="8">
        <f>IFERROR(INDEX(Submissions!$F:$F,MATCH(12,Submissions!$P:$P,0)),"")</f>
        <v/>
      </c>
      <c r="F22">
        <f>IFERROR(INDEX(Submissions!$H:$H,MATCH(12,Submissions!$P:$P,0)),"")</f>
        <v/>
      </c>
      <c r="G22">
        <f>IF(F22="","",IF(F22&gt;=2*$H$3,"Overdue: chase editor",IF(F22&gt;=$H$3,"Check status","")))</f>
        <v/>
      </c>
      <c r="H22">
        <f>IFERROR(INDEX(Submissions!$L:$L,MATCH(12,Submissions!$P:$P,0))&amp;"","")</f>
        <v/>
      </c>
    </row>
    <row r="23">
      <c r="B23">
        <f>IFERROR(INDEX(Submissions!$A:$A,MATCH(13,Submissions!$P:$P,0))&amp;"","")</f>
        <v/>
      </c>
      <c r="C23">
        <f>IFERROR(INDEX(Submissions!$B:$B,MATCH(13,Submissions!$P:$P,0))&amp;"","")</f>
        <v/>
      </c>
      <c r="D23">
        <f>IFERROR(INDEX(Submissions!$C:$C,MATCH(13,Submissions!$P:$P,0))&amp;"","")</f>
        <v/>
      </c>
      <c r="E23" s="8">
        <f>IFERROR(INDEX(Submissions!$F:$F,MATCH(13,Submissions!$P:$P,0)),"")</f>
        <v/>
      </c>
      <c r="F23">
        <f>IFERROR(INDEX(Submissions!$H:$H,MATCH(13,Submissions!$P:$P,0)),"")</f>
        <v/>
      </c>
      <c r="G23">
        <f>IF(F23="","",IF(F23&gt;=2*$H$3,"Overdue: chase editor",IF(F23&gt;=$H$3,"Check status","")))</f>
        <v/>
      </c>
      <c r="H23">
        <f>IFERROR(INDEX(Submissions!$L:$L,MATCH(13,Submissions!$P:$P,0))&amp;"","")</f>
        <v/>
      </c>
    </row>
    <row r="24">
      <c r="B24">
        <f>IFERROR(INDEX(Submissions!$A:$A,MATCH(14,Submissions!$P:$P,0))&amp;"","")</f>
        <v/>
      </c>
      <c r="C24">
        <f>IFERROR(INDEX(Submissions!$B:$B,MATCH(14,Submissions!$P:$P,0))&amp;"","")</f>
        <v/>
      </c>
      <c r="D24">
        <f>IFERROR(INDEX(Submissions!$C:$C,MATCH(14,Submissions!$P:$P,0))&amp;"","")</f>
        <v/>
      </c>
      <c r="E24" s="8">
        <f>IFERROR(INDEX(Submissions!$F:$F,MATCH(14,Submissions!$P:$P,0)),"")</f>
        <v/>
      </c>
      <c r="F24">
        <f>IFERROR(INDEX(Submissions!$H:$H,MATCH(14,Submissions!$P:$P,0)),"")</f>
        <v/>
      </c>
      <c r="G24">
        <f>IF(F24="","",IF(F24&gt;=2*$H$3,"Overdue: chase editor",IF(F24&gt;=$H$3,"Check status","")))</f>
        <v/>
      </c>
      <c r="H24">
        <f>IFERROR(INDEX(Submissions!$L:$L,MATCH(14,Submissions!$P:$P,0))&amp;"","")</f>
        <v/>
      </c>
    </row>
    <row r="25">
      <c r="B25">
        <f>IFERROR(INDEX(Submissions!$A:$A,MATCH(15,Submissions!$P:$P,0))&amp;"","")</f>
        <v/>
      </c>
      <c r="C25">
        <f>IFERROR(INDEX(Submissions!$B:$B,MATCH(15,Submissions!$P:$P,0))&amp;"","")</f>
        <v/>
      </c>
      <c r="D25">
        <f>IFERROR(INDEX(Submissions!$C:$C,MATCH(15,Submissions!$P:$P,0))&amp;"","")</f>
        <v/>
      </c>
      <c r="E25" s="8">
        <f>IFERROR(INDEX(Submissions!$F:$F,MATCH(15,Submissions!$P:$P,0)),"")</f>
        <v/>
      </c>
      <c r="F25">
        <f>IFERROR(INDEX(Submissions!$H:$H,MATCH(15,Submissions!$P:$P,0)),"")</f>
        <v/>
      </c>
      <c r="G25">
        <f>IF(F25="","",IF(F25&gt;=2*$H$3,"Overdue: chase editor",IF(F25&gt;=$H$3,"Check status","")))</f>
        <v/>
      </c>
      <c r="H25">
        <f>IFERROR(INDEX(Submissions!$L:$L,MATCH(15,Submissions!$P:$P,0))&amp;"","")</f>
        <v/>
      </c>
    </row>
    <row r="26">
      <c r="B26">
        <f>IFERROR(INDEX(Submissions!$A:$A,MATCH(16,Submissions!$P:$P,0))&amp;"","")</f>
        <v/>
      </c>
      <c r="C26">
        <f>IFERROR(INDEX(Submissions!$B:$B,MATCH(16,Submissions!$P:$P,0))&amp;"","")</f>
        <v/>
      </c>
      <c r="D26">
        <f>IFERROR(INDEX(Submissions!$C:$C,MATCH(16,Submissions!$P:$P,0))&amp;"","")</f>
        <v/>
      </c>
      <c r="E26" s="8">
        <f>IFERROR(INDEX(Submissions!$F:$F,MATCH(16,Submissions!$P:$P,0)),"")</f>
        <v/>
      </c>
      <c r="F26">
        <f>IFERROR(INDEX(Submissions!$H:$H,MATCH(16,Submissions!$P:$P,0)),"")</f>
        <v/>
      </c>
      <c r="G26">
        <f>IF(F26="","",IF(F26&gt;=2*$H$3,"Overdue: chase editor",IF(F26&gt;=$H$3,"Check status","")))</f>
        <v/>
      </c>
      <c r="H26">
        <f>IFERROR(INDEX(Submissions!$L:$L,MATCH(16,Submissions!$P:$P,0))&amp;"","")</f>
        <v/>
      </c>
    </row>
    <row r="27">
      <c r="B27">
        <f>IFERROR(INDEX(Submissions!$A:$A,MATCH(17,Submissions!$P:$P,0))&amp;"","")</f>
        <v/>
      </c>
      <c r="C27">
        <f>IFERROR(INDEX(Submissions!$B:$B,MATCH(17,Submissions!$P:$P,0))&amp;"","")</f>
        <v/>
      </c>
      <c r="D27">
        <f>IFERROR(INDEX(Submissions!$C:$C,MATCH(17,Submissions!$P:$P,0))&amp;"","")</f>
        <v/>
      </c>
      <c r="E27" s="8">
        <f>IFERROR(INDEX(Submissions!$F:$F,MATCH(17,Submissions!$P:$P,0)),"")</f>
        <v/>
      </c>
      <c r="F27">
        <f>IFERROR(INDEX(Submissions!$H:$H,MATCH(17,Submissions!$P:$P,0)),"")</f>
        <v/>
      </c>
      <c r="G27">
        <f>IF(F27="","",IF(F27&gt;=2*$H$3,"Overdue: chase editor",IF(F27&gt;=$H$3,"Check status","")))</f>
        <v/>
      </c>
      <c r="H27">
        <f>IFERROR(INDEX(Submissions!$L:$L,MATCH(17,Submissions!$P:$P,0))&amp;"","")</f>
        <v/>
      </c>
    </row>
    <row r="28">
      <c r="B28">
        <f>IFERROR(INDEX(Submissions!$A:$A,MATCH(18,Submissions!$P:$P,0))&amp;"","")</f>
        <v/>
      </c>
      <c r="C28">
        <f>IFERROR(INDEX(Submissions!$B:$B,MATCH(18,Submissions!$P:$P,0))&amp;"","")</f>
        <v/>
      </c>
      <c r="D28">
        <f>IFERROR(INDEX(Submissions!$C:$C,MATCH(18,Submissions!$P:$P,0))&amp;"","")</f>
        <v/>
      </c>
      <c r="E28" s="8">
        <f>IFERROR(INDEX(Submissions!$F:$F,MATCH(18,Submissions!$P:$P,0)),"")</f>
        <v/>
      </c>
      <c r="F28">
        <f>IFERROR(INDEX(Submissions!$H:$H,MATCH(18,Submissions!$P:$P,0)),"")</f>
        <v/>
      </c>
      <c r="G28">
        <f>IF(F28="","",IF(F28&gt;=2*$H$3,"Overdue: chase editor",IF(F28&gt;=$H$3,"Check status","")))</f>
        <v/>
      </c>
      <c r="H28">
        <f>IFERROR(INDEX(Submissions!$L:$L,MATCH(18,Submissions!$P:$P,0))&amp;"","")</f>
        <v/>
      </c>
    </row>
    <row r="29">
      <c r="B29">
        <f>IFERROR(INDEX(Submissions!$A:$A,MATCH(19,Submissions!$P:$P,0))&amp;"","")</f>
        <v/>
      </c>
      <c r="C29">
        <f>IFERROR(INDEX(Submissions!$B:$B,MATCH(19,Submissions!$P:$P,0))&amp;"","")</f>
        <v/>
      </c>
      <c r="D29">
        <f>IFERROR(INDEX(Submissions!$C:$C,MATCH(19,Submissions!$P:$P,0))&amp;"","")</f>
        <v/>
      </c>
      <c r="E29" s="8">
        <f>IFERROR(INDEX(Submissions!$F:$F,MATCH(19,Submissions!$P:$P,0)),"")</f>
        <v/>
      </c>
      <c r="F29">
        <f>IFERROR(INDEX(Submissions!$H:$H,MATCH(19,Submissions!$P:$P,0)),"")</f>
        <v/>
      </c>
      <c r="G29">
        <f>IF(F29="","",IF(F29&gt;=2*$H$3,"Overdue: chase editor",IF(F29&gt;=$H$3,"Check status","")))</f>
        <v/>
      </c>
      <c r="H29">
        <f>IFERROR(INDEX(Submissions!$L:$L,MATCH(19,Submissions!$P:$P,0))&amp;"","")</f>
        <v/>
      </c>
    </row>
    <row r="30">
      <c r="B30">
        <f>IFERROR(INDEX(Submissions!$A:$A,MATCH(20,Submissions!$P:$P,0))&amp;"","")</f>
        <v/>
      </c>
      <c r="C30">
        <f>IFERROR(INDEX(Submissions!$B:$B,MATCH(20,Submissions!$P:$P,0))&amp;"","")</f>
        <v/>
      </c>
      <c r="D30">
        <f>IFERROR(INDEX(Submissions!$C:$C,MATCH(20,Submissions!$P:$P,0))&amp;"","")</f>
        <v/>
      </c>
      <c r="E30" s="8">
        <f>IFERROR(INDEX(Submissions!$F:$F,MATCH(20,Submissions!$P:$P,0)),"")</f>
        <v/>
      </c>
      <c r="F30">
        <f>IFERROR(INDEX(Submissions!$H:$H,MATCH(20,Submissions!$P:$P,0)),"")</f>
        <v/>
      </c>
      <c r="G30">
        <f>IF(F30="","",IF(F30&gt;=2*$H$3,"Overdue: chase editor",IF(F30&gt;=$H$3,"Check status","")))</f>
        <v/>
      </c>
      <c r="H30">
        <f>IFERROR(INDEX(Submissions!$L:$L,MATCH(20,Submissions!$P:$P,0))&amp;"","")</f>
        <v/>
      </c>
    </row>
    <row r="31">
      <c r="B31">
        <f>IFERROR(INDEX(Submissions!$A:$A,MATCH(21,Submissions!$P:$P,0))&amp;"","")</f>
        <v/>
      </c>
      <c r="C31">
        <f>IFERROR(INDEX(Submissions!$B:$B,MATCH(21,Submissions!$P:$P,0))&amp;"","")</f>
        <v/>
      </c>
      <c r="D31">
        <f>IFERROR(INDEX(Submissions!$C:$C,MATCH(21,Submissions!$P:$P,0))&amp;"","")</f>
        <v/>
      </c>
      <c r="E31" s="8">
        <f>IFERROR(INDEX(Submissions!$F:$F,MATCH(21,Submissions!$P:$P,0)),"")</f>
        <v/>
      </c>
      <c r="F31">
        <f>IFERROR(INDEX(Submissions!$H:$H,MATCH(21,Submissions!$P:$P,0)),"")</f>
        <v/>
      </c>
      <c r="G31">
        <f>IF(F31="","",IF(F31&gt;=2*$H$3,"Overdue: chase editor",IF(F31&gt;=$H$3,"Check status","")))</f>
        <v/>
      </c>
      <c r="H31">
        <f>IFERROR(INDEX(Submissions!$L:$L,MATCH(21,Submissions!$P:$P,0))&amp;"","")</f>
        <v/>
      </c>
    </row>
    <row r="32">
      <c r="B32">
        <f>IFERROR(INDEX(Submissions!$A:$A,MATCH(22,Submissions!$P:$P,0))&amp;"","")</f>
        <v/>
      </c>
      <c r="C32">
        <f>IFERROR(INDEX(Submissions!$B:$B,MATCH(22,Submissions!$P:$P,0))&amp;"","")</f>
        <v/>
      </c>
      <c r="D32">
        <f>IFERROR(INDEX(Submissions!$C:$C,MATCH(22,Submissions!$P:$P,0))&amp;"","")</f>
        <v/>
      </c>
      <c r="E32" s="8">
        <f>IFERROR(INDEX(Submissions!$F:$F,MATCH(22,Submissions!$P:$P,0)),"")</f>
        <v/>
      </c>
      <c r="F32">
        <f>IFERROR(INDEX(Submissions!$H:$H,MATCH(22,Submissions!$P:$P,0)),"")</f>
        <v/>
      </c>
      <c r="G32">
        <f>IF(F32="","",IF(F32&gt;=2*$H$3,"Overdue: chase editor",IF(F32&gt;=$H$3,"Check status","")))</f>
        <v/>
      </c>
      <c r="H32">
        <f>IFERROR(INDEX(Submissions!$L:$L,MATCH(22,Submissions!$P:$P,0))&amp;"","")</f>
        <v/>
      </c>
    </row>
    <row r="33">
      <c r="B33">
        <f>IFERROR(INDEX(Submissions!$A:$A,MATCH(23,Submissions!$P:$P,0))&amp;"","")</f>
        <v/>
      </c>
      <c r="C33">
        <f>IFERROR(INDEX(Submissions!$B:$B,MATCH(23,Submissions!$P:$P,0))&amp;"","")</f>
        <v/>
      </c>
      <c r="D33">
        <f>IFERROR(INDEX(Submissions!$C:$C,MATCH(23,Submissions!$P:$P,0))&amp;"","")</f>
        <v/>
      </c>
      <c r="E33" s="8">
        <f>IFERROR(INDEX(Submissions!$F:$F,MATCH(23,Submissions!$P:$P,0)),"")</f>
        <v/>
      </c>
      <c r="F33">
        <f>IFERROR(INDEX(Submissions!$H:$H,MATCH(23,Submissions!$P:$P,0)),"")</f>
        <v/>
      </c>
      <c r="G33">
        <f>IF(F33="","",IF(F33&gt;=2*$H$3,"Overdue: chase editor",IF(F33&gt;=$H$3,"Check status","")))</f>
        <v/>
      </c>
      <c r="H33">
        <f>IFERROR(INDEX(Submissions!$L:$L,MATCH(23,Submissions!$P:$P,0))&amp;"","")</f>
        <v/>
      </c>
    </row>
    <row r="34">
      <c r="B34">
        <f>IFERROR(INDEX(Submissions!$A:$A,MATCH(24,Submissions!$P:$P,0))&amp;"","")</f>
        <v/>
      </c>
      <c r="C34">
        <f>IFERROR(INDEX(Submissions!$B:$B,MATCH(24,Submissions!$P:$P,0))&amp;"","")</f>
        <v/>
      </c>
      <c r="D34">
        <f>IFERROR(INDEX(Submissions!$C:$C,MATCH(24,Submissions!$P:$P,0))&amp;"","")</f>
        <v/>
      </c>
      <c r="E34" s="8">
        <f>IFERROR(INDEX(Submissions!$F:$F,MATCH(24,Submissions!$P:$P,0)),"")</f>
        <v/>
      </c>
      <c r="F34">
        <f>IFERROR(INDEX(Submissions!$H:$H,MATCH(24,Submissions!$P:$P,0)),"")</f>
        <v/>
      </c>
      <c r="G34">
        <f>IF(F34="","",IF(F34&gt;=2*$H$3,"Overdue: chase editor",IF(F34&gt;=$H$3,"Check status","")))</f>
        <v/>
      </c>
      <c r="H34">
        <f>IFERROR(INDEX(Submissions!$L:$L,MATCH(24,Submissions!$P:$P,0))&amp;"","")</f>
        <v/>
      </c>
    </row>
    <row r="35">
      <c r="B35">
        <f>IFERROR(INDEX(Submissions!$A:$A,MATCH(25,Submissions!$P:$P,0))&amp;"","")</f>
        <v/>
      </c>
      <c r="C35">
        <f>IFERROR(INDEX(Submissions!$B:$B,MATCH(25,Submissions!$P:$P,0))&amp;"","")</f>
        <v/>
      </c>
      <c r="D35">
        <f>IFERROR(INDEX(Submissions!$C:$C,MATCH(25,Submissions!$P:$P,0))&amp;"","")</f>
        <v/>
      </c>
      <c r="E35" s="8">
        <f>IFERROR(INDEX(Submissions!$F:$F,MATCH(25,Submissions!$P:$P,0)),"")</f>
        <v/>
      </c>
      <c r="F35">
        <f>IFERROR(INDEX(Submissions!$H:$H,MATCH(25,Submissions!$P:$P,0)),"")</f>
        <v/>
      </c>
      <c r="G35">
        <f>IF(F35="","",IF(F35&gt;=2*$H$3,"Overdue: chase editor",IF(F35&gt;=$H$3,"Check status","")))</f>
        <v/>
      </c>
      <c r="H35">
        <f>IFERROR(INDEX(Submissions!$L:$L,MATCH(25,Submissions!$P:$P,0))&amp;"","")</f>
        <v/>
      </c>
    </row>
    <row r="38">
      <c r="B38" s="6" t="inlineStr">
        <is>
          <t>Waiting on you  (revisions first, then papers to resubmit, then not yet submitted)</t>
        </is>
      </c>
    </row>
    <row r="39">
      <c r="B39" s="4" t="inlineStr">
        <is>
          <t>PAPER</t>
        </is>
      </c>
      <c r="C39" s="4" t="inlineStr">
        <is>
          <t>STAGE</t>
        </is>
      </c>
      <c r="D39" s="4" t="inlineStr"/>
      <c r="E39" s="4" t="inlineStr">
        <is>
          <t>NEXT IN YOUR QUEUE</t>
        </is>
      </c>
      <c r="G39" s="4" t="inlineStr">
        <is>
          <t>SUGGESTED (ABDC)</t>
        </is>
      </c>
    </row>
    <row r="40">
      <c r="B40">
        <f>IFERROR(INDEX(Papers!$A:$A,MATCH(1,Papers!$O:$O,0))&amp;"","")</f>
        <v/>
      </c>
      <c r="C40">
        <f>IFERROR(INDEX(Papers!$G:$G,MATCH(1,Papers!$O:$O,0))&amp;"","")</f>
        <v/>
      </c>
      <c r="E40">
        <f>IFERROR(INDEX(Papers!$K:$K,MATCH(1,Papers!$O:$O,0))&amp;"","")</f>
        <v/>
      </c>
      <c r="G40" s="9">
        <f>IFERROR(INDEX(Papers!$L:$L,MATCH(1,Papers!$O:$O,0))&amp;"","")</f>
        <v/>
      </c>
    </row>
    <row r="41">
      <c r="B41">
        <f>IFERROR(INDEX(Papers!$A:$A,MATCH(2,Papers!$O:$O,0))&amp;"","")</f>
        <v/>
      </c>
      <c r="C41">
        <f>IFERROR(INDEX(Papers!$G:$G,MATCH(2,Papers!$O:$O,0))&amp;"","")</f>
        <v/>
      </c>
      <c r="E41">
        <f>IFERROR(INDEX(Papers!$K:$K,MATCH(2,Papers!$O:$O,0))&amp;"","")</f>
        <v/>
      </c>
      <c r="G41" s="9">
        <f>IFERROR(INDEX(Papers!$L:$L,MATCH(2,Papers!$O:$O,0))&amp;"","")</f>
        <v/>
      </c>
    </row>
    <row r="42">
      <c r="B42">
        <f>IFERROR(INDEX(Papers!$A:$A,MATCH(3,Papers!$O:$O,0))&amp;"","")</f>
        <v/>
      </c>
      <c r="C42">
        <f>IFERROR(INDEX(Papers!$G:$G,MATCH(3,Papers!$O:$O,0))&amp;"","")</f>
        <v/>
      </c>
      <c r="E42">
        <f>IFERROR(INDEX(Papers!$K:$K,MATCH(3,Papers!$O:$O,0))&amp;"","")</f>
        <v/>
      </c>
      <c r="G42" s="9">
        <f>IFERROR(INDEX(Papers!$L:$L,MATCH(3,Papers!$O:$O,0))&amp;"","")</f>
        <v/>
      </c>
    </row>
    <row r="43">
      <c r="B43">
        <f>IFERROR(INDEX(Papers!$A:$A,MATCH(4,Papers!$O:$O,0))&amp;"","")</f>
        <v/>
      </c>
      <c r="C43">
        <f>IFERROR(INDEX(Papers!$G:$G,MATCH(4,Papers!$O:$O,0))&amp;"","")</f>
        <v/>
      </c>
      <c r="E43">
        <f>IFERROR(INDEX(Papers!$K:$K,MATCH(4,Papers!$O:$O,0))&amp;"","")</f>
        <v/>
      </c>
      <c r="G43" s="9">
        <f>IFERROR(INDEX(Papers!$L:$L,MATCH(4,Papers!$O:$O,0))&amp;"","")</f>
        <v/>
      </c>
    </row>
    <row r="44">
      <c r="B44">
        <f>IFERROR(INDEX(Papers!$A:$A,MATCH(5,Papers!$O:$O,0))&amp;"","")</f>
        <v/>
      </c>
      <c r="C44">
        <f>IFERROR(INDEX(Papers!$G:$G,MATCH(5,Papers!$O:$O,0))&amp;"","")</f>
        <v/>
      </c>
      <c r="E44">
        <f>IFERROR(INDEX(Papers!$K:$K,MATCH(5,Papers!$O:$O,0))&amp;"","")</f>
        <v/>
      </c>
      <c r="G44" s="9">
        <f>IFERROR(INDEX(Papers!$L:$L,MATCH(5,Papers!$O:$O,0))&amp;"","")</f>
        <v/>
      </c>
    </row>
    <row r="45">
      <c r="B45">
        <f>IFERROR(INDEX(Papers!$A:$A,MATCH(6,Papers!$O:$O,0))&amp;"","")</f>
        <v/>
      </c>
      <c r="C45">
        <f>IFERROR(INDEX(Papers!$G:$G,MATCH(6,Papers!$O:$O,0))&amp;"","")</f>
        <v/>
      </c>
      <c r="E45">
        <f>IFERROR(INDEX(Papers!$K:$K,MATCH(6,Papers!$O:$O,0))&amp;"","")</f>
        <v/>
      </c>
      <c r="G45" s="9">
        <f>IFERROR(INDEX(Papers!$L:$L,MATCH(6,Papers!$O:$O,0))&amp;"","")</f>
        <v/>
      </c>
    </row>
    <row r="46">
      <c r="B46">
        <f>IFERROR(INDEX(Papers!$A:$A,MATCH(7,Papers!$O:$O,0))&amp;"","")</f>
        <v/>
      </c>
      <c r="C46">
        <f>IFERROR(INDEX(Papers!$G:$G,MATCH(7,Papers!$O:$O,0))&amp;"","")</f>
        <v/>
      </c>
      <c r="E46">
        <f>IFERROR(INDEX(Papers!$K:$K,MATCH(7,Papers!$O:$O,0))&amp;"","")</f>
        <v/>
      </c>
      <c r="G46" s="9">
        <f>IFERROR(INDEX(Papers!$L:$L,MATCH(7,Papers!$O:$O,0))&amp;"","")</f>
        <v/>
      </c>
    </row>
    <row r="47">
      <c r="B47">
        <f>IFERROR(INDEX(Papers!$A:$A,MATCH(8,Papers!$O:$O,0))&amp;"","")</f>
        <v/>
      </c>
      <c r="C47">
        <f>IFERROR(INDEX(Papers!$G:$G,MATCH(8,Papers!$O:$O,0))&amp;"","")</f>
        <v/>
      </c>
      <c r="E47">
        <f>IFERROR(INDEX(Papers!$K:$K,MATCH(8,Papers!$O:$O,0))&amp;"","")</f>
        <v/>
      </c>
      <c r="G47" s="9">
        <f>IFERROR(INDEX(Papers!$L:$L,MATCH(8,Papers!$O:$O,0))&amp;"","")</f>
        <v/>
      </c>
    </row>
    <row r="48">
      <c r="B48">
        <f>IFERROR(INDEX(Papers!$A:$A,MATCH(9,Papers!$O:$O,0))&amp;"","")</f>
        <v/>
      </c>
      <c r="C48">
        <f>IFERROR(INDEX(Papers!$G:$G,MATCH(9,Papers!$O:$O,0))&amp;"","")</f>
        <v/>
      </c>
      <c r="E48">
        <f>IFERROR(INDEX(Papers!$K:$K,MATCH(9,Papers!$O:$O,0))&amp;"","")</f>
        <v/>
      </c>
      <c r="G48" s="9">
        <f>IFERROR(INDEX(Papers!$L:$L,MATCH(9,Papers!$O:$O,0))&amp;"","")</f>
        <v/>
      </c>
    </row>
    <row r="49">
      <c r="B49">
        <f>IFERROR(INDEX(Papers!$A:$A,MATCH(10,Papers!$O:$O,0))&amp;"","")</f>
        <v/>
      </c>
      <c r="C49">
        <f>IFERROR(INDEX(Papers!$G:$G,MATCH(10,Papers!$O:$O,0))&amp;"","")</f>
        <v/>
      </c>
      <c r="E49">
        <f>IFERROR(INDEX(Papers!$K:$K,MATCH(10,Papers!$O:$O,0))&amp;"","")</f>
        <v/>
      </c>
      <c r="G49" s="9">
        <f>IFERROR(INDEX(Papers!$L:$L,MATCH(10,Papers!$O:$O,0))&amp;"","")</f>
        <v/>
      </c>
    </row>
    <row r="50">
      <c r="B50">
        <f>IFERROR(INDEX(Papers!$A:$A,MATCH(11,Papers!$O:$O,0))&amp;"","")</f>
        <v/>
      </c>
      <c r="C50">
        <f>IFERROR(INDEX(Papers!$G:$G,MATCH(11,Papers!$O:$O,0))&amp;"","")</f>
        <v/>
      </c>
      <c r="E50">
        <f>IFERROR(INDEX(Papers!$K:$K,MATCH(11,Papers!$O:$O,0))&amp;"","")</f>
        <v/>
      </c>
      <c r="G50" s="9">
        <f>IFERROR(INDEX(Papers!$L:$L,MATCH(11,Papers!$O:$O,0))&amp;"","")</f>
        <v/>
      </c>
    </row>
    <row r="51">
      <c r="B51">
        <f>IFERROR(INDEX(Papers!$A:$A,MATCH(12,Papers!$O:$O,0))&amp;"","")</f>
        <v/>
      </c>
      <c r="C51">
        <f>IFERROR(INDEX(Papers!$G:$G,MATCH(12,Papers!$O:$O,0))&amp;"","")</f>
        <v/>
      </c>
      <c r="E51">
        <f>IFERROR(INDEX(Papers!$K:$K,MATCH(12,Papers!$O:$O,0))&amp;"","")</f>
        <v/>
      </c>
      <c r="G51" s="9">
        <f>IFERROR(INDEX(Papers!$L:$L,MATCH(12,Papers!$O:$O,0))&amp;"","")</f>
        <v/>
      </c>
    </row>
    <row r="52">
      <c r="B52">
        <f>IFERROR(INDEX(Papers!$A:$A,MATCH(13,Papers!$O:$O,0))&amp;"","")</f>
        <v/>
      </c>
      <c r="C52">
        <f>IFERROR(INDEX(Papers!$G:$G,MATCH(13,Papers!$O:$O,0))&amp;"","")</f>
        <v/>
      </c>
      <c r="E52">
        <f>IFERROR(INDEX(Papers!$K:$K,MATCH(13,Papers!$O:$O,0))&amp;"","")</f>
        <v/>
      </c>
      <c r="G52" s="9">
        <f>IFERROR(INDEX(Papers!$L:$L,MATCH(13,Papers!$O:$O,0))&amp;"","")</f>
        <v/>
      </c>
    </row>
    <row r="53">
      <c r="B53">
        <f>IFERROR(INDEX(Papers!$A:$A,MATCH(14,Papers!$O:$O,0))&amp;"","")</f>
        <v/>
      </c>
      <c r="C53">
        <f>IFERROR(INDEX(Papers!$G:$G,MATCH(14,Papers!$O:$O,0))&amp;"","")</f>
        <v/>
      </c>
      <c r="E53">
        <f>IFERROR(INDEX(Papers!$K:$K,MATCH(14,Papers!$O:$O,0))&amp;"","")</f>
        <v/>
      </c>
      <c r="G53" s="9">
        <f>IFERROR(INDEX(Papers!$L:$L,MATCH(14,Papers!$O:$O,0))&amp;"","")</f>
        <v/>
      </c>
    </row>
    <row r="54">
      <c r="B54">
        <f>IFERROR(INDEX(Papers!$A:$A,MATCH(15,Papers!$O:$O,0))&amp;"","")</f>
        <v/>
      </c>
      <c r="C54">
        <f>IFERROR(INDEX(Papers!$G:$G,MATCH(15,Papers!$O:$O,0))&amp;"","")</f>
        <v/>
      </c>
      <c r="E54">
        <f>IFERROR(INDEX(Papers!$K:$K,MATCH(15,Papers!$O:$O,0))&amp;"","")</f>
        <v/>
      </c>
      <c r="G54" s="9">
        <f>IFERROR(INDEX(Papers!$L:$L,MATCH(15,Papers!$O:$O,0))&amp;"","")</f>
        <v/>
      </c>
    </row>
    <row r="55">
      <c r="B55">
        <f>IFERROR(INDEX(Papers!$A:$A,MATCH(16,Papers!$O:$O,0))&amp;"","")</f>
        <v/>
      </c>
      <c r="C55">
        <f>IFERROR(INDEX(Papers!$G:$G,MATCH(16,Papers!$O:$O,0))&amp;"","")</f>
        <v/>
      </c>
      <c r="E55">
        <f>IFERROR(INDEX(Papers!$K:$K,MATCH(16,Papers!$O:$O,0))&amp;"","")</f>
        <v/>
      </c>
      <c r="G55" s="9">
        <f>IFERROR(INDEX(Papers!$L:$L,MATCH(16,Papers!$O:$O,0))&amp;"","")</f>
        <v/>
      </c>
    </row>
    <row r="56">
      <c r="B56">
        <f>IFERROR(INDEX(Papers!$A:$A,MATCH(17,Papers!$O:$O,0))&amp;"","")</f>
        <v/>
      </c>
      <c r="C56">
        <f>IFERROR(INDEX(Papers!$G:$G,MATCH(17,Papers!$O:$O,0))&amp;"","")</f>
        <v/>
      </c>
      <c r="E56">
        <f>IFERROR(INDEX(Papers!$K:$K,MATCH(17,Papers!$O:$O,0))&amp;"","")</f>
        <v/>
      </c>
      <c r="G56" s="9">
        <f>IFERROR(INDEX(Papers!$L:$L,MATCH(17,Papers!$O:$O,0))&amp;"","")</f>
        <v/>
      </c>
    </row>
    <row r="57">
      <c r="B57">
        <f>IFERROR(INDEX(Papers!$A:$A,MATCH(18,Papers!$O:$O,0))&amp;"","")</f>
        <v/>
      </c>
      <c r="C57">
        <f>IFERROR(INDEX(Papers!$G:$G,MATCH(18,Papers!$O:$O,0))&amp;"","")</f>
        <v/>
      </c>
      <c r="E57">
        <f>IFERROR(INDEX(Papers!$K:$K,MATCH(18,Papers!$O:$O,0))&amp;"","")</f>
        <v/>
      </c>
      <c r="G57" s="9">
        <f>IFERROR(INDEX(Papers!$L:$L,MATCH(18,Papers!$O:$O,0))&amp;"","")</f>
        <v/>
      </c>
    </row>
    <row r="58">
      <c r="B58">
        <f>IFERROR(INDEX(Papers!$A:$A,MATCH(19,Papers!$O:$O,0))&amp;"","")</f>
        <v/>
      </c>
      <c r="C58">
        <f>IFERROR(INDEX(Papers!$G:$G,MATCH(19,Papers!$O:$O,0))&amp;"","")</f>
        <v/>
      </c>
      <c r="E58">
        <f>IFERROR(INDEX(Papers!$K:$K,MATCH(19,Papers!$O:$O,0))&amp;"","")</f>
        <v/>
      </c>
      <c r="G58" s="9">
        <f>IFERROR(INDEX(Papers!$L:$L,MATCH(19,Papers!$O:$O,0))&amp;"","")</f>
        <v/>
      </c>
    </row>
    <row r="59">
      <c r="B59">
        <f>IFERROR(INDEX(Papers!$A:$A,MATCH(20,Papers!$O:$O,0))&amp;"","")</f>
        <v/>
      </c>
      <c r="C59">
        <f>IFERROR(INDEX(Papers!$G:$G,MATCH(20,Papers!$O:$O,0))&amp;"","")</f>
        <v/>
      </c>
      <c r="E59">
        <f>IFERROR(INDEX(Papers!$K:$K,MATCH(20,Papers!$O:$O,0))&amp;"","")</f>
        <v/>
      </c>
      <c r="G59" s="9">
        <f>IFERROR(INDEX(Papers!$L:$L,MATCH(20,Papers!$O:$O,0))&amp;"","")</f>
        <v/>
      </c>
    </row>
    <row r="60">
      <c r="B60">
        <f>IFERROR(INDEX(Papers!$A:$A,MATCH(21,Papers!$O:$O,0))&amp;"","")</f>
        <v/>
      </c>
      <c r="C60">
        <f>IFERROR(INDEX(Papers!$G:$G,MATCH(21,Papers!$O:$O,0))&amp;"","")</f>
        <v/>
      </c>
      <c r="E60">
        <f>IFERROR(INDEX(Papers!$K:$K,MATCH(21,Papers!$O:$O,0))&amp;"","")</f>
        <v/>
      </c>
      <c r="G60" s="9">
        <f>IFERROR(INDEX(Papers!$L:$L,MATCH(21,Papers!$O:$O,0))&amp;"","")</f>
        <v/>
      </c>
    </row>
    <row r="61">
      <c r="B61">
        <f>IFERROR(INDEX(Papers!$A:$A,MATCH(22,Papers!$O:$O,0))&amp;"","")</f>
        <v/>
      </c>
      <c r="C61">
        <f>IFERROR(INDEX(Papers!$G:$G,MATCH(22,Papers!$O:$O,0))&amp;"","")</f>
        <v/>
      </c>
      <c r="E61">
        <f>IFERROR(INDEX(Papers!$K:$K,MATCH(22,Papers!$O:$O,0))&amp;"","")</f>
        <v/>
      </c>
      <c r="G61" s="9">
        <f>IFERROR(INDEX(Papers!$L:$L,MATCH(22,Papers!$O:$O,0))&amp;"","")</f>
        <v/>
      </c>
    </row>
    <row r="62">
      <c r="B62">
        <f>IFERROR(INDEX(Papers!$A:$A,MATCH(23,Papers!$O:$O,0))&amp;"","")</f>
        <v/>
      </c>
      <c r="C62">
        <f>IFERROR(INDEX(Papers!$G:$G,MATCH(23,Papers!$O:$O,0))&amp;"","")</f>
        <v/>
      </c>
      <c r="E62">
        <f>IFERROR(INDEX(Papers!$K:$K,MATCH(23,Papers!$O:$O,0))&amp;"","")</f>
        <v/>
      </c>
      <c r="G62" s="9">
        <f>IFERROR(INDEX(Papers!$L:$L,MATCH(23,Papers!$O:$O,0))&amp;"","")</f>
        <v/>
      </c>
    </row>
    <row r="63">
      <c r="B63">
        <f>IFERROR(INDEX(Papers!$A:$A,MATCH(24,Papers!$O:$O,0))&amp;"","")</f>
        <v/>
      </c>
      <c r="C63">
        <f>IFERROR(INDEX(Papers!$G:$G,MATCH(24,Papers!$O:$O,0))&amp;"","")</f>
        <v/>
      </c>
      <c r="E63">
        <f>IFERROR(INDEX(Papers!$K:$K,MATCH(24,Papers!$O:$O,0))&amp;"","")</f>
        <v/>
      </c>
      <c r="G63" s="9">
        <f>IFERROR(INDEX(Papers!$L:$L,MATCH(24,Papers!$O:$O,0))&amp;"","")</f>
        <v/>
      </c>
    </row>
    <row r="64">
      <c r="B64">
        <f>IFERROR(INDEX(Papers!$A:$A,MATCH(25,Papers!$O:$O,0))&amp;"","")</f>
        <v/>
      </c>
      <c r="C64">
        <f>IFERROR(INDEX(Papers!$G:$G,MATCH(25,Papers!$O:$O,0))&amp;"","")</f>
        <v/>
      </c>
      <c r="E64">
        <f>IFERROR(INDEX(Papers!$K:$K,MATCH(25,Papers!$O:$O,0))&amp;"","")</f>
        <v/>
      </c>
      <c r="G64" s="9">
        <f>IFERROR(INDEX(Papers!$L:$L,MATCH(25,Papers!$O:$O,0))&amp;"","")</f>
        <v/>
      </c>
    </row>
  </sheetData>
  <conditionalFormatting sqref="G11:G35">
    <cfRule type="cellIs" priority="1" operator="equal" dxfId="0">
      <formula>"Overdue: chase editor"</formula>
    </cfRule>
    <cfRule type="cellIs" priority="2" operator="equal" dxfId="1">
      <formula>"Check status"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10" t="inlineStr">
        <is>
          <t>How to use this master sheet</t>
        </is>
      </c>
    </row>
    <row r="3" ht="44" customHeight="1">
      <c r="A3" s="3" t="inlineStr">
        <is>
          <t>Submissions</t>
        </is>
      </c>
      <c r="B3" s="11" t="inlineStr">
        <is>
          <t>The master list, grouped by paper. Each paper has a shaded heading row, then its journals (history first, then the current one, then the planned queue), then empty rows for future submissions.</t>
        </is>
      </c>
    </row>
    <row r="4" ht="44" customHeight="1">
      <c r="A4" s="3" t="inlineStr">
        <is>
          <t>After a rejection</t>
        </is>
      </c>
      <c r="B4" s="11" t="inlineStr">
        <is>
          <t>Change that row's Status to Rejected and fill Date of decision. Then use an empty row under the paper: pick the Paper from the list, type or pick the Journal, set Status = Under review and the date.</t>
        </is>
      </c>
    </row>
    <row r="5" ht="44" customHeight="1">
      <c r="A5" s="3" t="inlineStr">
        <is>
          <t>A new journal to try later</t>
        </is>
      </c>
      <c r="B5" s="11" t="inlineStr">
        <is>
          <t>Add a row with Status = Planned (no dates). The first Planned row of a paper is its ‘Next in queue’.</t>
        </is>
      </c>
    </row>
    <row r="6" ht="44" customHeight="1">
      <c r="A6" s="3" t="inlineStr">
        <is>
          <t>ABDC rating</t>
        </is>
      </c>
      <c r="B6" s="11" t="inlineStr">
        <is>
          <t>Filled automatically from the Journals tab (official ABDC list, 2025 ratings). ‘Not listed’ = not on the 2025 list; the 2022 rating is shown there when it differs. New journal? Add it on the Journals tab.</t>
        </is>
      </c>
    </row>
    <row r="7" ht="44" customHeight="1">
      <c r="A7" s="3" t="inlineStr">
        <is>
          <t>Papers</t>
        </is>
      </c>
      <c r="B7" s="11" t="inlineStr">
        <is>
          <t>One row per paper: short name (must be unique), title, authors. Stage, current journal and counts are calculated.</t>
        </is>
      </c>
    </row>
    <row r="8" ht="44" customHeight="1">
      <c r="A8" s="3" t="inlineStr">
        <is>
          <t>Journals</t>
        </is>
      </c>
      <c r="B8" s="11" t="inlineStr">
        <is>
          <t>One row per journal: ABDC rating (automatic from the ABDC list tab), login link and editorial office email (the app uses these too). If a journal shows ‘Not listed’ but is on the list under another name, pick that name in ‘Name on ABDC list’.</t>
        </is>
      </c>
    </row>
    <row r="9" ht="44" customHeight="1">
      <c r="A9" s="3" t="inlineStr">
        <is>
          <t>Suggested next journals</t>
        </is>
      </c>
      <c r="B9" s="11" t="inlineStr">
        <is>
          <t>Papers tab: ABDC journals that fit each paper (same ABDC fields as the journals you chose, matching topic words, around the tier of the last journal). Refreshed on every app sync, or from the menu RD SK → Refresh suggested journals. Your own Planned queue always comes first.</t>
        </is>
      </c>
    </row>
    <row r="10" ht="44" customHeight="1">
      <c r="A10" s="3" t="inlineStr">
        <is>
          <t>Don't edit</t>
        </is>
      </c>
      <c r="B10" s="11" t="inlineStr">
        <is>
          <t>Grey/automatic columns (ABDC, Days) and the hidden columns (App ID, Updated, helpers) are managed for you.</t>
        </is>
      </c>
    </row>
    <row r="11" ht="44" customHeight="1">
      <c r="A11" s="3" t="inlineStr">
        <is>
          <t>Phone app</t>
        </is>
      </c>
      <c r="B11" s="11" t="inlineStr">
        <is>
          <t>RD SK keeps this sheet in sync: sign in with this Google account in the app (More → Google account). Changes on either side appear on the other. After reinstalling, just sign in again.</t>
        </is>
      </c>
    </row>
    <row r="12" ht="44" customHeight="1">
      <c r="A12" s="3" t="inlineStr">
        <is>
          <t>Email import &amp; insights</t>
        </is>
      </c>
      <c r="B12" s="11" t="inlineStr">
        <is>
          <t>Optional: Extensions → Apps Script, paste the RD SK helper script (copy it from the app: More → Email import helper), save, reload this sheet, then use the RD SK menu.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8" customWidth="1" min="2" max="2"/>
    <col width="10" customWidth="1" min="3" max="3"/>
    <col width="16" customWidth="1" min="4" max="4"/>
    <col width="18" customWidth="1" min="5" max="5"/>
    <col width="13" customWidth="1" min="6" max="6"/>
    <col width="13" customWidth="1" min="7" max="7"/>
    <col width="7" customWidth="1" min="8" max="8"/>
    <col width="40" customWidth="1" min="9" max="9"/>
    <col width="26" customWidth="1" min="10" max="10"/>
    <col width="16" customWidth="1" min="11" max="11"/>
    <col width="24" customWidth="1" min="12" max="12"/>
    <col width="13" customWidth="1" min="13" max="13"/>
    <col hidden="1" width="10" customWidth="1" min="14" max="14"/>
    <col hidden="1" width="16" customWidth="1" min="15" max="15"/>
    <col hidden="1" width="6" customWidth="1" min="16" max="16"/>
    <col hidden="1" width="6" customWidth="1" min="17" max="17"/>
  </cols>
  <sheetData>
    <row r="1" ht="30" customHeight="1">
      <c r="A1" s="12" t="inlineStr">
        <is>
          <t>Paper</t>
        </is>
      </c>
      <c r="B1" s="12" t="inlineStr">
        <is>
          <t>Journal</t>
        </is>
      </c>
      <c r="C1" s="12" t="inlineStr">
        <is>
          <t>ABDC 2025</t>
        </is>
      </c>
      <c r="D1" s="12" t="inlineStr">
        <is>
          <t>Other rating / index</t>
        </is>
      </c>
      <c r="E1" s="12" t="inlineStr">
        <is>
          <t>Status</t>
        </is>
      </c>
      <c r="F1" s="12" t="inlineStr">
        <is>
          <t>Date submitted</t>
        </is>
      </c>
      <c r="G1" s="12" t="inlineStr">
        <is>
          <t>Date of decision</t>
        </is>
      </c>
      <c r="H1" s="12" t="inlineStr">
        <is>
          <t>Days</t>
        </is>
      </c>
      <c r="I1" s="12" t="inlineStr">
        <is>
          <t>Notes</t>
        </is>
      </c>
      <c r="J1" s="12" t="inlineStr">
        <is>
          <t>Title used</t>
        </is>
      </c>
      <c r="K1" s="12" t="inlineStr">
        <is>
          <t>Manuscript ID</t>
        </is>
      </c>
      <c r="L1" s="12" t="inlineStr">
        <is>
          <t>Status on journal site</t>
        </is>
      </c>
      <c r="M1" s="12" t="inlineStr">
        <is>
          <t>Status checked</t>
        </is>
      </c>
      <c r="N1" s="12" t="inlineStr">
        <is>
          <t>App ID</t>
        </is>
      </c>
      <c r="O1" s="12" t="inlineStr">
        <is>
          <t>Updated</t>
        </is>
      </c>
      <c r="P1" s="12" t="inlineStr">
        <is>
          <t>ur rank</t>
        </is>
      </c>
      <c r="Q1" s="12" t="inlineStr">
        <is>
          <t>paper|status</t>
        </is>
      </c>
    </row>
    <row r="2">
      <c r="A2" s="13" t="n"/>
      <c r="B2" s="13" t="n"/>
      <c r="C2" s="13">
        <f>IF(B2="","",IFERROR(VLOOKUP(B2,Journals!$A:$B,2,FALSE),IFERROR(VLOOKUP(B2,'ABDC list'!$A:$B,2,FALSE),"")))</f>
        <v/>
      </c>
      <c r="D2" s="13" t="n"/>
      <c r="E2" s="13" t="n"/>
      <c r="F2" s="14" t="n"/>
      <c r="G2" s="14" t="n"/>
      <c r="H2" s="13">
        <f>IF(OR(F2="",E2="Planned"),"",IF(G2&lt;&gt;"",G2-F2,TODAY()-F2))</f>
        <v/>
      </c>
      <c r="I2" s="11" t="n"/>
      <c r="J2" s="11" t="n"/>
      <c r="K2" s="13" t="n"/>
      <c r="L2" s="11" t="n"/>
      <c r="M2" s="14" t="n"/>
      <c r="N2" s="13" t="n"/>
      <c r="O2" s="13" t="n"/>
      <c r="P2" s="13">
        <f>IF(E2="Under review",COUNTIFS($E:$E,"Under review",$F:$F,"&lt;"&amp;F2)+COUNTIFS($E$1:E2,"Under review",$F$1:F2,F2),"")</f>
        <v/>
      </c>
      <c r="Q2" s="13">
        <f>IF(B2="","",A2&amp;"|"&amp;E2)</f>
        <v/>
      </c>
    </row>
    <row r="3">
      <c r="A3" s="13" t="n"/>
      <c r="B3" s="13" t="n"/>
      <c r="C3" s="13">
        <f>IF(B3="","",IFERROR(VLOOKUP(B3,Journals!$A:$B,2,FALSE),IFERROR(VLOOKUP(B3,'ABDC list'!$A:$B,2,FALSE),"")))</f>
        <v/>
      </c>
      <c r="D3" s="13" t="n"/>
      <c r="E3" s="13" t="n"/>
      <c r="F3" s="14" t="n"/>
      <c r="G3" s="14" t="n"/>
      <c r="H3" s="13">
        <f>IF(OR(F3="",E3="Planned"),"",IF(G3&lt;&gt;"",G3-F3,TODAY()-F3))</f>
        <v/>
      </c>
      <c r="I3" s="11" t="n"/>
      <c r="J3" s="11" t="n"/>
      <c r="K3" s="13" t="n"/>
      <c r="L3" s="11" t="n"/>
      <c r="M3" s="14" t="n"/>
      <c r="N3" s="13" t="n"/>
      <c r="O3" s="13" t="n"/>
      <c r="P3" s="13">
        <f>IF(E3="Under review",COUNTIFS($E:$E,"Under review",$F:$F,"&lt;"&amp;F3)+COUNTIFS($E$1:E3,"Under review",$F$1:F3,F3),"")</f>
        <v/>
      </c>
      <c r="Q3" s="13">
        <f>IF(B3="","",A3&amp;"|"&amp;E3)</f>
        <v/>
      </c>
    </row>
    <row r="4">
      <c r="A4" s="13" t="n"/>
      <c r="B4" s="13" t="n"/>
      <c r="C4" s="13">
        <f>IF(B4="","",IFERROR(VLOOKUP(B4,Journals!$A:$B,2,FALSE),IFERROR(VLOOKUP(B4,'ABDC list'!$A:$B,2,FALSE),"")))</f>
        <v/>
      </c>
      <c r="D4" s="13" t="n"/>
      <c r="E4" s="13" t="n"/>
      <c r="F4" s="14" t="n"/>
      <c r="G4" s="14" t="n"/>
      <c r="H4" s="13">
        <f>IF(OR(F4="",E4="Planned"),"",IF(G4&lt;&gt;"",G4-F4,TODAY()-F4))</f>
        <v/>
      </c>
      <c r="I4" s="11" t="n"/>
      <c r="J4" s="11" t="n"/>
      <c r="K4" s="13" t="n"/>
      <c r="L4" s="11" t="n"/>
      <c r="M4" s="14" t="n"/>
      <c r="N4" s="13" t="n"/>
      <c r="O4" s="13" t="n"/>
      <c r="P4" s="13">
        <f>IF(E4="Under review",COUNTIFS($E:$E,"Under review",$F:$F,"&lt;"&amp;F4)+COUNTIFS($E$1:E4,"Under review",$F$1:F4,F4),"")</f>
        <v/>
      </c>
      <c r="Q4" s="13">
        <f>IF(B4="","",A4&amp;"|"&amp;E4)</f>
        <v/>
      </c>
    </row>
    <row r="5">
      <c r="A5" s="13" t="n"/>
      <c r="B5" s="13" t="n"/>
      <c r="C5" s="13">
        <f>IF(B5="","",IFERROR(VLOOKUP(B5,Journals!$A:$B,2,FALSE),IFERROR(VLOOKUP(B5,'ABDC list'!$A:$B,2,FALSE),"")))</f>
        <v/>
      </c>
      <c r="D5" s="13" t="n"/>
      <c r="E5" s="13" t="n"/>
      <c r="F5" s="14" t="n"/>
      <c r="G5" s="14" t="n"/>
      <c r="H5" s="13">
        <f>IF(OR(F5="",E5="Planned"),"",IF(G5&lt;&gt;"",G5-F5,TODAY()-F5))</f>
        <v/>
      </c>
      <c r="I5" s="11" t="n"/>
      <c r="J5" s="11" t="n"/>
      <c r="K5" s="13" t="n"/>
      <c r="L5" s="11" t="n"/>
      <c r="M5" s="14" t="n"/>
      <c r="N5" s="13" t="n"/>
      <c r="O5" s="13" t="n"/>
      <c r="P5" s="13">
        <f>IF(E5="Under review",COUNTIFS($E:$E,"Under review",$F:$F,"&lt;"&amp;F5)+COUNTIFS($E$1:E5,"Under review",$F$1:F5,F5),"")</f>
        <v/>
      </c>
      <c r="Q5" s="13">
        <f>IF(B5="","",A5&amp;"|"&amp;E5)</f>
        <v/>
      </c>
    </row>
    <row r="6">
      <c r="A6" s="13" t="n"/>
      <c r="B6" s="13" t="n"/>
      <c r="C6" s="13">
        <f>IF(B6="","",IFERROR(VLOOKUP(B6,Journals!$A:$B,2,FALSE),IFERROR(VLOOKUP(B6,'ABDC list'!$A:$B,2,FALSE),"")))</f>
        <v/>
      </c>
      <c r="D6" s="13" t="n"/>
      <c r="E6" s="13" t="n"/>
      <c r="F6" s="14" t="n"/>
      <c r="G6" s="14" t="n"/>
      <c r="H6" s="13">
        <f>IF(OR(F6="",E6="Planned"),"",IF(G6&lt;&gt;"",G6-F6,TODAY()-F6))</f>
        <v/>
      </c>
      <c r="I6" s="11" t="n"/>
      <c r="J6" s="11" t="n"/>
      <c r="K6" s="13" t="n"/>
      <c r="L6" s="11" t="n"/>
      <c r="M6" s="14" t="n"/>
      <c r="N6" s="13" t="n"/>
      <c r="O6" s="13" t="n"/>
      <c r="P6" s="13">
        <f>IF(E6="Under review",COUNTIFS($E:$E,"Under review",$F:$F,"&lt;"&amp;F6)+COUNTIFS($E$1:E6,"Under review",$F$1:F6,F6),"")</f>
        <v/>
      </c>
      <c r="Q6" s="13">
        <f>IF(B6="","",A6&amp;"|"&amp;E6)</f>
        <v/>
      </c>
    </row>
    <row r="7">
      <c r="A7" s="13" t="n"/>
      <c r="B7" s="13" t="n"/>
      <c r="C7" s="13">
        <f>IF(B7="","",IFERROR(VLOOKUP(B7,Journals!$A:$B,2,FALSE),IFERROR(VLOOKUP(B7,'ABDC list'!$A:$B,2,FALSE),"")))</f>
        <v/>
      </c>
      <c r="D7" s="13" t="n"/>
      <c r="E7" s="13" t="n"/>
      <c r="F7" s="14" t="n"/>
      <c r="G7" s="14" t="n"/>
      <c r="H7" s="13">
        <f>IF(OR(F7="",E7="Planned"),"",IF(G7&lt;&gt;"",G7-F7,TODAY()-F7))</f>
        <v/>
      </c>
      <c r="I7" s="11" t="n"/>
      <c r="J7" s="11" t="n"/>
      <c r="K7" s="13" t="n"/>
      <c r="L7" s="11" t="n"/>
      <c r="M7" s="14" t="n"/>
      <c r="N7" s="13" t="n"/>
      <c r="O7" s="13" t="n"/>
      <c r="P7" s="13">
        <f>IF(E7="Under review",COUNTIFS($E:$E,"Under review",$F:$F,"&lt;"&amp;F7)+COUNTIFS($E$1:E7,"Under review",$F$1:F7,F7),"")</f>
        <v/>
      </c>
      <c r="Q7" s="13">
        <f>IF(B7="","",A7&amp;"|"&amp;E7)</f>
        <v/>
      </c>
    </row>
    <row r="8">
      <c r="A8" s="13" t="n"/>
      <c r="B8" s="13" t="n"/>
      <c r="C8" s="13">
        <f>IF(B8="","",IFERROR(VLOOKUP(B8,Journals!$A:$B,2,FALSE),IFERROR(VLOOKUP(B8,'ABDC list'!$A:$B,2,FALSE),"")))</f>
        <v/>
      </c>
      <c r="D8" s="13" t="n"/>
      <c r="E8" s="13" t="n"/>
      <c r="F8" s="14" t="n"/>
      <c r="G8" s="14" t="n"/>
      <c r="H8" s="13">
        <f>IF(OR(F8="",E8="Planned"),"",IF(G8&lt;&gt;"",G8-F8,TODAY()-F8))</f>
        <v/>
      </c>
      <c r="I8" s="11" t="n"/>
      <c r="J8" s="11" t="n"/>
      <c r="K8" s="13" t="n"/>
      <c r="L8" s="11" t="n"/>
      <c r="M8" s="14" t="n"/>
      <c r="N8" s="13" t="n"/>
      <c r="O8" s="13" t="n"/>
      <c r="P8" s="13">
        <f>IF(E8="Under review",COUNTIFS($E:$E,"Under review",$F:$F,"&lt;"&amp;F8)+COUNTIFS($E$1:E8,"Under review",$F$1:F8,F8),"")</f>
        <v/>
      </c>
      <c r="Q8" s="13">
        <f>IF(B8="","",A8&amp;"|"&amp;E8)</f>
        <v/>
      </c>
    </row>
    <row r="9">
      <c r="A9" s="13" t="n"/>
      <c r="B9" s="13" t="n"/>
      <c r="C9" s="13">
        <f>IF(B9="","",IFERROR(VLOOKUP(B9,Journals!$A:$B,2,FALSE),IFERROR(VLOOKUP(B9,'ABDC list'!$A:$B,2,FALSE),"")))</f>
        <v/>
      </c>
      <c r="D9" s="13" t="n"/>
      <c r="E9" s="13" t="n"/>
      <c r="F9" s="14" t="n"/>
      <c r="G9" s="14" t="n"/>
      <c r="H9" s="13">
        <f>IF(OR(F9="",E9="Planned"),"",IF(G9&lt;&gt;"",G9-F9,TODAY()-F9))</f>
        <v/>
      </c>
      <c r="I9" s="11" t="n"/>
      <c r="J9" s="11" t="n"/>
      <c r="K9" s="13" t="n"/>
      <c r="L9" s="11" t="n"/>
      <c r="M9" s="14" t="n"/>
      <c r="N9" s="13" t="n"/>
      <c r="O9" s="13" t="n"/>
      <c r="P9" s="13">
        <f>IF(E9="Under review",COUNTIFS($E:$E,"Under review",$F:$F,"&lt;"&amp;F9)+COUNTIFS($E$1:E9,"Under review",$F$1:F9,F9),"")</f>
        <v/>
      </c>
      <c r="Q9" s="13">
        <f>IF(B9="","",A9&amp;"|"&amp;E9)</f>
        <v/>
      </c>
    </row>
    <row r="10">
      <c r="A10" s="13" t="n"/>
      <c r="B10" s="13" t="n"/>
      <c r="C10" s="13">
        <f>IF(B10="","",IFERROR(VLOOKUP(B10,Journals!$A:$B,2,FALSE),IFERROR(VLOOKUP(B10,'ABDC list'!$A:$B,2,FALSE),"")))</f>
        <v/>
      </c>
      <c r="D10" s="13" t="n"/>
      <c r="E10" s="13" t="n"/>
      <c r="F10" s="14" t="n"/>
      <c r="G10" s="14" t="n"/>
      <c r="H10" s="13">
        <f>IF(OR(F10="",E10="Planned"),"",IF(G10&lt;&gt;"",G10-F10,TODAY()-F10))</f>
        <v/>
      </c>
      <c r="I10" s="11" t="n"/>
      <c r="J10" s="11" t="n"/>
      <c r="K10" s="13" t="n"/>
      <c r="L10" s="11" t="n"/>
      <c r="M10" s="14" t="n"/>
      <c r="N10" s="13" t="n"/>
      <c r="O10" s="13" t="n"/>
      <c r="P10" s="13">
        <f>IF(E10="Under review",COUNTIFS($E:$E,"Under review",$F:$F,"&lt;"&amp;F10)+COUNTIFS($E$1:E10,"Under review",$F$1:F10,F10),"")</f>
        <v/>
      </c>
      <c r="Q10" s="13">
        <f>IF(B10="","",A10&amp;"|"&amp;E10)</f>
        <v/>
      </c>
    </row>
    <row r="11">
      <c r="A11" s="13" t="n"/>
      <c r="B11" s="13" t="n"/>
      <c r="C11" s="13">
        <f>IF(B11="","",IFERROR(VLOOKUP(B11,Journals!$A:$B,2,FALSE),IFERROR(VLOOKUP(B11,'ABDC list'!$A:$B,2,FALSE),"")))</f>
        <v/>
      </c>
      <c r="D11" s="13" t="n"/>
      <c r="E11" s="13" t="n"/>
      <c r="F11" s="14" t="n"/>
      <c r="G11" s="14" t="n"/>
      <c r="H11" s="13">
        <f>IF(OR(F11="",E11="Planned"),"",IF(G11&lt;&gt;"",G11-F11,TODAY()-F11))</f>
        <v/>
      </c>
      <c r="I11" s="11" t="n"/>
      <c r="J11" s="11" t="n"/>
      <c r="K11" s="13" t="n"/>
      <c r="L11" s="11" t="n"/>
      <c r="M11" s="14" t="n"/>
      <c r="N11" s="13" t="n"/>
      <c r="O11" s="13" t="n"/>
      <c r="P11" s="13">
        <f>IF(E11="Under review",COUNTIFS($E:$E,"Under review",$F:$F,"&lt;"&amp;F11)+COUNTIFS($E$1:E11,"Under review",$F$1:F11,F11),"")</f>
        <v/>
      </c>
      <c r="Q11" s="13">
        <f>IF(B11="","",A11&amp;"|"&amp;E11)</f>
        <v/>
      </c>
    </row>
    <row r="12">
      <c r="A12" s="13" t="n"/>
      <c r="B12" s="13" t="n"/>
      <c r="C12" s="13">
        <f>IF(B12="","",IFERROR(VLOOKUP(B12,Journals!$A:$B,2,FALSE),IFERROR(VLOOKUP(B12,'ABDC list'!$A:$B,2,FALSE),"")))</f>
        <v/>
      </c>
      <c r="D12" s="13" t="n"/>
      <c r="E12" s="13" t="n"/>
      <c r="F12" s="14" t="n"/>
      <c r="G12" s="14" t="n"/>
      <c r="H12" s="13">
        <f>IF(OR(F12="",E12="Planned"),"",IF(G12&lt;&gt;"",G12-F12,TODAY()-F12))</f>
        <v/>
      </c>
      <c r="I12" s="11" t="n"/>
      <c r="J12" s="11" t="n"/>
      <c r="K12" s="13" t="n"/>
      <c r="L12" s="11" t="n"/>
      <c r="M12" s="14" t="n"/>
      <c r="N12" s="13" t="n"/>
      <c r="O12" s="13" t="n"/>
      <c r="P12" s="13">
        <f>IF(E12="Under review",COUNTIFS($E:$E,"Under review",$F:$F,"&lt;"&amp;F12)+COUNTIFS($E$1:E12,"Under review",$F$1:F12,F12),"")</f>
        <v/>
      </c>
      <c r="Q12" s="13">
        <f>IF(B12="","",A12&amp;"|"&amp;E12)</f>
        <v/>
      </c>
    </row>
    <row r="13">
      <c r="A13" s="13" t="n"/>
      <c r="B13" s="13" t="n"/>
      <c r="C13" s="13">
        <f>IF(B13="","",IFERROR(VLOOKUP(B13,Journals!$A:$B,2,FALSE),IFERROR(VLOOKUP(B13,'ABDC list'!$A:$B,2,FALSE),"")))</f>
        <v/>
      </c>
      <c r="D13" s="13" t="n"/>
      <c r="E13" s="13" t="n"/>
      <c r="F13" s="14" t="n"/>
      <c r="G13" s="14" t="n"/>
      <c r="H13" s="13">
        <f>IF(OR(F13="",E13="Planned"),"",IF(G13&lt;&gt;"",G13-F13,TODAY()-F13))</f>
        <v/>
      </c>
      <c r="I13" s="11" t="n"/>
      <c r="J13" s="11" t="n"/>
      <c r="K13" s="13" t="n"/>
      <c r="L13" s="11" t="n"/>
      <c r="M13" s="14" t="n"/>
      <c r="N13" s="13" t="n"/>
      <c r="O13" s="13" t="n"/>
      <c r="P13" s="13">
        <f>IF(E13="Under review",COUNTIFS($E:$E,"Under review",$F:$F,"&lt;"&amp;F13)+COUNTIFS($E$1:E13,"Under review",$F$1:F13,F13),"")</f>
        <v/>
      </c>
      <c r="Q13" s="13">
        <f>IF(B13="","",A13&amp;"|"&amp;E13)</f>
        <v/>
      </c>
    </row>
    <row r="14">
      <c r="A14" s="13" t="n"/>
      <c r="B14" s="13" t="n"/>
      <c r="C14" s="13">
        <f>IF(B14="","",IFERROR(VLOOKUP(B14,Journals!$A:$B,2,FALSE),IFERROR(VLOOKUP(B14,'ABDC list'!$A:$B,2,FALSE),"")))</f>
        <v/>
      </c>
      <c r="D14" s="13" t="n"/>
      <c r="E14" s="13" t="n"/>
      <c r="F14" s="14" t="n"/>
      <c r="G14" s="14" t="n"/>
      <c r="H14" s="13">
        <f>IF(OR(F14="",E14="Planned"),"",IF(G14&lt;&gt;"",G14-F14,TODAY()-F14))</f>
        <v/>
      </c>
      <c r="I14" s="11" t="n"/>
      <c r="J14" s="11" t="n"/>
      <c r="K14" s="13" t="n"/>
      <c r="L14" s="11" t="n"/>
      <c r="M14" s="14" t="n"/>
      <c r="N14" s="13" t="n"/>
      <c r="O14" s="13" t="n"/>
      <c r="P14" s="13">
        <f>IF(E14="Under review",COUNTIFS($E:$E,"Under review",$F:$F,"&lt;"&amp;F14)+COUNTIFS($E$1:E14,"Under review",$F$1:F14,F14),"")</f>
        <v/>
      </c>
      <c r="Q14" s="13">
        <f>IF(B14="","",A14&amp;"|"&amp;E14)</f>
        <v/>
      </c>
    </row>
    <row r="15">
      <c r="A15" s="13" t="n"/>
      <c r="B15" s="13" t="n"/>
      <c r="C15" s="13">
        <f>IF(B15="","",IFERROR(VLOOKUP(B15,Journals!$A:$B,2,FALSE),IFERROR(VLOOKUP(B15,'ABDC list'!$A:$B,2,FALSE),"")))</f>
        <v/>
      </c>
      <c r="D15" s="13" t="n"/>
      <c r="E15" s="13" t="n"/>
      <c r="F15" s="14" t="n"/>
      <c r="G15" s="14" t="n"/>
      <c r="H15" s="13">
        <f>IF(OR(F15="",E15="Planned"),"",IF(G15&lt;&gt;"",G15-F15,TODAY()-F15))</f>
        <v/>
      </c>
      <c r="I15" s="11" t="n"/>
      <c r="J15" s="11" t="n"/>
      <c r="K15" s="13" t="n"/>
      <c r="L15" s="11" t="n"/>
      <c r="M15" s="14" t="n"/>
      <c r="N15" s="13" t="n"/>
      <c r="O15" s="13" t="n"/>
      <c r="P15" s="13">
        <f>IF(E15="Under review",COUNTIFS($E:$E,"Under review",$F:$F,"&lt;"&amp;F15)+COUNTIFS($E$1:E15,"Under review",$F$1:F15,F15),"")</f>
        <v/>
      </c>
      <c r="Q15" s="13">
        <f>IF(B15="","",A15&amp;"|"&amp;E15)</f>
        <v/>
      </c>
    </row>
    <row r="16">
      <c r="A16" s="13" t="n"/>
      <c r="B16" s="13" t="n"/>
      <c r="C16" s="13">
        <f>IF(B16="","",IFERROR(VLOOKUP(B16,Journals!$A:$B,2,FALSE),IFERROR(VLOOKUP(B16,'ABDC list'!$A:$B,2,FALSE),"")))</f>
        <v/>
      </c>
      <c r="D16" s="13" t="n"/>
      <c r="E16" s="13" t="n"/>
      <c r="F16" s="14" t="n"/>
      <c r="G16" s="14" t="n"/>
      <c r="H16" s="13">
        <f>IF(OR(F16="",E16="Planned"),"",IF(G16&lt;&gt;"",G16-F16,TODAY()-F16))</f>
        <v/>
      </c>
      <c r="I16" s="11" t="n"/>
      <c r="J16" s="11" t="n"/>
      <c r="K16" s="13" t="n"/>
      <c r="L16" s="11" t="n"/>
      <c r="M16" s="14" t="n"/>
      <c r="N16" s="13" t="n"/>
      <c r="O16" s="13" t="n"/>
      <c r="P16" s="13">
        <f>IF(E16="Under review",COUNTIFS($E:$E,"Under review",$F:$F,"&lt;"&amp;F16)+COUNTIFS($E$1:E16,"Under review",$F$1:F16,F16),"")</f>
        <v/>
      </c>
      <c r="Q16" s="13">
        <f>IF(B16="","",A16&amp;"|"&amp;E16)</f>
        <v/>
      </c>
    </row>
    <row r="17">
      <c r="A17" s="13" t="n"/>
      <c r="B17" s="13" t="n"/>
      <c r="C17" s="13">
        <f>IF(B17="","",IFERROR(VLOOKUP(B17,Journals!$A:$B,2,FALSE),IFERROR(VLOOKUP(B17,'ABDC list'!$A:$B,2,FALSE),"")))</f>
        <v/>
      </c>
      <c r="D17" s="13" t="n"/>
      <c r="E17" s="13" t="n"/>
      <c r="F17" s="14" t="n"/>
      <c r="G17" s="14" t="n"/>
      <c r="H17" s="13">
        <f>IF(OR(F17="",E17="Planned"),"",IF(G17&lt;&gt;"",G17-F17,TODAY()-F17))</f>
        <v/>
      </c>
      <c r="I17" s="11" t="n"/>
      <c r="J17" s="11" t="n"/>
      <c r="K17" s="13" t="n"/>
      <c r="L17" s="11" t="n"/>
      <c r="M17" s="14" t="n"/>
      <c r="N17" s="13" t="n"/>
      <c r="O17" s="13" t="n"/>
      <c r="P17" s="13">
        <f>IF(E17="Under review",COUNTIFS($E:$E,"Under review",$F:$F,"&lt;"&amp;F17)+COUNTIFS($E$1:E17,"Under review",$F$1:F17,F17),"")</f>
        <v/>
      </c>
      <c r="Q17" s="13">
        <f>IF(B17="","",A17&amp;"|"&amp;E17)</f>
        <v/>
      </c>
    </row>
    <row r="18">
      <c r="A18" s="13" t="n"/>
      <c r="B18" s="13" t="n"/>
      <c r="C18" s="13">
        <f>IF(B18="","",IFERROR(VLOOKUP(B18,Journals!$A:$B,2,FALSE),IFERROR(VLOOKUP(B18,'ABDC list'!$A:$B,2,FALSE),"")))</f>
        <v/>
      </c>
      <c r="D18" s="13" t="n"/>
      <c r="E18" s="13" t="n"/>
      <c r="F18" s="14" t="n"/>
      <c r="G18" s="14" t="n"/>
      <c r="H18" s="13">
        <f>IF(OR(F18="",E18="Planned"),"",IF(G18&lt;&gt;"",G18-F18,TODAY()-F18))</f>
        <v/>
      </c>
      <c r="I18" s="11" t="n"/>
      <c r="J18" s="11" t="n"/>
      <c r="K18" s="13" t="n"/>
      <c r="L18" s="11" t="n"/>
      <c r="M18" s="14" t="n"/>
      <c r="N18" s="13" t="n"/>
      <c r="O18" s="13" t="n"/>
      <c r="P18" s="13">
        <f>IF(E18="Under review",COUNTIFS($E:$E,"Under review",$F:$F,"&lt;"&amp;F18)+COUNTIFS($E$1:E18,"Under review",$F$1:F18,F18),"")</f>
        <v/>
      </c>
      <c r="Q18" s="13">
        <f>IF(B18="","",A18&amp;"|"&amp;E18)</f>
        <v/>
      </c>
    </row>
    <row r="19">
      <c r="A19" s="13" t="n"/>
      <c r="B19" s="13" t="n"/>
      <c r="C19" s="13">
        <f>IF(B19="","",IFERROR(VLOOKUP(B19,Journals!$A:$B,2,FALSE),IFERROR(VLOOKUP(B19,'ABDC list'!$A:$B,2,FALSE),"")))</f>
        <v/>
      </c>
      <c r="D19" s="13" t="n"/>
      <c r="E19" s="13" t="n"/>
      <c r="F19" s="14" t="n"/>
      <c r="G19" s="14" t="n"/>
      <c r="H19" s="13">
        <f>IF(OR(F19="",E19="Planned"),"",IF(G19&lt;&gt;"",G19-F19,TODAY()-F19))</f>
        <v/>
      </c>
      <c r="I19" s="11" t="n"/>
      <c r="J19" s="11" t="n"/>
      <c r="K19" s="13" t="n"/>
      <c r="L19" s="11" t="n"/>
      <c r="M19" s="14" t="n"/>
      <c r="N19" s="13" t="n"/>
      <c r="O19" s="13" t="n"/>
      <c r="P19" s="13">
        <f>IF(E19="Under review",COUNTIFS($E:$E,"Under review",$F:$F,"&lt;"&amp;F19)+COUNTIFS($E$1:E19,"Under review",$F$1:F19,F19),"")</f>
        <v/>
      </c>
      <c r="Q19" s="13">
        <f>IF(B19="","",A19&amp;"|"&amp;E19)</f>
        <v/>
      </c>
    </row>
    <row r="20">
      <c r="A20" s="13" t="n"/>
      <c r="B20" s="13" t="n"/>
      <c r="C20" s="13">
        <f>IF(B20="","",IFERROR(VLOOKUP(B20,Journals!$A:$B,2,FALSE),IFERROR(VLOOKUP(B20,'ABDC list'!$A:$B,2,FALSE),"")))</f>
        <v/>
      </c>
      <c r="D20" s="13" t="n"/>
      <c r="E20" s="13" t="n"/>
      <c r="F20" s="14" t="n"/>
      <c r="G20" s="14" t="n"/>
      <c r="H20" s="13">
        <f>IF(OR(F20="",E20="Planned"),"",IF(G20&lt;&gt;"",G20-F20,TODAY()-F20))</f>
        <v/>
      </c>
      <c r="I20" s="11" t="n"/>
      <c r="J20" s="11" t="n"/>
      <c r="K20" s="13" t="n"/>
      <c r="L20" s="11" t="n"/>
      <c r="M20" s="14" t="n"/>
      <c r="N20" s="13" t="n"/>
      <c r="O20" s="13" t="n"/>
      <c r="P20" s="13">
        <f>IF(E20="Under review",COUNTIFS($E:$E,"Under review",$F:$F,"&lt;"&amp;F20)+COUNTIFS($E$1:E20,"Under review",$F$1:F20,F20),"")</f>
        <v/>
      </c>
      <c r="Q20" s="13">
        <f>IF(B20="","",A20&amp;"|"&amp;E20)</f>
        <v/>
      </c>
    </row>
    <row r="21">
      <c r="A21" s="13" t="n"/>
      <c r="B21" s="13" t="n"/>
      <c r="C21" s="13">
        <f>IF(B21="","",IFERROR(VLOOKUP(B21,Journals!$A:$B,2,FALSE),IFERROR(VLOOKUP(B21,'ABDC list'!$A:$B,2,FALSE),"")))</f>
        <v/>
      </c>
      <c r="D21" s="13" t="n"/>
      <c r="E21" s="13" t="n"/>
      <c r="F21" s="14" t="n"/>
      <c r="G21" s="14" t="n"/>
      <c r="H21" s="13">
        <f>IF(OR(F21="",E21="Planned"),"",IF(G21&lt;&gt;"",G21-F21,TODAY()-F21))</f>
        <v/>
      </c>
      <c r="I21" s="11" t="n"/>
      <c r="J21" s="11" t="n"/>
      <c r="K21" s="13" t="n"/>
      <c r="L21" s="11" t="n"/>
      <c r="M21" s="14" t="n"/>
      <c r="N21" s="13" t="n"/>
      <c r="O21" s="13" t="n"/>
      <c r="P21" s="13">
        <f>IF(E21="Under review",COUNTIFS($E:$E,"Under review",$F:$F,"&lt;"&amp;F21)+COUNTIFS($E$1:E21,"Under review",$F$1:F21,F21),"")</f>
        <v/>
      </c>
      <c r="Q21" s="13">
        <f>IF(B21="","",A21&amp;"|"&amp;E21)</f>
        <v/>
      </c>
    </row>
    <row r="22">
      <c r="A22" s="13" t="n"/>
      <c r="B22" s="13" t="n"/>
      <c r="C22" s="13">
        <f>IF(B22="","",IFERROR(VLOOKUP(B22,Journals!$A:$B,2,FALSE),IFERROR(VLOOKUP(B22,'ABDC list'!$A:$B,2,FALSE),"")))</f>
        <v/>
      </c>
      <c r="D22" s="13" t="n"/>
      <c r="E22" s="13" t="n"/>
      <c r="F22" s="14" t="n"/>
      <c r="G22" s="14" t="n"/>
      <c r="H22" s="13">
        <f>IF(OR(F22="",E22="Planned"),"",IF(G22&lt;&gt;"",G22-F22,TODAY()-F22))</f>
        <v/>
      </c>
      <c r="I22" s="11" t="n"/>
      <c r="J22" s="11" t="n"/>
      <c r="K22" s="13" t="n"/>
      <c r="L22" s="11" t="n"/>
      <c r="M22" s="14" t="n"/>
      <c r="N22" s="13" t="n"/>
      <c r="O22" s="13" t="n"/>
      <c r="P22" s="13">
        <f>IF(E22="Under review",COUNTIFS($E:$E,"Under review",$F:$F,"&lt;"&amp;F22)+COUNTIFS($E$1:E22,"Under review",$F$1:F22,F22),"")</f>
        <v/>
      </c>
      <c r="Q22" s="13">
        <f>IF(B22="","",A22&amp;"|"&amp;E22)</f>
        <v/>
      </c>
    </row>
    <row r="23">
      <c r="A23" s="13" t="n"/>
      <c r="B23" s="13" t="n"/>
      <c r="C23" s="13">
        <f>IF(B23="","",IFERROR(VLOOKUP(B23,Journals!$A:$B,2,FALSE),IFERROR(VLOOKUP(B23,'ABDC list'!$A:$B,2,FALSE),"")))</f>
        <v/>
      </c>
      <c r="D23" s="13" t="n"/>
      <c r="E23" s="13" t="n"/>
      <c r="F23" s="14" t="n"/>
      <c r="G23" s="14" t="n"/>
      <c r="H23" s="13">
        <f>IF(OR(F23="",E23="Planned"),"",IF(G23&lt;&gt;"",G23-F23,TODAY()-F23))</f>
        <v/>
      </c>
      <c r="I23" s="11" t="n"/>
      <c r="J23" s="11" t="n"/>
      <c r="K23" s="13" t="n"/>
      <c r="L23" s="11" t="n"/>
      <c r="M23" s="14" t="n"/>
      <c r="N23" s="13" t="n"/>
      <c r="O23" s="13" t="n"/>
      <c r="P23" s="13">
        <f>IF(E23="Under review",COUNTIFS($E:$E,"Under review",$F:$F,"&lt;"&amp;F23)+COUNTIFS($E$1:E23,"Under review",$F$1:F23,F23),"")</f>
        <v/>
      </c>
      <c r="Q23" s="13">
        <f>IF(B23="","",A23&amp;"|"&amp;E23)</f>
        <v/>
      </c>
    </row>
    <row r="24">
      <c r="A24" s="13" t="n"/>
      <c r="B24" s="13" t="n"/>
      <c r="C24" s="13">
        <f>IF(B24="","",IFERROR(VLOOKUP(B24,Journals!$A:$B,2,FALSE),IFERROR(VLOOKUP(B24,'ABDC list'!$A:$B,2,FALSE),"")))</f>
        <v/>
      </c>
      <c r="D24" s="13" t="n"/>
      <c r="E24" s="13" t="n"/>
      <c r="F24" s="14" t="n"/>
      <c r="G24" s="14" t="n"/>
      <c r="H24" s="13">
        <f>IF(OR(F24="",E24="Planned"),"",IF(G24&lt;&gt;"",G24-F24,TODAY()-F24))</f>
        <v/>
      </c>
      <c r="I24" s="11" t="n"/>
      <c r="J24" s="11" t="n"/>
      <c r="K24" s="13" t="n"/>
      <c r="L24" s="11" t="n"/>
      <c r="M24" s="14" t="n"/>
      <c r="N24" s="13" t="n"/>
      <c r="O24" s="13" t="n"/>
      <c r="P24" s="13">
        <f>IF(E24="Under review",COUNTIFS($E:$E,"Under review",$F:$F,"&lt;"&amp;F24)+COUNTIFS($E$1:E24,"Under review",$F$1:F24,F24),"")</f>
        <v/>
      </c>
      <c r="Q24" s="13">
        <f>IF(B24="","",A24&amp;"|"&amp;E24)</f>
        <v/>
      </c>
    </row>
    <row r="25">
      <c r="A25" s="13" t="n"/>
      <c r="B25" s="13" t="n"/>
      <c r="C25" s="13">
        <f>IF(B25="","",IFERROR(VLOOKUP(B25,Journals!$A:$B,2,FALSE),IFERROR(VLOOKUP(B25,'ABDC list'!$A:$B,2,FALSE),"")))</f>
        <v/>
      </c>
      <c r="D25" s="13" t="n"/>
      <c r="E25" s="13" t="n"/>
      <c r="F25" s="14" t="n"/>
      <c r="G25" s="14" t="n"/>
      <c r="H25" s="13">
        <f>IF(OR(F25="",E25="Planned"),"",IF(G25&lt;&gt;"",G25-F25,TODAY()-F25))</f>
        <v/>
      </c>
      <c r="I25" s="11" t="n"/>
      <c r="J25" s="11" t="n"/>
      <c r="K25" s="13" t="n"/>
      <c r="L25" s="11" t="n"/>
      <c r="M25" s="14" t="n"/>
      <c r="N25" s="13" t="n"/>
      <c r="O25" s="13" t="n"/>
      <c r="P25" s="13">
        <f>IF(E25="Under review",COUNTIFS($E:$E,"Under review",$F:$F,"&lt;"&amp;F25)+COUNTIFS($E$1:E25,"Under review",$F$1:F25,F25),"")</f>
        <v/>
      </c>
      <c r="Q25" s="13">
        <f>IF(B25="","",A25&amp;"|"&amp;E25)</f>
        <v/>
      </c>
    </row>
    <row r="26">
      <c r="A26" s="13" t="n"/>
      <c r="B26" s="13" t="n"/>
      <c r="C26" s="13">
        <f>IF(B26="","",IFERROR(VLOOKUP(B26,Journals!$A:$B,2,FALSE),IFERROR(VLOOKUP(B26,'ABDC list'!$A:$B,2,FALSE),"")))</f>
        <v/>
      </c>
      <c r="D26" s="13" t="n"/>
      <c r="E26" s="13" t="n"/>
      <c r="F26" s="14" t="n"/>
      <c r="G26" s="14" t="n"/>
      <c r="H26" s="13">
        <f>IF(OR(F26="",E26="Planned"),"",IF(G26&lt;&gt;"",G26-F26,TODAY()-F26))</f>
        <v/>
      </c>
      <c r="I26" s="11" t="n"/>
      <c r="J26" s="11" t="n"/>
      <c r="K26" s="13" t="n"/>
      <c r="L26" s="11" t="n"/>
      <c r="M26" s="14" t="n"/>
      <c r="N26" s="13" t="n"/>
      <c r="O26" s="13" t="n"/>
      <c r="P26" s="13">
        <f>IF(E26="Under review",COUNTIFS($E:$E,"Under review",$F:$F,"&lt;"&amp;F26)+COUNTIFS($E$1:E26,"Under review",$F$1:F26,F26),"")</f>
        <v/>
      </c>
      <c r="Q26" s="13">
        <f>IF(B26="","",A26&amp;"|"&amp;E26)</f>
        <v/>
      </c>
    </row>
    <row r="27">
      <c r="A27" s="13" t="n"/>
      <c r="B27" s="13" t="n"/>
      <c r="C27" s="13">
        <f>IF(B27="","",IFERROR(VLOOKUP(B27,Journals!$A:$B,2,FALSE),IFERROR(VLOOKUP(B27,'ABDC list'!$A:$B,2,FALSE),"")))</f>
        <v/>
      </c>
      <c r="D27" s="13" t="n"/>
      <c r="E27" s="13" t="n"/>
      <c r="F27" s="14" t="n"/>
      <c r="G27" s="14" t="n"/>
      <c r="H27" s="13">
        <f>IF(OR(F27="",E27="Planned"),"",IF(G27&lt;&gt;"",G27-F27,TODAY()-F27))</f>
        <v/>
      </c>
      <c r="I27" s="11" t="n"/>
      <c r="J27" s="11" t="n"/>
      <c r="K27" s="13" t="n"/>
      <c r="L27" s="11" t="n"/>
      <c r="M27" s="14" t="n"/>
      <c r="N27" s="13" t="n"/>
      <c r="O27" s="13" t="n"/>
      <c r="P27" s="13">
        <f>IF(E27="Under review",COUNTIFS($E:$E,"Under review",$F:$F,"&lt;"&amp;F27)+COUNTIFS($E$1:E27,"Under review",$F$1:F27,F27),"")</f>
        <v/>
      </c>
      <c r="Q27" s="13">
        <f>IF(B27="","",A27&amp;"|"&amp;E27)</f>
        <v/>
      </c>
    </row>
    <row r="28">
      <c r="A28" s="13" t="n"/>
      <c r="B28" s="13" t="n"/>
      <c r="C28" s="13">
        <f>IF(B28="","",IFERROR(VLOOKUP(B28,Journals!$A:$B,2,FALSE),IFERROR(VLOOKUP(B28,'ABDC list'!$A:$B,2,FALSE),"")))</f>
        <v/>
      </c>
      <c r="D28" s="13" t="n"/>
      <c r="E28" s="13" t="n"/>
      <c r="F28" s="14" t="n"/>
      <c r="G28" s="14" t="n"/>
      <c r="H28" s="13">
        <f>IF(OR(F28="",E28="Planned"),"",IF(G28&lt;&gt;"",G28-F28,TODAY()-F28))</f>
        <v/>
      </c>
      <c r="I28" s="11" t="n"/>
      <c r="J28" s="11" t="n"/>
      <c r="K28" s="13" t="n"/>
      <c r="L28" s="11" t="n"/>
      <c r="M28" s="14" t="n"/>
      <c r="N28" s="13" t="n"/>
      <c r="O28" s="13" t="n"/>
      <c r="P28" s="13">
        <f>IF(E28="Under review",COUNTIFS($E:$E,"Under review",$F:$F,"&lt;"&amp;F28)+COUNTIFS($E$1:E28,"Under review",$F$1:F28,F28),"")</f>
        <v/>
      </c>
      <c r="Q28" s="13">
        <f>IF(B28="","",A28&amp;"|"&amp;E28)</f>
        <v/>
      </c>
    </row>
    <row r="29">
      <c r="A29" s="13" t="n"/>
      <c r="B29" s="13" t="n"/>
      <c r="C29" s="13">
        <f>IF(B29="","",IFERROR(VLOOKUP(B29,Journals!$A:$B,2,FALSE),IFERROR(VLOOKUP(B29,'ABDC list'!$A:$B,2,FALSE),"")))</f>
        <v/>
      </c>
      <c r="D29" s="13" t="n"/>
      <c r="E29" s="13" t="n"/>
      <c r="F29" s="14" t="n"/>
      <c r="G29" s="14" t="n"/>
      <c r="H29" s="13">
        <f>IF(OR(F29="",E29="Planned"),"",IF(G29&lt;&gt;"",G29-F29,TODAY()-F29))</f>
        <v/>
      </c>
      <c r="I29" s="11" t="n"/>
      <c r="J29" s="11" t="n"/>
      <c r="K29" s="13" t="n"/>
      <c r="L29" s="11" t="n"/>
      <c r="M29" s="14" t="n"/>
      <c r="N29" s="13" t="n"/>
      <c r="O29" s="13" t="n"/>
      <c r="P29" s="13">
        <f>IF(E29="Under review",COUNTIFS($E:$E,"Under review",$F:$F,"&lt;"&amp;F29)+COUNTIFS($E$1:E29,"Under review",$F$1:F29,F29),"")</f>
        <v/>
      </c>
      <c r="Q29" s="13">
        <f>IF(B29="","",A29&amp;"|"&amp;E29)</f>
        <v/>
      </c>
    </row>
    <row r="30">
      <c r="A30" s="13" t="n"/>
      <c r="B30" s="13" t="n"/>
      <c r="C30" s="13">
        <f>IF(B30="","",IFERROR(VLOOKUP(B30,Journals!$A:$B,2,FALSE),IFERROR(VLOOKUP(B30,'ABDC list'!$A:$B,2,FALSE),"")))</f>
        <v/>
      </c>
      <c r="D30" s="13" t="n"/>
      <c r="E30" s="13" t="n"/>
      <c r="F30" s="14" t="n"/>
      <c r="G30" s="14" t="n"/>
      <c r="H30" s="13">
        <f>IF(OR(F30="",E30="Planned"),"",IF(G30&lt;&gt;"",G30-F30,TODAY()-F30))</f>
        <v/>
      </c>
      <c r="I30" s="11" t="n"/>
      <c r="J30" s="11" t="n"/>
      <c r="K30" s="13" t="n"/>
      <c r="L30" s="11" t="n"/>
      <c r="M30" s="14" t="n"/>
      <c r="N30" s="13" t="n"/>
      <c r="O30" s="13" t="n"/>
      <c r="P30" s="13">
        <f>IF(E30="Under review",COUNTIFS($E:$E,"Under review",$F:$F,"&lt;"&amp;F30)+COUNTIFS($E$1:E30,"Under review",$F$1:F30,F30),"")</f>
        <v/>
      </c>
      <c r="Q30" s="13">
        <f>IF(B30="","",A30&amp;"|"&amp;E30)</f>
        <v/>
      </c>
    </row>
    <row r="31">
      <c r="A31" s="13" t="n"/>
      <c r="B31" s="13" t="n"/>
      <c r="C31" s="13">
        <f>IF(B31="","",IFERROR(VLOOKUP(B31,Journals!$A:$B,2,FALSE),IFERROR(VLOOKUP(B31,'ABDC list'!$A:$B,2,FALSE),"")))</f>
        <v/>
      </c>
      <c r="D31" s="13" t="n"/>
      <c r="E31" s="13" t="n"/>
      <c r="F31" s="14" t="n"/>
      <c r="G31" s="14" t="n"/>
      <c r="H31" s="13">
        <f>IF(OR(F31="",E31="Planned"),"",IF(G31&lt;&gt;"",G31-F31,TODAY()-F31))</f>
        <v/>
      </c>
      <c r="I31" s="11" t="n"/>
      <c r="J31" s="11" t="n"/>
      <c r="K31" s="13" t="n"/>
      <c r="L31" s="11" t="n"/>
      <c r="M31" s="14" t="n"/>
      <c r="N31" s="13" t="n"/>
      <c r="O31" s="13" t="n"/>
      <c r="P31" s="13">
        <f>IF(E31="Under review",COUNTIFS($E:$E,"Under review",$F:$F,"&lt;"&amp;F31)+COUNTIFS($E$1:E31,"Under review",$F$1:F31,F31),"")</f>
        <v/>
      </c>
      <c r="Q31" s="13">
        <f>IF(B31="","",A31&amp;"|"&amp;E31)</f>
        <v/>
      </c>
    </row>
    <row r="32">
      <c r="A32" s="13" t="n"/>
      <c r="B32" s="13" t="n"/>
      <c r="C32" s="13">
        <f>IF(B32="","",IFERROR(VLOOKUP(B32,Journals!$A:$B,2,FALSE),IFERROR(VLOOKUP(B32,'ABDC list'!$A:$B,2,FALSE),"")))</f>
        <v/>
      </c>
      <c r="D32" s="13" t="n"/>
      <c r="E32" s="13" t="n"/>
      <c r="F32" s="14" t="n"/>
      <c r="G32" s="14" t="n"/>
      <c r="H32" s="13">
        <f>IF(OR(F32="",E32="Planned"),"",IF(G32&lt;&gt;"",G32-F32,TODAY()-F32))</f>
        <v/>
      </c>
      <c r="I32" s="11" t="n"/>
      <c r="J32" s="11" t="n"/>
      <c r="K32" s="13" t="n"/>
      <c r="L32" s="11" t="n"/>
      <c r="M32" s="14" t="n"/>
      <c r="N32" s="13" t="n"/>
      <c r="O32" s="13" t="n"/>
      <c r="P32" s="13">
        <f>IF(E32="Under review",COUNTIFS($E:$E,"Under review",$F:$F,"&lt;"&amp;F32)+COUNTIFS($E$1:E32,"Under review",$F$1:F32,F32),"")</f>
        <v/>
      </c>
      <c r="Q32" s="13">
        <f>IF(B32="","",A32&amp;"|"&amp;E32)</f>
        <v/>
      </c>
    </row>
    <row r="33">
      <c r="A33" s="13" t="n"/>
      <c r="B33" s="13" t="n"/>
      <c r="C33" s="13">
        <f>IF(B33="","",IFERROR(VLOOKUP(B33,Journals!$A:$B,2,FALSE),IFERROR(VLOOKUP(B33,'ABDC list'!$A:$B,2,FALSE),"")))</f>
        <v/>
      </c>
      <c r="D33" s="13" t="n"/>
      <c r="E33" s="13" t="n"/>
      <c r="F33" s="14" t="n"/>
      <c r="G33" s="14" t="n"/>
      <c r="H33" s="13">
        <f>IF(OR(F33="",E33="Planned"),"",IF(G33&lt;&gt;"",G33-F33,TODAY()-F33))</f>
        <v/>
      </c>
      <c r="I33" s="11" t="n"/>
      <c r="J33" s="11" t="n"/>
      <c r="K33" s="13" t="n"/>
      <c r="L33" s="11" t="n"/>
      <c r="M33" s="14" t="n"/>
      <c r="N33" s="13" t="n"/>
      <c r="O33" s="13" t="n"/>
      <c r="P33" s="13">
        <f>IF(E33="Under review",COUNTIFS($E:$E,"Under review",$F:$F,"&lt;"&amp;F33)+COUNTIFS($E$1:E33,"Under review",$F$1:F33,F33),"")</f>
        <v/>
      </c>
      <c r="Q33" s="13">
        <f>IF(B33="","",A33&amp;"|"&amp;E33)</f>
        <v/>
      </c>
    </row>
    <row r="34">
      <c r="A34" s="13" t="n"/>
      <c r="B34" s="13" t="n"/>
      <c r="C34" s="13">
        <f>IF(B34="","",IFERROR(VLOOKUP(B34,Journals!$A:$B,2,FALSE),IFERROR(VLOOKUP(B34,'ABDC list'!$A:$B,2,FALSE),"")))</f>
        <v/>
      </c>
      <c r="D34" s="13" t="n"/>
      <c r="E34" s="13" t="n"/>
      <c r="F34" s="14" t="n"/>
      <c r="G34" s="14" t="n"/>
      <c r="H34" s="13">
        <f>IF(OR(F34="",E34="Planned"),"",IF(G34&lt;&gt;"",G34-F34,TODAY()-F34))</f>
        <v/>
      </c>
      <c r="I34" s="11" t="n"/>
      <c r="J34" s="11" t="n"/>
      <c r="K34" s="13" t="n"/>
      <c r="L34" s="11" t="n"/>
      <c r="M34" s="14" t="n"/>
      <c r="N34" s="13" t="n"/>
      <c r="O34" s="13" t="n"/>
      <c r="P34" s="13">
        <f>IF(E34="Under review",COUNTIFS($E:$E,"Under review",$F:$F,"&lt;"&amp;F34)+COUNTIFS($E$1:E34,"Under review",$F$1:F34,F34),"")</f>
        <v/>
      </c>
      <c r="Q34" s="13">
        <f>IF(B34="","",A34&amp;"|"&amp;E34)</f>
        <v/>
      </c>
    </row>
    <row r="35">
      <c r="A35" s="13" t="n"/>
      <c r="B35" s="13" t="n"/>
      <c r="C35" s="13">
        <f>IF(B35="","",IFERROR(VLOOKUP(B35,Journals!$A:$B,2,FALSE),IFERROR(VLOOKUP(B35,'ABDC list'!$A:$B,2,FALSE),"")))</f>
        <v/>
      </c>
      <c r="D35" s="13" t="n"/>
      <c r="E35" s="13" t="n"/>
      <c r="F35" s="14" t="n"/>
      <c r="G35" s="14" t="n"/>
      <c r="H35" s="13">
        <f>IF(OR(F35="",E35="Planned"),"",IF(G35&lt;&gt;"",G35-F35,TODAY()-F35))</f>
        <v/>
      </c>
      <c r="I35" s="11" t="n"/>
      <c r="J35" s="11" t="n"/>
      <c r="K35" s="13" t="n"/>
      <c r="L35" s="11" t="n"/>
      <c r="M35" s="14" t="n"/>
      <c r="N35" s="13" t="n"/>
      <c r="O35" s="13" t="n"/>
      <c r="P35" s="13">
        <f>IF(E35="Under review",COUNTIFS($E:$E,"Under review",$F:$F,"&lt;"&amp;F35)+COUNTIFS($E$1:E35,"Under review",$F$1:F35,F35),"")</f>
        <v/>
      </c>
      <c r="Q35" s="13">
        <f>IF(B35="","",A35&amp;"|"&amp;E35)</f>
        <v/>
      </c>
    </row>
    <row r="36">
      <c r="A36" s="13" t="n"/>
      <c r="B36" s="13" t="n"/>
      <c r="C36" s="13">
        <f>IF(B36="","",IFERROR(VLOOKUP(B36,Journals!$A:$B,2,FALSE),IFERROR(VLOOKUP(B36,'ABDC list'!$A:$B,2,FALSE),"")))</f>
        <v/>
      </c>
      <c r="D36" s="13" t="n"/>
      <c r="E36" s="13" t="n"/>
      <c r="F36" s="14" t="n"/>
      <c r="G36" s="14" t="n"/>
      <c r="H36" s="13">
        <f>IF(OR(F36="",E36="Planned"),"",IF(G36&lt;&gt;"",G36-F36,TODAY()-F36))</f>
        <v/>
      </c>
      <c r="I36" s="11" t="n"/>
      <c r="J36" s="11" t="n"/>
      <c r="K36" s="13" t="n"/>
      <c r="L36" s="11" t="n"/>
      <c r="M36" s="14" t="n"/>
      <c r="N36" s="13" t="n"/>
      <c r="O36" s="13" t="n"/>
      <c r="P36" s="13">
        <f>IF(E36="Under review",COUNTIFS($E:$E,"Under review",$F:$F,"&lt;"&amp;F36)+COUNTIFS($E$1:E36,"Under review",$F$1:F36,F36),"")</f>
        <v/>
      </c>
      <c r="Q36" s="13">
        <f>IF(B36="","",A36&amp;"|"&amp;E36)</f>
        <v/>
      </c>
    </row>
    <row r="37">
      <c r="A37" s="13" t="n"/>
      <c r="B37" s="13" t="n"/>
      <c r="C37" s="13">
        <f>IF(B37="","",IFERROR(VLOOKUP(B37,Journals!$A:$B,2,FALSE),IFERROR(VLOOKUP(B37,'ABDC list'!$A:$B,2,FALSE),"")))</f>
        <v/>
      </c>
      <c r="D37" s="13" t="n"/>
      <c r="E37" s="13" t="n"/>
      <c r="F37" s="14" t="n"/>
      <c r="G37" s="14" t="n"/>
      <c r="H37" s="13">
        <f>IF(OR(F37="",E37="Planned"),"",IF(G37&lt;&gt;"",G37-F37,TODAY()-F37))</f>
        <v/>
      </c>
      <c r="I37" s="11" t="n"/>
      <c r="J37" s="11" t="n"/>
      <c r="K37" s="13" t="n"/>
      <c r="L37" s="11" t="n"/>
      <c r="M37" s="14" t="n"/>
      <c r="N37" s="13" t="n"/>
      <c r="O37" s="13" t="n"/>
      <c r="P37" s="13">
        <f>IF(E37="Under review",COUNTIFS($E:$E,"Under review",$F:$F,"&lt;"&amp;F37)+COUNTIFS($E$1:E37,"Under review",$F$1:F37,F37),"")</f>
        <v/>
      </c>
      <c r="Q37" s="13">
        <f>IF(B37="","",A37&amp;"|"&amp;E37)</f>
        <v/>
      </c>
    </row>
    <row r="38">
      <c r="A38" s="13" t="n"/>
      <c r="B38" s="13" t="n"/>
      <c r="C38" s="13">
        <f>IF(B38="","",IFERROR(VLOOKUP(B38,Journals!$A:$B,2,FALSE),IFERROR(VLOOKUP(B38,'ABDC list'!$A:$B,2,FALSE),"")))</f>
        <v/>
      </c>
      <c r="D38" s="13" t="n"/>
      <c r="E38" s="13" t="n"/>
      <c r="F38" s="14" t="n"/>
      <c r="G38" s="14" t="n"/>
      <c r="H38" s="13">
        <f>IF(OR(F38="",E38="Planned"),"",IF(G38&lt;&gt;"",G38-F38,TODAY()-F38))</f>
        <v/>
      </c>
      <c r="I38" s="11" t="n"/>
      <c r="J38" s="11" t="n"/>
      <c r="K38" s="13" t="n"/>
      <c r="L38" s="11" t="n"/>
      <c r="M38" s="14" t="n"/>
      <c r="N38" s="13" t="n"/>
      <c r="O38" s="13" t="n"/>
      <c r="P38" s="13">
        <f>IF(E38="Under review",COUNTIFS($E:$E,"Under review",$F:$F,"&lt;"&amp;F38)+COUNTIFS($E$1:E38,"Under review",$F$1:F38,F38),"")</f>
        <v/>
      </c>
      <c r="Q38" s="13">
        <f>IF(B38="","",A38&amp;"|"&amp;E38)</f>
        <v/>
      </c>
    </row>
    <row r="39">
      <c r="A39" s="13" t="n"/>
      <c r="B39" s="13" t="n"/>
      <c r="C39" s="13">
        <f>IF(B39="","",IFERROR(VLOOKUP(B39,Journals!$A:$B,2,FALSE),IFERROR(VLOOKUP(B39,'ABDC list'!$A:$B,2,FALSE),"")))</f>
        <v/>
      </c>
      <c r="D39" s="13" t="n"/>
      <c r="E39" s="13" t="n"/>
      <c r="F39" s="14" t="n"/>
      <c r="G39" s="14" t="n"/>
      <c r="H39" s="13">
        <f>IF(OR(F39="",E39="Planned"),"",IF(G39&lt;&gt;"",G39-F39,TODAY()-F39))</f>
        <v/>
      </c>
      <c r="I39" s="11" t="n"/>
      <c r="J39" s="11" t="n"/>
      <c r="K39" s="13" t="n"/>
      <c r="L39" s="11" t="n"/>
      <c r="M39" s="14" t="n"/>
      <c r="N39" s="13" t="n"/>
      <c r="O39" s="13" t="n"/>
      <c r="P39" s="13">
        <f>IF(E39="Under review",COUNTIFS($E:$E,"Under review",$F:$F,"&lt;"&amp;F39)+COUNTIFS($E$1:E39,"Under review",$F$1:F39,F39),"")</f>
        <v/>
      </c>
      <c r="Q39" s="13">
        <f>IF(B39="","",A39&amp;"|"&amp;E39)</f>
        <v/>
      </c>
    </row>
    <row r="40">
      <c r="A40" s="13" t="n"/>
      <c r="B40" s="13" t="n"/>
      <c r="C40" s="13">
        <f>IF(B40="","",IFERROR(VLOOKUP(B40,Journals!$A:$B,2,FALSE),IFERROR(VLOOKUP(B40,'ABDC list'!$A:$B,2,FALSE),"")))</f>
        <v/>
      </c>
      <c r="D40" s="13" t="n"/>
      <c r="E40" s="13" t="n"/>
      <c r="F40" s="14" t="n"/>
      <c r="G40" s="14" t="n"/>
      <c r="H40" s="13">
        <f>IF(OR(F40="",E40="Planned"),"",IF(G40&lt;&gt;"",G40-F40,TODAY()-F40))</f>
        <v/>
      </c>
      <c r="I40" s="11" t="n"/>
      <c r="J40" s="11" t="n"/>
      <c r="K40" s="13" t="n"/>
      <c r="L40" s="11" t="n"/>
      <c r="M40" s="14" t="n"/>
      <c r="N40" s="13" t="n"/>
      <c r="O40" s="13" t="n"/>
      <c r="P40" s="13">
        <f>IF(E40="Under review",COUNTIFS($E:$E,"Under review",$F:$F,"&lt;"&amp;F40)+COUNTIFS($E$1:E40,"Under review",$F$1:F40,F40),"")</f>
        <v/>
      </c>
      <c r="Q40" s="13">
        <f>IF(B40="","",A40&amp;"|"&amp;E40)</f>
        <v/>
      </c>
    </row>
    <row r="41">
      <c r="A41" s="13" t="n"/>
      <c r="B41" s="13" t="n"/>
      <c r="C41" s="13">
        <f>IF(B41="","",IFERROR(VLOOKUP(B41,Journals!$A:$B,2,FALSE),IFERROR(VLOOKUP(B41,'ABDC list'!$A:$B,2,FALSE),"")))</f>
        <v/>
      </c>
      <c r="D41" s="13" t="n"/>
      <c r="E41" s="13" t="n"/>
      <c r="F41" s="14" t="n"/>
      <c r="G41" s="14" t="n"/>
      <c r="H41" s="13">
        <f>IF(OR(F41="",E41="Planned"),"",IF(G41&lt;&gt;"",G41-F41,TODAY()-F41))</f>
        <v/>
      </c>
      <c r="I41" s="11" t="n"/>
      <c r="J41" s="11" t="n"/>
      <c r="K41" s="13" t="n"/>
      <c r="L41" s="11" t="n"/>
      <c r="M41" s="14" t="n"/>
      <c r="N41" s="13" t="n"/>
      <c r="O41" s="13" t="n"/>
      <c r="P41" s="13">
        <f>IF(E41="Under review",COUNTIFS($E:$E,"Under review",$F:$F,"&lt;"&amp;F41)+COUNTIFS($E$1:E41,"Under review",$F$1:F41,F41),"")</f>
        <v/>
      </c>
      <c r="Q41" s="13">
        <f>IF(B41="","",A41&amp;"|"&amp;E41)</f>
        <v/>
      </c>
    </row>
    <row r="42">
      <c r="A42" s="13" t="n"/>
      <c r="B42" s="13" t="n"/>
      <c r="C42" s="13">
        <f>IF(B42="","",IFERROR(VLOOKUP(B42,Journals!$A:$B,2,FALSE),IFERROR(VLOOKUP(B42,'ABDC list'!$A:$B,2,FALSE),"")))</f>
        <v/>
      </c>
      <c r="D42" s="13" t="n"/>
      <c r="E42" s="13" t="n"/>
      <c r="F42" s="14" t="n"/>
      <c r="G42" s="14" t="n"/>
      <c r="H42" s="13">
        <f>IF(OR(F42="",E42="Planned"),"",IF(G42&lt;&gt;"",G42-F42,TODAY()-F42))</f>
        <v/>
      </c>
      <c r="I42" s="11" t="n"/>
      <c r="J42" s="11" t="n"/>
      <c r="K42" s="13" t="n"/>
      <c r="L42" s="11" t="n"/>
      <c r="M42" s="14" t="n"/>
      <c r="N42" s="13" t="n"/>
      <c r="O42" s="13" t="n"/>
      <c r="P42" s="13">
        <f>IF(E42="Under review",COUNTIFS($E:$E,"Under review",$F:$F,"&lt;"&amp;F42)+COUNTIFS($E$1:E42,"Under review",$F$1:F42,F42),"")</f>
        <v/>
      </c>
      <c r="Q42" s="13">
        <f>IF(B42="","",A42&amp;"|"&amp;E42)</f>
        <v/>
      </c>
    </row>
    <row r="43">
      <c r="A43" s="13" t="n"/>
      <c r="B43" s="13" t="n"/>
      <c r="C43" s="13">
        <f>IF(B43="","",IFERROR(VLOOKUP(B43,Journals!$A:$B,2,FALSE),IFERROR(VLOOKUP(B43,'ABDC list'!$A:$B,2,FALSE),"")))</f>
        <v/>
      </c>
      <c r="D43" s="13" t="n"/>
      <c r="E43" s="13" t="n"/>
      <c r="F43" s="14" t="n"/>
      <c r="G43" s="14" t="n"/>
      <c r="H43" s="13">
        <f>IF(OR(F43="",E43="Planned"),"",IF(G43&lt;&gt;"",G43-F43,TODAY()-F43))</f>
        <v/>
      </c>
      <c r="I43" s="11" t="n"/>
      <c r="J43" s="11" t="n"/>
      <c r="K43" s="13" t="n"/>
      <c r="L43" s="11" t="n"/>
      <c r="M43" s="14" t="n"/>
      <c r="N43" s="13" t="n"/>
      <c r="O43" s="13" t="n"/>
      <c r="P43" s="13">
        <f>IF(E43="Under review",COUNTIFS($E:$E,"Under review",$F:$F,"&lt;"&amp;F43)+COUNTIFS($E$1:E43,"Under review",$F$1:F43,F43),"")</f>
        <v/>
      </c>
      <c r="Q43" s="13">
        <f>IF(B43="","",A43&amp;"|"&amp;E43)</f>
        <v/>
      </c>
    </row>
    <row r="44">
      <c r="A44" s="13" t="n"/>
      <c r="B44" s="13" t="n"/>
      <c r="C44" s="13">
        <f>IF(B44="","",IFERROR(VLOOKUP(B44,Journals!$A:$B,2,FALSE),IFERROR(VLOOKUP(B44,'ABDC list'!$A:$B,2,FALSE),"")))</f>
        <v/>
      </c>
      <c r="D44" s="13" t="n"/>
      <c r="E44" s="13" t="n"/>
      <c r="F44" s="14" t="n"/>
      <c r="G44" s="14" t="n"/>
      <c r="H44" s="13">
        <f>IF(OR(F44="",E44="Planned"),"",IF(G44&lt;&gt;"",G44-F44,TODAY()-F44))</f>
        <v/>
      </c>
      <c r="I44" s="11" t="n"/>
      <c r="J44" s="11" t="n"/>
      <c r="K44" s="13" t="n"/>
      <c r="L44" s="11" t="n"/>
      <c r="M44" s="14" t="n"/>
      <c r="N44" s="13" t="n"/>
      <c r="O44" s="13" t="n"/>
      <c r="P44" s="13">
        <f>IF(E44="Under review",COUNTIFS($E:$E,"Under review",$F:$F,"&lt;"&amp;F44)+COUNTIFS($E$1:E44,"Under review",$F$1:F44,F44),"")</f>
        <v/>
      </c>
      <c r="Q44" s="13">
        <f>IF(B44="","",A44&amp;"|"&amp;E44)</f>
        <v/>
      </c>
    </row>
    <row r="45">
      <c r="A45" s="13" t="n"/>
      <c r="B45" s="13" t="n"/>
      <c r="C45" s="13">
        <f>IF(B45="","",IFERROR(VLOOKUP(B45,Journals!$A:$B,2,FALSE),IFERROR(VLOOKUP(B45,'ABDC list'!$A:$B,2,FALSE),"")))</f>
        <v/>
      </c>
      <c r="D45" s="13" t="n"/>
      <c r="E45" s="13" t="n"/>
      <c r="F45" s="14" t="n"/>
      <c r="G45" s="14" t="n"/>
      <c r="H45" s="13">
        <f>IF(OR(F45="",E45="Planned"),"",IF(G45&lt;&gt;"",G45-F45,TODAY()-F45))</f>
        <v/>
      </c>
      <c r="I45" s="11" t="n"/>
      <c r="J45" s="11" t="n"/>
      <c r="K45" s="13" t="n"/>
      <c r="L45" s="11" t="n"/>
      <c r="M45" s="14" t="n"/>
      <c r="N45" s="13" t="n"/>
      <c r="O45" s="13" t="n"/>
      <c r="P45" s="13">
        <f>IF(E45="Under review",COUNTIFS($E:$E,"Under review",$F:$F,"&lt;"&amp;F45)+COUNTIFS($E$1:E45,"Under review",$F$1:F45,F45),"")</f>
        <v/>
      </c>
      <c r="Q45" s="13">
        <f>IF(B45="","",A45&amp;"|"&amp;E45)</f>
        <v/>
      </c>
    </row>
    <row r="46">
      <c r="A46" s="13" t="n"/>
      <c r="B46" s="13" t="n"/>
      <c r="C46" s="13">
        <f>IF(B46="","",IFERROR(VLOOKUP(B46,Journals!$A:$B,2,FALSE),IFERROR(VLOOKUP(B46,'ABDC list'!$A:$B,2,FALSE),"")))</f>
        <v/>
      </c>
      <c r="D46" s="13" t="n"/>
      <c r="E46" s="13" t="n"/>
      <c r="F46" s="14" t="n"/>
      <c r="G46" s="14" t="n"/>
      <c r="H46" s="13">
        <f>IF(OR(F46="",E46="Planned"),"",IF(G46&lt;&gt;"",G46-F46,TODAY()-F46))</f>
        <v/>
      </c>
      <c r="I46" s="11" t="n"/>
      <c r="J46" s="11" t="n"/>
      <c r="K46" s="13" t="n"/>
      <c r="L46" s="11" t="n"/>
      <c r="M46" s="14" t="n"/>
      <c r="N46" s="13" t="n"/>
      <c r="O46" s="13" t="n"/>
      <c r="P46" s="13">
        <f>IF(E46="Under review",COUNTIFS($E:$E,"Under review",$F:$F,"&lt;"&amp;F46)+COUNTIFS($E$1:E46,"Under review",$F$1:F46,F46),"")</f>
        <v/>
      </c>
      <c r="Q46" s="13">
        <f>IF(B46="","",A46&amp;"|"&amp;E46)</f>
        <v/>
      </c>
    </row>
    <row r="47">
      <c r="A47" s="13" t="n"/>
      <c r="B47" s="13" t="n"/>
      <c r="C47" s="13">
        <f>IF(B47="","",IFERROR(VLOOKUP(B47,Journals!$A:$B,2,FALSE),IFERROR(VLOOKUP(B47,'ABDC list'!$A:$B,2,FALSE),"")))</f>
        <v/>
      </c>
      <c r="D47" s="13" t="n"/>
      <c r="E47" s="13" t="n"/>
      <c r="F47" s="14" t="n"/>
      <c r="G47" s="14" t="n"/>
      <c r="H47" s="13">
        <f>IF(OR(F47="",E47="Planned"),"",IF(G47&lt;&gt;"",G47-F47,TODAY()-F47))</f>
        <v/>
      </c>
      <c r="I47" s="11" t="n"/>
      <c r="J47" s="11" t="n"/>
      <c r="K47" s="13" t="n"/>
      <c r="L47" s="11" t="n"/>
      <c r="M47" s="14" t="n"/>
      <c r="N47" s="13" t="n"/>
      <c r="O47" s="13" t="n"/>
      <c r="P47" s="13">
        <f>IF(E47="Under review",COUNTIFS($E:$E,"Under review",$F:$F,"&lt;"&amp;F47)+COUNTIFS($E$1:E47,"Under review",$F$1:F47,F47),"")</f>
        <v/>
      </c>
      <c r="Q47" s="13">
        <f>IF(B47="","",A47&amp;"|"&amp;E47)</f>
        <v/>
      </c>
    </row>
    <row r="48">
      <c r="A48" s="13" t="n"/>
      <c r="B48" s="13" t="n"/>
      <c r="C48" s="13">
        <f>IF(B48="","",IFERROR(VLOOKUP(B48,Journals!$A:$B,2,FALSE),IFERROR(VLOOKUP(B48,'ABDC list'!$A:$B,2,FALSE),"")))</f>
        <v/>
      </c>
      <c r="D48" s="13" t="n"/>
      <c r="E48" s="13" t="n"/>
      <c r="F48" s="14" t="n"/>
      <c r="G48" s="14" t="n"/>
      <c r="H48" s="13">
        <f>IF(OR(F48="",E48="Planned"),"",IF(G48&lt;&gt;"",G48-F48,TODAY()-F48))</f>
        <v/>
      </c>
      <c r="I48" s="11" t="n"/>
      <c r="J48" s="11" t="n"/>
      <c r="K48" s="13" t="n"/>
      <c r="L48" s="11" t="n"/>
      <c r="M48" s="14" t="n"/>
      <c r="N48" s="13" t="n"/>
      <c r="O48" s="13" t="n"/>
      <c r="P48" s="13">
        <f>IF(E48="Under review",COUNTIFS($E:$E,"Under review",$F:$F,"&lt;"&amp;F48)+COUNTIFS($E$1:E48,"Under review",$F$1:F48,F48),"")</f>
        <v/>
      </c>
      <c r="Q48" s="13">
        <f>IF(B48="","",A48&amp;"|"&amp;E48)</f>
        <v/>
      </c>
    </row>
    <row r="49">
      <c r="A49" s="13" t="n"/>
      <c r="B49" s="13" t="n"/>
      <c r="C49" s="13">
        <f>IF(B49="","",IFERROR(VLOOKUP(B49,Journals!$A:$B,2,FALSE),IFERROR(VLOOKUP(B49,'ABDC list'!$A:$B,2,FALSE),"")))</f>
        <v/>
      </c>
      <c r="D49" s="13" t="n"/>
      <c r="E49" s="13" t="n"/>
      <c r="F49" s="14" t="n"/>
      <c r="G49" s="14" t="n"/>
      <c r="H49" s="13">
        <f>IF(OR(F49="",E49="Planned"),"",IF(G49&lt;&gt;"",G49-F49,TODAY()-F49))</f>
        <v/>
      </c>
      <c r="I49" s="11" t="n"/>
      <c r="J49" s="11" t="n"/>
      <c r="K49" s="13" t="n"/>
      <c r="L49" s="11" t="n"/>
      <c r="M49" s="14" t="n"/>
      <c r="N49" s="13" t="n"/>
      <c r="O49" s="13" t="n"/>
      <c r="P49" s="13">
        <f>IF(E49="Under review",COUNTIFS($E:$E,"Under review",$F:$F,"&lt;"&amp;F49)+COUNTIFS($E$1:E49,"Under review",$F$1:F49,F49),"")</f>
        <v/>
      </c>
      <c r="Q49" s="13">
        <f>IF(B49="","",A49&amp;"|"&amp;E49)</f>
        <v/>
      </c>
    </row>
    <row r="50">
      <c r="A50" s="13" t="n"/>
      <c r="B50" s="13" t="n"/>
      <c r="C50" s="13">
        <f>IF(B50="","",IFERROR(VLOOKUP(B50,Journals!$A:$B,2,FALSE),IFERROR(VLOOKUP(B50,'ABDC list'!$A:$B,2,FALSE),"")))</f>
        <v/>
      </c>
      <c r="D50" s="13" t="n"/>
      <c r="E50" s="13" t="n"/>
      <c r="F50" s="14" t="n"/>
      <c r="G50" s="14" t="n"/>
      <c r="H50" s="13">
        <f>IF(OR(F50="",E50="Planned"),"",IF(G50&lt;&gt;"",G50-F50,TODAY()-F50))</f>
        <v/>
      </c>
      <c r="I50" s="11" t="n"/>
      <c r="J50" s="11" t="n"/>
      <c r="K50" s="13" t="n"/>
      <c r="L50" s="11" t="n"/>
      <c r="M50" s="14" t="n"/>
      <c r="N50" s="13" t="n"/>
      <c r="O50" s="13" t="n"/>
      <c r="P50" s="13">
        <f>IF(E50="Under review",COUNTIFS($E:$E,"Under review",$F:$F,"&lt;"&amp;F50)+COUNTIFS($E$1:E50,"Under review",$F$1:F50,F50),"")</f>
        <v/>
      </c>
      <c r="Q50" s="13">
        <f>IF(B50="","",A50&amp;"|"&amp;E50)</f>
        <v/>
      </c>
    </row>
    <row r="51">
      <c r="A51" s="13" t="n"/>
      <c r="B51" s="13" t="n"/>
      <c r="C51" s="13">
        <f>IF(B51="","",IFERROR(VLOOKUP(B51,Journals!$A:$B,2,FALSE),IFERROR(VLOOKUP(B51,'ABDC list'!$A:$B,2,FALSE),"")))</f>
        <v/>
      </c>
      <c r="D51" s="13" t="n"/>
      <c r="E51" s="13" t="n"/>
      <c r="F51" s="14" t="n"/>
      <c r="G51" s="14" t="n"/>
      <c r="H51" s="13">
        <f>IF(OR(F51="",E51="Planned"),"",IF(G51&lt;&gt;"",G51-F51,TODAY()-F51))</f>
        <v/>
      </c>
      <c r="I51" s="11" t="n"/>
      <c r="J51" s="11" t="n"/>
      <c r="K51" s="13" t="n"/>
      <c r="L51" s="11" t="n"/>
      <c r="M51" s="14" t="n"/>
      <c r="N51" s="13" t="n"/>
      <c r="O51" s="13" t="n"/>
      <c r="P51" s="13">
        <f>IF(E51="Under review",COUNTIFS($E:$E,"Under review",$F:$F,"&lt;"&amp;F51)+COUNTIFS($E$1:E51,"Under review",$F$1:F51,F51),"")</f>
        <v/>
      </c>
      <c r="Q51" s="13">
        <f>IF(B51="","",A51&amp;"|"&amp;E51)</f>
        <v/>
      </c>
    </row>
    <row r="52">
      <c r="A52" s="13" t="n"/>
      <c r="B52" s="13" t="n"/>
      <c r="C52" s="13">
        <f>IF(B52="","",IFERROR(VLOOKUP(B52,Journals!$A:$B,2,FALSE),IFERROR(VLOOKUP(B52,'ABDC list'!$A:$B,2,FALSE),"")))</f>
        <v/>
      </c>
      <c r="D52" s="13" t="n"/>
      <c r="E52" s="13" t="n"/>
      <c r="F52" s="14" t="n"/>
      <c r="G52" s="14" t="n"/>
      <c r="H52" s="13">
        <f>IF(OR(F52="",E52="Planned"),"",IF(G52&lt;&gt;"",G52-F52,TODAY()-F52))</f>
        <v/>
      </c>
      <c r="I52" s="11" t="n"/>
      <c r="J52" s="11" t="n"/>
      <c r="K52" s="13" t="n"/>
      <c r="L52" s="11" t="n"/>
      <c r="M52" s="14" t="n"/>
      <c r="N52" s="13" t="n"/>
      <c r="O52" s="13" t="n"/>
      <c r="P52" s="13">
        <f>IF(E52="Under review",COUNTIFS($E:$E,"Under review",$F:$F,"&lt;"&amp;F52)+COUNTIFS($E$1:E52,"Under review",$F$1:F52,F52),"")</f>
        <v/>
      </c>
      <c r="Q52" s="13">
        <f>IF(B52="","",A52&amp;"|"&amp;E52)</f>
        <v/>
      </c>
    </row>
    <row r="53">
      <c r="A53" s="13" t="n"/>
      <c r="B53" s="13" t="n"/>
      <c r="C53" s="13">
        <f>IF(B53="","",IFERROR(VLOOKUP(B53,Journals!$A:$B,2,FALSE),IFERROR(VLOOKUP(B53,'ABDC list'!$A:$B,2,FALSE),"")))</f>
        <v/>
      </c>
      <c r="D53" s="13" t="n"/>
      <c r="E53" s="13" t="n"/>
      <c r="F53" s="14" t="n"/>
      <c r="G53" s="14" t="n"/>
      <c r="H53" s="13">
        <f>IF(OR(F53="",E53="Planned"),"",IF(G53&lt;&gt;"",G53-F53,TODAY()-F53))</f>
        <v/>
      </c>
      <c r="I53" s="11" t="n"/>
      <c r="J53" s="11" t="n"/>
      <c r="K53" s="13" t="n"/>
      <c r="L53" s="11" t="n"/>
      <c r="M53" s="14" t="n"/>
      <c r="N53" s="13" t="n"/>
      <c r="O53" s="13" t="n"/>
      <c r="P53" s="13">
        <f>IF(E53="Under review",COUNTIFS($E:$E,"Under review",$F:$F,"&lt;"&amp;F53)+COUNTIFS($E$1:E53,"Under review",$F$1:F53,F53),"")</f>
        <v/>
      </c>
      <c r="Q53" s="13">
        <f>IF(B53="","",A53&amp;"|"&amp;E53)</f>
        <v/>
      </c>
    </row>
    <row r="54">
      <c r="A54" s="13" t="n"/>
      <c r="B54" s="13" t="n"/>
      <c r="C54" s="13">
        <f>IF(B54="","",IFERROR(VLOOKUP(B54,Journals!$A:$B,2,FALSE),IFERROR(VLOOKUP(B54,'ABDC list'!$A:$B,2,FALSE),"")))</f>
        <v/>
      </c>
      <c r="D54" s="13" t="n"/>
      <c r="E54" s="13" t="n"/>
      <c r="F54" s="14" t="n"/>
      <c r="G54" s="14" t="n"/>
      <c r="H54" s="13">
        <f>IF(OR(F54="",E54="Planned"),"",IF(G54&lt;&gt;"",G54-F54,TODAY()-F54))</f>
        <v/>
      </c>
      <c r="I54" s="11" t="n"/>
      <c r="J54" s="11" t="n"/>
      <c r="K54" s="13" t="n"/>
      <c r="L54" s="11" t="n"/>
      <c r="M54" s="14" t="n"/>
      <c r="N54" s="13" t="n"/>
      <c r="O54" s="13" t="n"/>
      <c r="P54" s="13">
        <f>IF(E54="Under review",COUNTIFS($E:$E,"Under review",$F:$F,"&lt;"&amp;F54)+COUNTIFS($E$1:E54,"Under review",$F$1:F54,F54),"")</f>
        <v/>
      </c>
      <c r="Q54" s="13">
        <f>IF(B54="","",A54&amp;"|"&amp;E54)</f>
        <v/>
      </c>
    </row>
    <row r="55">
      <c r="A55" s="13" t="n"/>
      <c r="B55" s="13" t="n"/>
      <c r="C55" s="13">
        <f>IF(B55="","",IFERROR(VLOOKUP(B55,Journals!$A:$B,2,FALSE),IFERROR(VLOOKUP(B55,'ABDC list'!$A:$B,2,FALSE),"")))</f>
        <v/>
      </c>
      <c r="D55" s="13" t="n"/>
      <c r="E55" s="13" t="n"/>
      <c r="F55" s="14" t="n"/>
      <c r="G55" s="14" t="n"/>
      <c r="H55" s="13">
        <f>IF(OR(F55="",E55="Planned"),"",IF(G55&lt;&gt;"",G55-F55,TODAY()-F55))</f>
        <v/>
      </c>
      <c r="I55" s="11" t="n"/>
      <c r="J55" s="11" t="n"/>
      <c r="K55" s="13" t="n"/>
      <c r="L55" s="11" t="n"/>
      <c r="M55" s="14" t="n"/>
      <c r="N55" s="13" t="n"/>
      <c r="O55" s="13" t="n"/>
      <c r="P55" s="13">
        <f>IF(E55="Under review",COUNTIFS($E:$E,"Under review",$F:$F,"&lt;"&amp;F55)+COUNTIFS($E$1:E55,"Under review",$F$1:F55,F55),"")</f>
        <v/>
      </c>
      <c r="Q55" s="13">
        <f>IF(B55="","",A55&amp;"|"&amp;E55)</f>
        <v/>
      </c>
    </row>
    <row r="56">
      <c r="A56" s="13" t="n"/>
      <c r="B56" s="13" t="n"/>
      <c r="C56" s="13">
        <f>IF(B56="","",IFERROR(VLOOKUP(B56,Journals!$A:$B,2,FALSE),IFERROR(VLOOKUP(B56,'ABDC list'!$A:$B,2,FALSE),"")))</f>
        <v/>
      </c>
      <c r="D56" s="13" t="n"/>
      <c r="E56" s="13" t="n"/>
      <c r="F56" s="14" t="n"/>
      <c r="G56" s="14" t="n"/>
      <c r="H56" s="13">
        <f>IF(OR(F56="",E56="Planned"),"",IF(G56&lt;&gt;"",G56-F56,TODAY()-F56))</f>
        <v/>
      </c>
      <c r="I56" s="11" t="n"/>
      <c r="J56" s="11" t="n"/>
      <c r="K56" s="13" t="n"/>
      <c r="L56" s="11" t="n"/>
      <c r="M56" s="14" t="n"/>
      <c r="N56" s="13" t="n"/>
      <c r="O56" s="13" t="n"/>
      <c r="P56" s="13">
        <f>IF(E56="Under review",COUNTIFS($E:$E,"Under review",$F:$F,"&lt;"&amp;F56)+COUNTIFS($E$1:E56,"Under review",$F$1:F56,F56),"")</f>
        <v/>
      </c>
      <c r="Q56" s="13">
        <f>IF(B56="","",A56&amp;"|"&amp;E56)</f>
        <v/>
      </c>
    </row>
    <row r="57">
      <c r="A57" s="13" t="n"/>
      <c r="B57" s="13" t="n"/>
      <c r="C57" s="13">
        <f>IF(B57="","",IFERROR(VLOOKUP(B57,Journals!$A:$B,2,FALSE),IFERROR(VLOOKUP(B57,'ABDC list'!$A:$B,2,FALSE),"")))</f>
        <v/>
      </c>
      <c r="D57" s="13" t="n"/>
      <c r="E57" s="13" t="n"/>
      <c r="F57" s="14" t="n"/>
      <c r="G57" s="14" t="n"/>
      <c r="H57" s="13">
        <f>IF(OR(F57="",E57="Planned"),"",IF(G57&lt;&gt;"",G57-F57,TODAY()-F57))</f>
        <v/>
      </c>
      <c r="I57" s="11" t="n"/>
      <c r="J57" s="11" t="n"/>
      <c r="K57" s="13" t="n"/>
      <c r="L57" s="11" t="n"/>
      <c r="M57" s="14" t="n"/>
      <c r="N57" s="13" t="n"/>
      <c r="O57" s="13" t="n"/>
      <c r="P57" s="13">
        <f>IF(E57="Under review",COUNTIFS($E:$E,"Under review",$F:$F,"&lt;"&amp;F57)+COUNTIFS($E$1:E57,"Under review",$F$1:F57,F57),"")</f>
        <v/>
      </c>
      <c r="Q57" s="13">
        <f>IF(B57="","",A57&amp;"|"&amp;E57)</f>
        <v/>
      </c>
    </row>
    <row r="58">
      <c r="A58" s="13" t="n"/>
      <c r="B58" s="13" t="n"/>
      <c r="C58" s="13">
        <f>IF(B58="","",IFERROR(VLOOKUP(B58,Journals!$A:$B,2,FALSE),IFERROR(VLOOKUP(B58,'ABDC list'!$A:$B,2,FALSE),"")))</f>
        <v/>
      </c>
      <c r="D58" s="13" t="n"/>
      <c r="E58" s="13" t="n"/>
      <c r="F58" s="14" t="n"/>
      <c r="G58" s="14" t="n"/>
      <c r="H58" s="13">
        <f>IF(OR(F58="",E58="Planned"),"",IF(G58&lt;&gt;"",G58-F58,TODAY()-F58))</f>
        <v/>
      </c>
      <c r="I58" s="11" t="n"/>
      <c r="J58" s="11" t="n"/>
      <c r="K58" s="13" t="n"/>
      <c r="L58" s="11" t="n"/>
      <c r="M58" s="14" t="n"/>
      <c r="N58" s="13" t="n"/>
      <c r="O58" s="13" t="n"/>
      <c r="P58" s="13">
        <f>IF(E58="Under review",COUNTIFS($E:$E,"Under review",$F:$F,"&lt;"&amp;F58)+COUNTIFS($E$1:E58,"Under review",$F$1:F58,F58),"")</f>
        <v/>
      </c>
      <c r="Q58" s="13">
        <f>IF(B58="","",A58&amp;"|"&amp;E58)</f>
        <v/>
      </c>
    </row>
    <row r="59">
      <c r="A59" s="13" t="n"/>
      <c r="B59" s="13" t="n"/>
      <c r="C59" s="13">
        <f>IF(B59="","",IFERROR(VLOOKUP(B59,Journals!$A:$B,2,FALSE),IFERROR(VLOOKUP(B59,'ABDC list'!$A:$B,2,FALSE),"")))</f>
        <v/>
      </c>
      <c r="D59" s="13" t="n"/>
      <c r="E59" s="13" t="n"/>
      <c r="F59" s="14" t="n"/>
      <c r="G59" s="14" t="n"/>
      <c r="H59" s="13">
        <f>IF(OR(F59="",E59="Planned"),"",IF(G59&lt;&gt;"",G59-F59,TODAY()-F59))</f>
        <v/>
      </c>
      <c r="I59" s="11" t="n"/>
      <c r="J59" s="11" t="n"/>
      <c r="K59" s="13" t="n"/>
      <c r="L59" s="11" t="n"/>
      <c r="M59" s="14" t="n"/>
      <c r="N59" s="13" t="n"/>
      <c r="O59" s="13" t="n"/>
      <c r="P59" s="13">
        <f>IF(E59="Under review",COUNTIFS($E:$E,"Under review",$F:$F,"&lt;"&amp;F59)+COUNTIFS($E$1:E59,"Under review",$F$1:F59,F59),"")</f>
        <v/>
      </c>
      <c r="Q59" s="13">
        <f>IF(B59="","",A59&amp;"|"&amp;E59)</f>
        <v/>
      </c>
    </row>
    <row r="60">
      <c r="A60" s="13" t="n"/>
      <c r="B60" s="13" t="n"/>
      <c r="C60" s="13">
        <f>IF(B60="","",IFERROR(VLOOKUP(B60,Journals!$A:$B,2,FALSE),IFERROR(VLOOKUP(B60,'ABDC list'!$A:$B,2,FALSE),"")))</f>
        <v/>
      </c>
      <c r="D60" s="13" t="n"/>
      <c r="E60" s="13" t="n"/>
      <c r="F60" s="14" t="n"/>
      <c r="G60" s="14" t="n"/>
      <c r="H60" s="13">
        <f>IF(OR(F60="",E60="Planned"),"",IF(G60&lt;&gt;"",G60-F60,TODAY()-F60))</f>
        <v/>
      </c>
      <c r="I60" s="11" t="n"/>
      <c r="J60" s="11" t="n"/>
      <c r="K60" s="13" t="n"/>
      <c r="L60" s="11" t="n"/>
      <c r="M60" s="14" t="n"/>
      <c r="N60" s="13" t="n"/>
      <c r="O60" s="13" t="n"/>
      <c r="P60" s="13">
        <f>IF(E60="Under review",COUNTIFS($E:$E,"Under review",$F:$F,"&lt;"&amp;F60)+COUNTIFS($E$1:E60,"Under review",$F$1:F60,F60),"")</f>
        <v/>
      </c>
      <c r="Q60" s="13">
        <f>IF(B60="","",A60&amp;"|"&amp;E60)</f>
        <v/>
      </c>
    </row>
    <row r="61">
      <c r="A61" s="13" t="n"/>
      <c r="B61" s="13" t="n"/>
      <c r="C61" s="13">
        <f>IF(B61="","",IFERROR(VLOOKUP(B61,Journals!$A:$B,2,FALSE),IFERROR(VLOOKUP(B61,'ABDC list'!$A:$B,2,FALSE),"")))</f>
        <v/>
      </c>
      <c r="D61" s="13" t="n"/>
      <c r="E61" s="13" t="n"/>
      <c r="F61" s="14" t="n"/>
      <c r="G61" s="14" t="n"/>
      <c r="H61" s="13">
        <f>IF(OR(F61="",E61="Planned"),"",IF(G61&lt;&gt;"",G61-F61,TODAY()-F61))</f>
        <v/>
      </c>
      <c r="I61" s="11" t="n"/>
      <c r="J61" s="11" t="n"/>
      <c r="K61" s="13" t="n"/>
      <c r="L61" s="11" t="n"/>
      <c r="M61" s="14" t="n"/>
      <c r="N61" s="13" t="n"/>
      <c r="O61" s="13" t="n"/>
      <c r="P61" s="13">
        <f>IF(E61="Under review",COUNTIFS($E:$E,"Under review",$F:$F,"&lt;"&amp;F61)+COUNTIFS($E$1:E61,"Under review",$F$1:F61,F61),"")</f>
        <v/>
      </c>
      <c r="Q61" s="13">
        <f>IF(B61="","",A61&amp;"|"&amp;E61)</f>
        <v/>
      </c>
    </row>
    <row r="62">
      <c r="A62" s="13" t="n"/>
      <c r="B62" s="13" t="n"/>
      <c r="C62" s="13">
        <f>IF(B62="","",IFERROR(VLOOKUP(B62,Journals!$A:$B,2,FALSE),IFERROR(VLOOKUP(B62,'ABDC list'!$A:$B,2,FALSE),"")))</f>
        <v/>
      </c>
      <c r="D62" s="13" t="n"/>
      <c r="E62" s="13" t="n"/>
      <c r="F62" s="14" t="n"/>
      <c r="G62" s="14" t="n"/>
      <c r="H62" s="13">
        <f>IF(OR(F62="",E62="Planned"),"",IF(G62&lt;&gt;"",G62-F62,TODAY()-F62))</f>
        <v/>
      </c>
      <c r="I62" s="11" t="n"/>
      <c r="J62" s="11" t="n"/>
      <c r="K62" s="13" t="n"/>
      <c r="L62" s="11" t="n"/>
      <c r="M62" s="14" t="n"/>
      <c r="N62" s="13" t="n"/>
      <c r="O62" s="13" t="n"/>
      <c r="P62" s="13">
        <f>IF(E62="Under review",COUNTIFS($E:$E,"Under review",$F:$F,"&lt;"&amp;F62)+COUNTIFS($E$1:E62,"Under review",$F$1:F62,F62),"")</f>
        <v/>
      </c>
      <c r="Q62" s="13">
        <f>IF(B62="","",A62&amp;"|"&amp;E62)</f>
        <v/>
      </c>
    </row>
    <row r="63">
      <c r="A63" s="13" t="n"/>
      <c r="B63" s="13" t="n"/>
      <c r="C63" s="13">
        <f>IF(B63="","",IFERROR(VLOOKUP(B63,Journals!$A:$B,2,FALSE),IFERROR(VLOOKUP(B63,'ABDC list'!$A:$B,2,FALSE),"")))</f>
        <v/>
      </c>
      <c r="D63" s="13" t="n"/>
      <c r="E63" s="13" t="n"/>
      <c r="F63" s="14" t="n"/>
      <c r="G63" s="14" t="n"/>
      <c r="H63" s="13">
        <f>IF(OR(F63="",E63="Planned"),"",IF(G63&lt;&gt;"",G63-F63,TODAY()-F63))</f>
        <v/>
      </c>
      <c r="I63" s="11" t="n"/>
      <c r="J63" s="11" t="n"/>
      <c r="K63" s="13" t="n"/>
      <c r="L63" s="11" t="n"/>
      <c r="M63" s="14" t="n"/>
      <c r="N63" s="13" t="n"/>
      <c r="O63" s="13" t="n"/>
      <c r="P63" s="13">
        <f>IF(E63="Under review",COUNTIFS($E:$E,"Under review",$F:$F,"&lt;"&amp;F63)+COUNTIFS($E$1:E63,"Under review",$F$1:F63,F63),"")</f>
        <v/>
      </c>
      <c r="Q63" s="13">
        <f>IF(B63="","",A63&amp;"|"&amp;E63)</f>
        <v/>
      </c>
    </row>
    <row r="64">
      <c r="A64" s="13" t="n"/>
      <c r="B64" s="13" t="n"/>
      <c r="C64" s="13">
        <f>IF(B64="","",IFERROR(VLOOKUP(B64,Journals!$A:$B,2,FALSE),IFERROR(VLOOKUP(B64,'ABDC list'!$A:$B,2,FALSE),"")))</f>
        <v/>
      </c>
      <c r="D64" s="13" t="n"/>
      <c r="E64" s="13" t="n"/>
      <c r="F64" s="14" t="n"/>
      <c r="G64" s="14" t="n"/>
      <c r="H64" s="13">
        <f>IF(OR(F64="",E64="Planned"),"",IF(G64&lt;&gt;"",G64-F64,TODAY()-F64))</f>
        <v/>
      </c>
      <c r="I64" s="11" t="n"/>
      <c r="J64" s="11" t="n"/>
      <c r="K64" s="13" t="n"/>
      <c r="L64" s="11" t="n"/>
      <c r="M64" s="14" t="n"/>
      <c r="N64" s="13" t="n"/>
      <c r="O64" s="13" t="n"/>
      <c r="P64" s="13">
        <f>IF(E64="Under review",COUNTIFS($E:$E,"Under review",$F:$F,"&lt;"&amp;F64)+COUNTIFS($E$1:E64,"Under review",$F$1:F64,F64),"")</f>
        <v/>
      </c>
      <c r="Q64" s="13">
        <f>IF(B64="","",A64&amp;"|"&amp;E64)</f>
        <v/>
      </c>
    </row>
    <row r="65">
      <c r="A65" s="13" t="n"/>
      <c r="B65" s="13" t="n"/>
      <c r="C65" s="13">
        <f>IF(B65="","",IFERROR(VLOOKUP(B65,Journals!$A:$B,2,FALSE),IFERROR(VLOOKUP(B65,'ABDC list'!$A:$B,2,FALSE),"")))</f>
        <v/>
      </c>
      <c r="D65" s="13" t="n"/>
      <c r="E65" s="13" t="n"/>
      <c r="F65" s="14" t="n"/>
      <c r="G65" s="14" t="n"/>
      <c r="H65" s="13">
        <f>IF(OR(F65="",E65="Planned"),"",IF(G65&lt;&gt;"",G65-F65,TODAY()-F65))</f>
        <v/>
      </c>
      <c r="I65" s="11" t="n"/>
      <c r="J65" s="11" t="n"/>
      <c r="K65" s="13" t="n"/>
      <c r="L65" s="11" t="n"/>
      <c r="M65" s="14" t="n"/>
      <c r="N65" s="13" t="n"/>
      <c r="O65" s="13" t="n"/>
      <c r="P65" s="13">
        <f>IF(E65="Under review",COUNTIFS($E:$E,"Under review",$F:$F,"&lt;"&amp;F65)+COUNTIFS($E$1:E65,"Under review",$F$1:F65,F65),"")</f>
        <v/>
      </c>
      <c r="Q65" s="13">
        <f>IF(B65="","",A65&amp;"|"&amp;E65)</f>
        <v/>
      </c>
    </row>
    <row r="66">
      <c r="A66" s="13" t="n"/>
      <c r="B66" s="13" t="n"/>
      <c r="C66" s="13">
        <f>IF(B66="","",IFERROR(VLOOKUP(B66,Journals!$A:$B,2,FALSE),IFERROR(VLOOKUP(B66,'ABDC list'!$A:$B,2,FALSE),"")))</f>
        <v/>
      </c>
      <c r="D66" s="13" t="n"/>
      <c r="E66" s="13" t="n"/>
      <c r="F66" s="14" t="n"/>
      <c r="G66" s="14" t="n"/>
      <c r="H66" s="13">
        <f>IF(OR(F66="",E66="Planned"),"",IF(G66&lt;&gt;"",G66-F66,TODAY()-F66))</f>
        <v/>
      </c>
      <c r="I66" s="11" t="n"/>
      <c r="J66" s="11" t="n"/>
      <c r="K66" s="13" t="n"/>
      <c r="L66" s="11" t="n"/>
      <c r="M66" s="14" t="n"/>
      <c r="N66" s="13" t="n"/>
      <c r="O66" s="13" t="n"/>
      <c r="P66" s="13">
        <f>IF(E66="Under review",COUNTIFS($E:$E,"Under review",$F:$F,"&lt;"&amp;F66)+COUNTIFS($E$1:E66,"Under review",$F$1:F66,F66),"")</f>
        <v/>
      </c>
      <c r="Q66" s="13">
        <f>IF(B66="","",A66&amp;"|"&amp;E66)</f>
        <v/>
      </c>
    </row>
    <row r="67">
      <c r="A67" s="13" t="n"/>
      <c r="B67" s="13" t="n"/>
      <c r="C67" s="13">
        <f>IF(B67="","",IFERROR(VLOOKUP(B67,Journals!$A:$B,2,FALSE),IFERROR(VLOOKUP(B67,'ABDC list'!$A:$B,2,FALSE),"")))</f>
        <v/>
      </c>
      <c r="D67" s="13" t="n"/>
      <c r="E67" s="13" t="n"/>
      <c r="F67" s="14" t="n"/>
      <c r="G67" s="14" t="n"/>
      <c r="H67" s="13">
        <f>IF(OR(F67="",E67="Planned"),"",IF(G67&lt;&gt;"",G67-F67,TODAY()-F67))</f>
        <v/>
      </c>
      <c r="I67" s="11" t="n"/>
      <c r="J67" s="11" t="n"/>
      <c r="K67" s="13" t="n"/>
      <c r="L67" s="11" t="n"/>
      <c r="M67" s="14" t="n"/>
      <c r="N67" s="13" t="n"/>
      <c r="O67" s="13" t="n"/>
      <c r="P67" s="13">
        <f>IF(E67="Under review",COUNTIFS($E:$E,"Under review",$F:$F,"&lt;"&amp;F67)+COUNTIFS($E$1:E67,"Under review",$F$1:F67,F67),"")</f>
        <v/>
      </c>
      <c r="Q67" s="13">
        <f>IF(B67="","",A67&amp;"|"&amp;E67)</f>
        <v/>
      </c>
    </row>
    <row r="68">
      <c r="A68" s="13" t="n"/>
      <c r="B68" s="13" t="n"/>
      <c r="C68" s="13">
        <f>IF(B68="","",IFERROR(VLOOKUP(B68,Journals!$A:$B,2,FALSE),IFERROR(VLOOKUP(B68,'ABDC list'!$A:$B,2,FALSE),"")))</f>
        <v/>
      </c>
      <c r="D68" s="13" t="n"/>
      <c r="E68" s="13" t="n"/>
      <c r="F68" s="14" t="n"/>
      <c r="G68" s="14" t="n"/>
      <c r="H68" s="13">
        <f>IF(OR(F68="",E68="Planned"),"",IF(G68&lt;&gt;"",G68-F68,TODAY()-F68))</f>
        <v/>
      </c>
      <c r="I68" s="11" t="n"/>
      <c r="J68" s="11" t="n"/>
      <c r="K68" s="13" t="n"/>
      <c r="L68" s="11" t="n"/>
      <c r="M68" s="14" t="n"/>
      <c r="N68" s="13" t="n"/>
      <c r="O68" s="13" t="n"/>
      <c r="P68" s="13">
        <f>IF(E68="Under review",COUNTIFS($E:$E,"Under review",$F:$F,"&lt;"&amp;F68)+COUNTIFS($E$1:E68,"Under review",$F$1:F68,F68),"")</f>
        <v/>
      </c>
      <c r="Q68" s="13">
        <f>IF(B68="","",A68&amp;"|"&amp;E68)</f>
        <v/>
      </c>
    </row>
    <row r="69">
      <c r="A69" s="13" t="n"/>
      <c r="B69" s="13" t="n"/>
      <c r="C69" s="13">
        <f>IF(B69="","",IFERROR(VLOOKUP(B69,Journals!$A:$B,2,FALSE),IFERROR(VLOOKUP(B69,'ABDC list'!$A:$B,2,FALSE),"")))</f>
        <v/>
      </c>
      <c r="D69" s="13" t="n"/>
      <c r="E69" s="13" t="n"/>
      <c r="F69" s="14" t="n"/>
      <c r="G69" s="14" t="n"/>
      <c r="H69" s="13">
        <f>IF(OR(F69="",E69="Planned"),"",IF(G69&lt;&gt;"",G69-F69,TODAY()-F69))</f>
        <v/>
      </c>
      <c r="I69" s="11" t="n"/>
      <c r="J69" s="11" t="n"/>
      <c r="K69" s="13" t="n"/>
      <c r="L69" s="11" t="n"/>
      <c r="M69" s="14" t="n"/>
      <c r="N69" s="13" t="n"/>
      <c r="O69" s="13" t="n"/>
      <c r="P69" s="13">
        <f>IF(E69="Under review",COUNTIFS($E:$E,"Under review",$F:$F,"&lt;"&amp;F69)+COUNTIFS($E$1:E69,"Under review",$F$1:F69,F69),"")</f>
        <v/>
      </c>
      <c r="Q69" s="13">
        <f>IF(B69="","",A69&amp;"|"&amp;E69)</f>
        <v/>
      </c>
    </row>
    <row r="70">
      <c r="A70" s="13" t="n"/>
      <c r="B70" s="13" t="n"/>
      <c r="C70" s="13">
        <f>IF(B70="","",IFERROR(VLOOKUP(B70,Journals!$A:$B,2,FALSE),IFERROR(VLOOKUP(B70,'ABDC list'!$A:$B,2,FALSE),"")))</f>
        <v/>
      </c>
      <c r="D70" s="13" t="n"/>
      <c r="E70" s="13" t="n"/>
      <c r="F70" s="14" t="n"/>
      <c r="G70" s="14" t="n"/>
      <c r="H70" s="13">
        <f>IF(OR(F70="",E70="Planned"),"",IF(G70&lt;&gt;"",G70-F70,TODAY()-F70))</f>
        <v/>
      </c>
      <c r="I70" s="11" t="n"/>
      <c r="J70" s="11" t="n"/>
      <c r="K70" s="13" t="n"/>
      <c r="L70" s="11" t="n"/>
      <c r="M70" s="14" t="n"/>
      <c r="N70" s="13" t="n"/>
      <c r="O70" s="13" t="n"/>
      <c r="P70" s="13">
        <f>IF(E70="Under review",COUNTIFS($E:$E,"Under review",$F:$F,"&lt;"&amp;F70)+COUNTIFS($E$1:E70,"Under review",$F$1:F70,F70),"")</f>
        <v/>
      </c>
      <c r="Q70" s="13">
        <f>IF(B70="","",A70&amp;"|"&amp;E70)</f>
        <v/>
      </c>
    </row>
    <row r="71">
      <c r="A71" s="13" t="n"/>
      <c r="B71" s="13" t="n"/>
      <c r="C71" s="13">
        <f>IF(B71="","",IFERROR(VLOOKUP(B71,Journals!$A:$B,2,FALSE),IFERROR(VLOOKUP(B71,'ABDC list'!$A:$B,2,FALSE),"")))</f>
        <v/>
      </c>
      <c r="D71" s="13" t="n"/>
      <c r="E71" s="13" t="n"/>
      <c r="F71" s="14" t="n"/>
      <c r="G71" s="14" t="n"/>
      <c r="H71" s="13">
        <f>IF(OR(F71="",E71="Planned"),"",IF(G71&lt;&gt;"",G71-F71,TODAY()-F71))</f>
        <v/>
      </c>
      <c r="I71" s="11" t="n"/>
      <c r="J71" s="11" t="n"/>
      <c r="K71" s="13" t="n"/>
      <c r="L71" s="11" t="n"/>
      <c r="M71" s="14" t="n"/>
      <c r="N71" s="13" t="n"/>
      <c r="O71" s="13" t="n"/>
      <c r="P71" s="13">
        <f>IF(E71="Under review",COUNTIFS($E:$E,"Under review",$F:$F,"&lt;"&amp;F71)+COUNTIFS($E$1:E71,"Under review",$F$1:F71,F71),"")</f>
        <v/>
      </c>
      <c r="Q71" s="13">
        <f>IF(B71="","",A71&amp;"|"&amp;E71)</f>
        <v/>
      </c>
    </row>
    <row r="72">
      <c r="A72" s="13" t="n"/>
      <c r="B72" s="13" t="n"/>
      <c r="C72" s="13">
        <f>IF(B72="","",IFERROR(VLOOKUP(B72,Journals!$A:$B,2,FALSE),IFERROR(VLOOKUP(B72,'ABDC list'!$A:$B,2,FALSE),"")))</f>
        <v/>
      </c>
      <c r="D72" s="13" t="n"/>
      <c r="E72" s="13" t="n"/>
      <c r="F72" s="14" t="n"/>
      <c r="G72" s="14" t="n"/>
      <c r="H72" s="13">
        <f>IF(OR(F72="",E72="Planned"),"",IF(G72&lt;&gt;"",G72-F72,TODAY()-F72))</f>
        <v/>
      </c>
      <c r="I72" s="11" t="n"/>
      <c r="J72" s="11" t="n"/>
      <c r="K72" s="13" t="n"/>
      <c r="L72" s="11" t="n"/>
      <c r="M72" s="14" t="n"/>
      <c r="N72" s="13" t="n"/>
      <c r="O72" s="13" t="n"/>
      <c r="P72" s="13">
        <f>IF(E72="Under review",COUNTIFS($E:$E,"Under review",$F:$F,"&lt;"&amp;F72)+COUNTIFS($E$1:E72,"Under review",$F$1:F72,F72),"")</f>
        <v/>
      </c>
      <c r="Q72" s="13">
        <f>IF(B72="","",A72&amp;"|"&amp;E72)</f>
        <v/>
      </c>
    </row>
    <row r="73">
      <c r="A73" s="13" t="n"/>
      <c r="B73" s="13" t="n"/>
      <c r="C73" s="13">
        <f>IF(B73="","",IFERROR(VLOOKUP(B73,Journals!$A:$B,2,FALSE),IFERROR(VLOOKUP(B73,'ABDC list'!$A:$B,2,FALSE),"")))</f>
        <v/>
      </c>
      <c r="D73" s="13" t="n"/>
      <c r="E73" s="13" t="n"/>
      <c r="F73" s="14" t="n"/>
      <c r="G73" s="14" t="n"/>
      <c r="H73" s="13">
        <f>IF(OR(F73="",E73="Planned"),"",IF(G73&lt;&gt;"",G73-F73,TODAY()-F73))</f>
        <v/>
      </c>
      <c r="I73" s="11" t="n"/>
      <c r="J73" s="11" t="n"/>
      <c r="K73" s="13" t="n"/>
      <c r="L73" s="11" t="n"/>
      <c r="M73" s="14" t="n"/>
      <c r="N73" s="13" t="n"/>
      <c r="O73" s="13" t="n"/>
      <c r="P73" s="13">
        <f>IF(E73="Under review",COUNTIFS($E:$E,"Under review",$F:$F,"&lt;"&amp;F73)+COUNTIFS($E$1:E73,"Under review",$F$1:F73,F73),"")</f>
        <v/>
      </c>
      <c r="Q73" s="13">
        <f>IF(B73="","",A73&amp;"|"&amp;E73)</f>
        <v/>
      </c>
    </row>
    <row r="74">
      <c r="A74" s="13" t="n"/>
      <c r="B74" s="13" t="n"/>
      <c r="C74" s="13">
        <f>IF(B74="","",IFERROR(VLOOKUP(B74,Journals!$A:$B,2,FALSE),IFERROR(VLOOKUP(B74,'ABDC list'!$A:$B,2,FALSE),"")))</f>
        <v/>
      </c>
      <c r="D74" s="13" t="n"/>
      <c r="E74" s="13" t="n"/>
      <c r="F74" s="14" t="n"/>
      <c r="G74" s="14" t="n"/>
      <c r="H74" s="13">
        <f>IF(OR(F74="",E74="Planned"),"",IF(G74&lt;&gt;"",G74-F74,TODAY()-F74))</f>
        <v/>
      </c>
      <c r="I74" s="11" t="n"/>
      <c r="J74" s="11" t="n"/>
      <c r="K74" s="13" t="n"/>
      <c r="L74" s="11" t="n"/>
      <c r="M74" s="14" t="n"/>
      <c r="N74" s="13" t="n"/>
      <c r="O74" s="13" t="n"/>
      <c r="P74" s="13">
        <f>IF(E74="Under review",COUNTIFS($E:$E,"Under review",$F:$F,"&lt;"&amp;F74)+COUNTIFS($E$1:E74,"Under review",$F$1:F74,F74),"")</f>
        <v/>
      </c>
      <c r="Q74" s="13">
        <f>IF(B74="","",A74&amp;"|"&amp;E74)</f>
        <v/>
      </c>
    </row>
    <row r="75">
      <c r="A75" s="13" t="n"/>
      <c r="B75" s="13" t="n"/>
      <c r="C75" s="13">
        <f>IF(B75="","",IFERROR(VLOOKUP(B75,Journals!$A:$B,2,FALSE),IFERROR(VLOOKUP(B75,'ABDC list'!$A:$B,2,FALSE),"")))</f>
        <v/>
      </c>
      <c r="D75" s="13" t="n"/>
      <c r="E75" s="13" t="n"/>
      <c r="F75" s="14" t="n"/>
      <c r="G75" s="14" t="n"/>
      <c r="H75" s="13">
        <f>IF(OR(F75="",E75="Planned"),"",IF(G75&lt;&gt;"",G75-F75,TODAY()-F75))</f>
        <v/>
      </c>
      <c r="I75" s="11" t="n"/>
      <c r="J75" s="11" t="n"/>
      <c r="K75" s="13" t="n"/>
      <c r="L75" s="11" t="n"/>
      <c r="M75" s="14" t="n"/>
      <c r="N75" s="13" t="n"/>
      <c r="O75" s="13" t="n"/>
      <c r="P75" s="13">
        <f>IF(E75="Under review",COUNTIFS($E:$E,"Under review",$F:$F,"&lt;"&amp;F75)+COUNTIFS($E$1:E75,"Under review",$F$1:F75,F75),"")</f>
        <v/>
      </c>
      <c r="Q75" s="13">
        <f>IF(B75="","",A75&amp;"|"&amp;E75)</f>
        <v/>
      </c>
    </row>
    <row r="76">
      <c r="A76" s="13" t="n"/>
      <c r="B76" s="13" t="n"/>
      <c r="C76" s="13">
        <f>IF(B76="","",IFERROR(VLOOKUP(B76,Journals!$A:$B,2,FALSE),IFERROR(VLOOKUP(B76,'ABDC list'!$A:$B,2,FALSE),"")))</f>
        <v/>
      </c>
      <c r="D76" s="13" t="n"/>
      <c r="E76" s="13" t="n"/>
      <c r="F76" s="14" t="n"/>
      <c r="G76" s="14" t="n"/>
      <c r="H76" s="13">
        <f>IF(OR(F76="",E76="Planned"),"",IF(G76&lt;&gt;"",G76-F76,TODAY()-F76))</f>
        <v/>
      </c>
      <c r="I76" s="11" t="n"/>
      <c r="J76" s="11" t="n"/>
      <c r="K76" s="13" t="n"/>
      <c r="L76" s="11" t="n"/>
      <c r="M76" s="14" t="n"/>
      <c r="N76" s="13" t="n"/>
      <c r="O76" s="13" t="n"/>
      <c r="P76" s="13">
        <f>IF(E76="Under review",COUNTIFS($E:$E,"Under review",$F:$F,"&lt;"&amp;F76)+COUNTIFS($E$1:E76,"Under review",$F$1:F76,F76),"")</f>
        <v/>
      </c>
      <c r="Q76" s="13">
        <f>IF(B76="","",A76&amp;"|"&amp;E76)</f>
        <v/>
      </c>
    </row>
    <row r="77">
      <c r="A77" s="13" t="n"/>
      <c r="B77" s="13" t="n"/>
      <c r="C77" s="13">
        <f>IF(B77="","",IFERROR(VLOOKUP(B77,Journals!$A:$B,2,FALSE),IFERROR(VLOOKUP(B77,'ABDC list'!$A:$B,2,FALSE),"")))</f>
        <v/>
      </c>
      <c r="D77" s="13" t="n"/>
      <c r="E77" s="13" t="n"/>
      <c r="F77" s="14" t="n"/>
      <c r="G77" s="14" t="n"/>
      <c r="H77" s="13">
        <f>IF(OR(F77="",E77="Planned"),"",IF(G77&lt;&gt;"",G77-F77,TODAY()-F77))</f>
        <v/>
      </c>
      <c r="I77" s="11" t="n"/>
      <c r="J77" s="11" t="n"/>
      <c r="K77" s="13" t="n"/>
      <c r="L77" s="11" t="n"/>
      <c r="M77" s="14" t="n"/>
      <c r="N77" s="13" t="n"/>
      <c r="O77" s="13" t="n"/>
      <c r="P77" s="13">
        <f>IF(E77="Under review",COUNTIFS($E:$E,"Under review",$F:$F,"&lt;"&amp;F77)+COUNTIFS($E$1:E77,"Under review",$F$1:F77,F77),"")</f>
        <v/>
      </c>
      <c r="Q77" s="13">
        <f>IF(B77="","",A77&amp;"|"&amp;E77)</f>
        <v/>
      </c>
    </row>
    <row r="78">
      <c r="A78" s="13" t="n"/>
      <c r="B78" s="13" t="n"/>
      <c r="C78" s="13">
        <f>IF(B78="","",IFERROR(VLOOKUP(B78,Journals!$A:$B,2,FALSE),IFERROR(VLOOKUP(B78,'ABDC list'!$A:$B,2,FALSE),"")))</f>
        <v/>
      </c>
      <c r="D78" s="13" t="n"/>
      <c r="E78" s="13" t="n"/>
      <c r="F78" s="14" t="n"/>
      <c r="G78" s="14" t="n"/>
      <c r="H78" s="13">
        <f>IF(OR(F78="",E78="Planned"),"",IF(G78&lt;&gt;"",G78-F78,TODAY()-F78))</f>
        <v/>
      </c>
      <c r="I78" s="11" t="n"/>
      <c r="J78" s="11" t="n"/>
      <c r="K78" s="13" t="n"/>
      <c r="L78" s="11" t="n"/>
      <c r="M78" s="14" t="n"/>
      <c r="N78" s="13" t="n"/>
      <c r="O78" s="13" t="n"/>
      <c r="P78" s="13">
        <f>IF(E78="Under review",COUNTIFS($E:$E,"Under review",$F:$F,"&lt;"&amp;F78)+COUNTIFS($E$1:E78,"Under review",$F$1:F78,F78),"")</f>
        <v/>
      </c>
      <c r="Q78" s="13">
        <f>IF(B78="","",A78&amp;"|"&amp;E78)</f>
        <v/>
      </c>
    </row>
    <row r="79">
      <c r="A79" s="13" t="n"/>
      <c r="B79" s="13" t="n"/>
      <c r="C79" s="13">
        <f>IF(B79="","",IFERROR(VLOOKUP(B79,Journals!$A:$B,2,FALSE),IFERROR(VLOOKUP(B79,'ABDC list'!$A:$B,2,FALSE),"")))</f>
        <v/>
      </c>
      <c r="D79" s="13" t="n"/>
      <c r="E79" s="13" t="n"/>
      <c r="F79" s="14" t="n"/>
      <c r="G79" s="14" t="n"/>
      <c r="H79" s="13">
        <f>IF(OR(F79="",E79="Planned"),"",IF(G79&lt;&gt;"",G79-F79,TODAY()-F79))</f>
        <v/>
      </c>
      <c r="I79" s="11" t="n"/>
      <c r="J79" s="11" t="n"/>
      <c r="K79" s="13" t="n"/>
      <c r="L79" s="11" t="n"/>
      <c r="M79" s="14" t="n"/>
      <c r="N79" s="13" t="n"/>
      <c r="O79" s="13" t="n"/>
      <c r="P79" s="13">
        <f>IF(E79="Under review",COUNTIFS($E:$E,"Under review",$F:$F,"&lt;"&amp;F79)+COUNTIFS($E$1:E79,"Under review",$F$1:F79,F79),"")</f>
        <v/>
      </c>
      <c r="Q79" s="13">
        <f>IF(B79="","",A79&amp;"|"&amp;E79)</f>
        <v/>
      </c>
    </row>
    <row r="80">
      <c r="A80" s="13" t="n"/>
      <c r="B80" s="13" t="n"/>
      <c r="C80" s="13">
        <f>IF(B80="","",IFERROR(VLOOKUP(B80,Journals!$A:$B,2,FALSE),IFERROR(VLOOKUP(B80,'ABDC list'!$A:$B,2,FALSE),"")))</f>
        <v/>
      </c>
      <c r="D80" s="13" t="n"/>
      <c r="E80" s="13" t="n"/>
      <c r="F80" s="14" t="n"/>
      <c r="G80" s="14" t="n"/>
      <c r="H80" s="13">
        <f>IF(OR(F80="",E80="Planned"),"",IF(G80&lt;&gt;"",G80-F80,TODAY()-F80))</f>
        <v/>
      </c>
      <c r="I80" s="11" t="n"/>
      <c r="J80" s="11" t="n"/>
      <c r="K80" s="13" t="n"/>
      <c r="L80" s="11" t="n"/>
      <c r="M80" s="14" t="n"/>
      <c r="N80" s="13" t="n"/>
      <c r="O80" s="13" t="n"/>
      <c r="P80" s="13">
        <f>IF(E80="Under review",COUNTIFS($E:$E,"Under review",$F:$F,"&lt;"&amp;F80)+COUNTIFS($E$1:E80,"Under review",$F$1:F80,F80),"")</f>
        <v/>
      </c>
      <c r="Q80" s="13">
        <f>IF(B80="","",A80&amp;"|"&amp;E80)</f>
        <v/>
      </c>
    </row>
    <row r="81">
      <c r="A81" s="13" t="n"/>
      <c r="B81" s="13" t="n"/>
      <c r="C81" s="13">
        <f>IF(B81="","",IFERROR(VLOOKUP(B81,Journals!$A:$B,2,FALSE),IFERROR(VLOOKUP(B81,'ABDC list'!$A:$B,2,FALSE),"")))</f>
        <v/>
      </c>
      <c r="D81" s="13" t="n"/>
      <c r="E81" s="13" t="n"/>
      <c r="F81" s="14" t="n"/>
      <c r="G81" s="14" t="n"/>
      <c r="H81" s="13">
        <f>IF(OR(F81="",E81="Planned"),"",IF(G81&lt;&gt;"",G81-F81,TODAY()-F81))</f>
        <v/>
      </c>
      <c r="I81" s="11" t="n"/>
      <c r="J81" s="11" t="n"/>
      <c r="K81" s="13" t="n"/>
      <c r="L81" s="11" t="n"/>
      <c r="M81" s="14" t="n"/>
      <c r="N81" s="13" t="n"/>
      <c r="O81" s="13" t="n"/>
      <c r="P81" s="13">
        <f>IF(E81="Under review",COUNTIFS($E:$E,"Under review",$F:$F,"&lt;"&amp;F81)+COUNTIFS($E$1:E81,"Under review",$F$1:F81,F81),"")</f>
        <v/>
      </c>
      <c r="Q81" s="13">
        <f>IF(B81="","",A81&amp;"|"&amp;E81)</f>
        <v/>
      </c>
    </row>
    <row r="82">
      <c r="A82" s="13" t="n"/>
      <c r="B82" s="13" t="n"/>
      <c r="C82" s="13">
        <f>IF(B82="","",IFERROR(VLOOKUP(B82,Journals!$A:$B,2,FALSE),IFERROR(VLOOKUP(B82,'ABDC list'!$A:$B,2,FALSE),"")))</f>
        <v/>
      </c>
      <c r="D82" s="13" t="n"/>
      <c r="E82" s="13" t="n"/>
      <c r="F82" s="14" t="n"/>
      <c r="G82" s="14" t="n"/>
      <c r="H82" s="13">
        <f>IF(OR(F82="",E82="Planned"),"",IF(G82&lt;&gt;"",G82-F82,TODAY()-F82))</f>
        <v/>
      </c>
      <c r="I82" s="11" t="n"/>
      <c r="J82" s="11" t="n"/>
      <c r="K82" s="13" t="n"/>
      <c r="L82" s="11" t="n"/>
      <c r="M82" s="14" t="n"/>
      <c r="N82" s="13" t="n"/>
      <c r="O82" s="13" t="n"/>
      <c r="P82" s="13">
        <f>IF(E82="Under review",COUNTIFS($E:$E,"Under review",$F:$F,"&lt;"&amp;F82)+COUNTIFS($E$1:E82,"Under review",$F$1:F82,F82),"")</f>
        <v/>
      </c>
      <c r="Q82" s="13">
        <f>IF(B82="","",A82&amp;"|"&amp;E82)</f>
        <v/>
      </c>
    </row>
    <row r="83">
      <c r="A83" s="13" t="n"/>
      <c r="B83" s="13" t="n"/>
      <c r="C83" s="13">
        <f>IF(B83="","",IFERROR(VLOOKUP(B83,Journals!$A:$B,2,FALSE),IFERROR(VLOOKUP(B83,'ABDC list'!$A:$B,2,FALSE),"")))</f>
        <v/>
      </c>
      <c r="D83" s="13" t="n"/>
      <c r="E83" s="13" t="n"/>
      <c r="F83" s="14" t="n"/>
      <c r="G83" s="14" t="n"/>
      <c r="H83" s="13">
        <f>IF(OR(F83="",E83="Planned"),"",IF(G83&lt;&gt;"",G83-F83,TODAY()-F83))</f>
        <v/>
      </c>
      <c r="I83" s="11" t="n"/>
      <c r="J83" s="11" t="n"/>
      <c r="K83" s="13" t="n"/>
      <c r="L83" s="11" t="n"/>
      <c r="M83" s="14" t="n"/>
      <c r="N83" s="13" t="n"/>
      <c r="O83" s="13" t="n"/>
      <c r="P83" s="13">
        <f>IF(E83="Under review",COUNTIFS($E:$E,"Under review",$F:$F,"&lt;"&amp;F83)+COUNTIFS($E$1:E83,"Under review",$F$1:F83,F83),"")</f>
        <v/>
      </c>
      <c r="Q83" s="13">
        <f>IF(B83="","",A83&amp;"|"&amp;E83)</f>
        <v/>
      </c>
    </row>
    <row r="84">
      <c r="A84" s="13" t="n"/>
      <c r="B84" s="13" t="n"/>
      <c r="C84" s="13">
        <f>IF(B84="","",IFERROR(VLOOKUP(B84,Journals!$A:$B,2,FALSE),IFERROR(VLOOKUP(B84,'ABDC list'!$A:$B,2,FALSE),"")))</f>
        <v/>
      </c>
      <c r="D84" s="13" t="n"/>
      <c r="E84" s="13" t="n"/>
      <c r="F84" s="14" t="n"/>
      <c r="G84" s="14" t="n"/>
      <c r="H84" s="13">
        <f>IF(OR(F84="",E84="Planned"),"",IF(G84&lt;&gt;"",G84-F84,TODAY()-F84))</f>
        <v/>
      </c>
      <c r="I84" s="11" t="n"/>
      <c r="J84" s="11" t="n"/>
      <c r="K84" s="13" t="n"/>
      <c r="L84" s="11" t="n"/>
      <c r="M84" s="14" t="n"/>
      <c r="N84" s="13" t="n"/>
      <c r="O84" s="13" t="n"/>
      <c r="P84" s="13">
        <f>IF(E84="Under review",COUNTIFS($E:$E,"Under review",$F:$F,"&lt;"&amp;F84)+COUNTIFS($E$1:E84,"Under review",$F$1:F84,F84),"")</f>
        <v/>
      </c>
      <c r="Q84" s="13">
        <f>IF(B84="","",A84&amp;"|"&amp;E84)</f>
        <v/>
      </c>
    </row>
    <row r="85">
      <c r="A85" s="13" t="n"/>
      <c r="B85" s="13" t="n"/>
      <c r="C85" s="13">
        <f>IF(B85="","",IFERROR(VLOOKUP(B85,Journals!$A:$B,2,FALSE),IFERROR(VLOOKUP(B85,'ABDC list'!$A:$B,2,FALSE),"")))</f>
        <v/>
      </c>
      <c r="D85" s="13" t="n"/>
      <c r="E85" s="13" t="n"/>
      <c r="F85" s="14" t="n"/>
      <c r="G85" s="14" t="n"/>
      <c r="H85" s="13">
        <f>IF(OR(F85="",E85="Planned"),"",IF(G85&lt;&gt;"",G85-F85,TODAY()-F85))</f>
        <v/>
      </c>
      <c r="I85" s="11" t="n"/>
      <c r="J85" s="11" t="n"/>
      <c r="K85" s="13" t="n"/>
      <c r="L85" s="11" t="n"/>
      <c r="M85" s="14" t="n"/>
      <c r="N85" s="13" t="n"/>
      <c r="O85" s="13" t="n"/>
      <c r="P85" s="13">
        <f>IF(E85="Under review",COUNTIFS($E:$E,"Under review",$F:$F,"&lt;"&amp;F85)+COUNTIFS($E$1:E85,"Under review",$F$1:F85,F85),"")</f>
        <v/>
      </c>
      <c r="Q85" s="13">
        <f>IF(B85="","",A85&amp;"|"&amp;E85)</f>
        <v/>
      </c>
    </row>
    <row r="86">
      <c r="A86" s="13" t="n"/>
      <c r="B86" s="13" t="n"/>
      <c r="C86" s="13">
        <f>IF(B86="","",IFERROR(VLOOKUP(B86,Journals!$A:$B,2,FALSE),IFERROR(VLOOKUP(B86,'ABDC list'!$A:$B,2,FALSE),"")))</f>
        <v/>
      </c>
      <c r="D86" s="13" t="n"/>
      <c r="E86" s="13" t="n"/>
      <c r="F86" s="14" t="n"/>
      <c r="G86" s="14" t="n"/>
      <c r="H86" s="13">
        <f>IF(OR(F86="",E86="Planned"),"",IF(G86&lt;&gt;"",G86-F86,TODAY()-F86))</f>
        <v/>
      </c>
      <c r="I86" s="11" t="n"/>
      <c r="J86" s="11" t="n"/>
      <c r="K86" s="13" t="n"/>
      <c r="L86" s="11" t="n"/>
      <c r="M86" s="14" t="n"/>
      <c r="N86" s="13" t="n"/>
      <c r="O86" s="13" t="n"/>
      <c r="P86" s="13">
        <f>IF(E86="Under review",COUNTIFS($E:$E,"Under review",$F:$F,"&lt;"&amp;F86)+COUNTIFS($E$1:E86,"Under review",$F$1:F86,F86),"")</f>
        <v/>
      </c>
      <c r="Q86" s="13">
        <f>IF(B86="","",A86&amp;"|"&amp;E86)</f>
        <v/>
      </c>
    </row>
    <row r="87">
      <c r="A87" s="13" t="n"/>
      <c r="B87" s="13" t="n"/>
      <c r="C87" s="13">
        <f>IF(B87="","",IFERROR(VLOOKUP(B87,Journals!$A:$B,2,FALSE),IFERROR(VLOOKUP(B87,'ABDC list'!$A:$B,2,FALSE),"")))</f>
        <v/>
      </c>
      <c r="D87" s="13" t="n"/>
      <c r="E87" s="13" t="n"/>
      <c r="F87" s="14" t="n"/>
      <c r="G87" s="14" t="n"/>
      <c r="H87" s="13">
        <f>IF(OR(F87="",E87="Planned"),"",IF(G87&lt;&gt;"",G87-F87,TODAY()-F87))</f>
        <v/>
      </c>
      <c r="I87" s="11" t="n"/>
      <c r="J87" s="11" t="n"/>
      <c r="K87" s="13" t="n"/>
      <c r="L87" s="11" t="n"/>
      <c r="M87" s="14" t="n"/>
      <c r="N87" s="13" t="n"/>
      <c r="O87" s="13" t="n"/>
      <c r="P87" s="13">
        <f>IF(E87="Under review",COUNTIFS($E:$E,"Under review",$F:$F,"&lt;"&amp;F87)+COUNTIFS($E$1:E87,"Under review",$F$1:F87,F87),"")</f>
        <v/>
      </c>
      <c r="Q87" s="13">
        <f>IF(B87="","",A87&amp;"|"&amp;E87)</f>
        <v/>
      </c>
    </row>
    <row r="88">
      <c r="A88" s="13" t="n"/>
      <c r="B88" s="13" t="n"/>
      <c r="C88" s="13">
        <f>IF(B88="","",IFERROR(VLOOKUP(B88,Journals!$A:$B,2,FALSE),IFERROR(VLOOKUP(B88,'ABDC list'!$A:$B,2,FALSE),"")))</f>
        <v/>
      </c>
      <c r="D88" s="13" t="n"/>
      <c r="E88" s="13" t="n"/>
      <c r="F88" s="14" t="n"/>
      <c r="G88" s="14" t="n"/>
      <c r="H88" s="13">
        <f>IF(OR(F88="",E88="Planned"),"",IF(G88&lt;&gt;"",G88-F88,TODAY()-F88))</f>
        <v/>
      </c>
      <c r="I88" s="11" t="n"/>
      <c r="J88" s="11" t="n"/>
      <c r="K88" s="13" t="n"/>
      <c r="L88" s="11" t="n"/>
      <c r="M88" s="14" t="n"/>
      <c r="N88" s="13" t="n"/>
      <c r="O88" s="13" t="n"/>
      <c r="P88" s="13">
        <f>IF(E88="Under review",COUNTIFS($E:$E,"Under review",$F:$F,"&lt;"&amp;F88)+COUNTIFS($E$1:E88,"Under review",$F$1:F88,F88),"")</f>
        <v/>
      </c>
      <c r="Q88" s="13">
        <f>IF(B88="","",A88&amp;"|"&amp;E88)</f>
        <v/>
      </c>
    </row>
    <row r="89">
      <c r="A89" s="13" t="n"/>
      <c r="B89" s="13" t="n"/>
      <c r="C89" s="13">
        <f>IF(B89="","",IFERROR(VLOOKUP(B89,Journals!$A:$B,2,FALSE),IFERROR(VLOOKUP(B89,'ABDC list'!$A:$B,2,FALSE),"")))</f>
        <v/>
      </c>
      <c r="D89" s="13" t="n"/>
      <c r="E89" s="13" t="n"/>
      <c r="F89" s="14" t="n"/>
      <c r="G89" s="14" t="n"/>
      <c r="H89" s="13">
        <f>IF(OR(F89="",E89="Planned"),"",IF(G89&lt;&gt;"",G89-F89,TODAY()-F89))</f>
        <v/>
      </c>
      <c r="I89" s="11" t="n"/>
      <c r="J89" s="11" t="n"/>
      <c r="K89" s="13" t="n"/>
      <c r="L89" s="11" t="n"/>
      <c r="M89" s="14" t="n"/>
      <c r="N89" s="13" t="n"/>
      <c r="O89" s="13" t="n"/>
      <c r="P89" s="13">
        <f>IF(E89="Under review",COUNTIFS($E:$E,"Under review",$F:$F,"&lt;"&amp;F89)+COUNTIFS($E$1:E89,"Under review",$F$1:F89,F89),"")</f>
        <v/>
      </c>
      <c r="Q89" s="13">
        <f>IF(B89="","",A89&amp;"|"&amp;E89)</f>
        <v/>
      </c>
    </row>
    <row r="90">
      <c r="A90" s="13" t="n"/>
      <c r="B90" s="13" t="n"/>
      <c r="C90" s="13">
        <f>IF(B90="","",IFERROR(VLOOKUP(B90,Journals!$A:$B,2,FALSE),IFERROR(VLOOKUP(B90,'ABDC list'!$A:$B,2,FALSE),"")))</f>
        <v/>
      </c>
      <c r="D90" s="13" t="n"/>
      <c r="E90" s="13" t="n"/>
      <c r="F90" s="14" t="n"/>
      <c r="G90" s="14" t="n"/>
      <c r="H90" s="13">
        <f>IF(OR(F90="",E90="Planned"),"",IF(G90&lt;&gt;"",G90-F90,TODAY()-F90))</f>
        <v/>
      </c>
      <c r="I90" s="11" t="n"/>
      <c r="J90" s="11" t="n"/>
      <c r="K90" s="13" t="n"/>
      <c r="L90" s="11" t="n"/>
      <c r="M90" s="14" t="n"/>
      <c r="N90" s="13" t="n"/>
      <c r="O90" s="13" t="n"/>
      <c r="P90" s="13">
        <f>IF(E90="Under review",COUNTIFS($E:$E,"Under review",$F:$F,"&lt;"&amp;F90)+COUNTIFS($E$1:E90,"Under review",$F$1:F90,F90),"")</f>
        <v/>
      </c>
      <c r="Q90" s="13">
        <f>IF(B90="","",A90&amp;"|"&amp;E90)</f>
        <v/>
      </c>
    </row>
    <row r="91">
      <c r="A91" s="13" t="n"/>
      <c r="B91" s="13" t="n"/>
      <c r="C91" s="13">
        <f>IF(B91="","",IFERROR(VLOOKUP(B91,Journals!$A:$B,2,FALSE),IFERROR(VLOOKUP(B91,'ABDC list'!$A:$B,2,FALSE),"")))</f>
        <v/>
      </c>
      <c r="D91" s="13" t="n"/>
      <c r="E91" s="13" t="n"/>
      <c r="F91" s="14" t="n"/>
      <c r="G91" s="14" t="n"/>
      <c r="H91" s="13">
        <f>IF(OR(F91="",E91="Planned"),"",IF(G91&lt;&gt;"",G91-F91,TODAY()-F91))</f>
        <v/>
      </c>
      <c r="I91" s="11" t="n"/>
      <c r="J91" s="11" t="n"/>
      <c r="K91" s="13" t="n"/>
      <c r="L91" s="11" t="n"/>
      <c r="M91" s="14" t="n"/>
      <c r="N91" s="13" t="n"/>
      <c r="O91" s="13" t="n"/>
      <c r="P91" s="13">
        <f>IF(E91="Under review",COUNTIFS($E:$E,"Under review",$F:$F,"&lt;"&amp;F91)+COUNTIFS($E$1:E91,"Under review",$F$1:F91,F91),"")</f>
        <v/>
      </c>
      <c r="Q91" s="13">
        <f>IF(B91="","",A91&amp;"|"&amp;E91)</f>
        <v/>
      </c>
    </row>
    <row r="92">
      <c r="A92" s="13" t="n"/>
      <c r="B92" s="13" t="n"/>
      <c r="C92" s="13">
        <f>IF(B92="","",IFERROR(VLOOKUP(B92,Journals!$A:$B,2,FALSE),IFERROR(VLOOKUP(B92,'ABDC list'!$A:$B,2,FALSE),"")))</f>
        <v/>
      </c>
      <c r="D92" s="13" t="n"/>
      <c r="E92" s="13" t="n"/>
      <c r="F92" s="14" t="n"/>
      <c r="G92" s="14" t="n"/>
      <c r="H92" s="13">
        <f>IF(OR(F92="",E92="Planned"),"",IF(G92&lt;&gt;"",G92-F92,TODAY()-F92))</f>
        <v/>
      </c>
      <c r="I92" s="11" t="n"/>
      <c r="J92" s="11" t="n"/>
      <c r="K92" s="13" t="n"/>
      <c r="L92" s="11" t="n"/>
      <c r="M92" s="14" t="n"/>
      <c r="N92" s="13" t="n"/>
      <c r="O92" s="13" t="n"/>
      <c r="P92" s="13">
        <f>IF(E92="Under review",COUNTIFS($E:$E,"Under review",$F:$F,"&lt;"&amp;F92)+COUNTIFS($E$1:E92,"Under review",$F$1:F92,F92),"")</f>
        <v/>
      </c>
      <c r="Q92" s="13">
        <f>IF(B92="","",A92&amp;"|"&amp;E92)</f>
        <v/>
      </c>
    </row>
    <row r="93">
      <c r="A93" s="13" t="n"/>
      <c r="B93" s="13" t="n"/>
      <c r="C93" s="13">
        <f>IF(B93="","",IFERROR(VLOOKUP(B93,Journals!$A:$B,2,FALSE),IFERROR(VLOOKUP(B93,'ABDC list'!$A:$B,2,FALSE),"")))</f>
        <v/>
      </c>
      <c r="D93" s="13" t="n"/>
      <c r="E93" s="13" t="n"/>
      <c r="F93" s="14" t="n"/>
      <c r="G93" s="14" t="n"/>
      <c r="H93" s="13">
        <f>IF(OR(F93="",E93="Planned"),"",IF(G93&lt;&gt;"",G93-F93,TODAY()-F93))</f>
        <v/>
      </c>
      <c r="I93" s="11" t="n"/>
      <c r="J93" s="11" t="n"/>
      <c r="K93" s="13" t="n"/>
      <c r="L93" s="11" t="n"/>
      <c r="M93" s="14" t="n"/>
      <c r="N93" s="13" t="n"/>
      <c r="O93" s="13" t="n"/>
      <c r="P93" s="13">
        <f>IF(E93="Under review",COUNTIFS($E:$E,"Under review",$F:$F,"&lt;"&amp;F93)+COUNTIFS($E$1:E93,"Under review",$F$1:F93,F93),"")</f>
        <v/>
      </c>
      <c r="Q93" s="13">
        <f>IF(B93="","",A93&amp;"|"&amp;E93)</f>
        <v/>
      </c>
    </row>
    <row r="94">
      <c r="A94" s="13" t="n"/>
      <c r="B94" s="13" t="n"/>
      <c r="C94" s="13">
        <f>IF(B94="","",IFERROR(VLOOKUP(B94,Journals!$A:$B,2,FALSE),IFERROR(VLOOKUP(B94,'ABDC list'!$A:$B,2,FALSE),"")))</f>
        <v/>
      </c>
      <c r="D94" s="13" t="n"/>
      <c r="E94" s="13" t="n"/>
      <c r="F94" s="14" t="n"/>
      <c r="G94" s="14" t="n"/>
      <c r="H94" s="13">
        <f>IF(OR(F94="",E94="Planned"),"",IF(G94&lt;&gt;"",G94-F94,TODAY()-F94))</f>
        <v/>
      </c>
      <c r="I94" s="11" t="n"/>
      <c r="J94" s="11" t="n"/>
      <c r="K94" s="13" t="n"/>
      <c r="L94" s="11" t="n"/>
      <c r="M94" s="14" t="n"/>
      <c r="N94" s="13" t="n"/>
      <c r="O94" s="13" t="n"/>
      <c r="P94" s="13">
        <f>IF(E94="Under review",COUNTIFS($E:$E,"Under review",$F:$F,"&lt;"&amp;F94)+COUNTIFS($E$1:E94,"Under review",$F$1:F94,F94),"")</f>
        <v/>
      </c>
      <c r="Q94" s="13">
        <f>IF(B94="","",A94&amp;"|"&amp;E94)</f>
        <v/>
      </c>
    </row>
    <row r="95">
      <c r="A95" s="13" t="n"/>
      <c r="B95" s="13" t="n"/>
      <c r="C95" s="13">
        <f>IF(B95="","",IFERROR(VLOOKUP(B95,Journals!$A:$B,2,FALSE),IFERROR(VLOOKUP(B95,'ABDC list'!$A:$B,2,FALSE),"")))</f>
        <v/>
      </c>
      <c r="D95" s="13" t="n"/>
      <c r="E95" s="13" t="n"/>
      <c r="F95" s="14" t="n"/>
      <c r="G95" s="14" t="n"/>
      <c r="H95" s="13">
        <f>IF(OR(F95="",E95="Planned"),"",IF(G95&lt;&gt;"",G95-F95,TODAY()-F95))</f>
        <v/>
      </c>
      <c r="I95" s="11" t="n"/>
      <c r="J95" s="11" t="n"/>
      <c r="K95" s="13" t="n"/>
      <c r="L95" s="11" t="n"/>
      <c r="M95" s="14" t="n"/>
      <c r="N95" s="13" t="n"/>
      <c r="O95" s="13" t="n"/>
      <c r="P95" s="13">
        <f>IF(E95="Under review",COUNTIFS($E:$E,"Under review",$F:$F,"&lt;"&amp;F95)+COUNTIFS($E$1:E95,"Under review",$F$1:F95,F95),"")</f>
        <v/>
      </c>
      <c r="Q95" s="13">
        <f>IF(B95="","",A95&amp;"|"&amp;E95)</f>
        <v/>
      </c>
    </row>
    <row r="96">
      <c r="A96" s="13" t="n"/>
      <c r="B96" s="13" t="n"/>
      <c r="C96" s="13">
        <f>IF(B96="","",IFERROR(VLOOKUP(B96,Journals!$A:$B,2,FALSE),IFERROR(VLOOKUP(B96,'ABDC list'!$A:$B,2,FALSE),"")))</f>
        <v/>
      </c>
      <c r="D96" s="13" t="n"/>
      <c r="E96" s="13" t="n"/>
      <c r="F96" s="14" t="n"/>
      <c r="G96" s="14" t="n"/>
      <c r="H96" s="13">
        <f>IF(OR(F96="",E96="Planned"),"",IF(G96&lt;&gt;"",G96-F96,TODAY()-F96))</f>
        <v/>
      </c>
      <c r="I96" s="11" t="n"/>
      <c r="J96" s="11" t="n"/>
      <c r="K96" s="13" t="n"/>
      <c r="L96" s="11" t="n"/>
      <c r="M96" s="14" t="n"/>
      <c r="N96" s="13" t="n"/>
      <c r="O96" s="13" t="n"/>
      <c r="P96" s="13">
        <f>IF(E96="Under review",COUNTIFS($E:$E,"Under review",$F:$F,"&lt;"&amp;F96)+COUNTIFS($E$1:E96,"Under review",$F$1:F96,F96),"")</f>
        <v/>
      </c>
      <c r="Q96" s="13">
        <f>IF(B96="","",A96&amp;"|"&amp;E96)</f>
        <v/>
      </c>
    </row>
    <row r="97">
      <c r="A97" s="13" t="n"/>
      <c r="B97" s="13" t="n"/>
      <c r="C97" s="13">
        <f>IF(B97="","",IFERROR(VLOOKUP(B97,Journals!$A:$B,2,FALSE),IFERROR(VLOOKUP(B97,'ABDC list'!$A:$B,2,FALSE),"")))</f>
        <v/>
      </c>
      <c r="D97" s="13" t="n"/>
      <c r="E97" s="13" t="n"/>
      <c r="F97" s="14" t="n"/>
      <c r="G97" s="14" t="n"/>
      <c r="H97" s="13">
        <f>IF(OR(F97="",E97="Planned"),"",IF(G97&lt;&gt;"",G97-F97,TODAY()-F97))</f>
        <v/>
      </c>
      <c r="I97" s="11" t="n"/>
      <c r="J97" s="11" t="n"/>
      <c r="K97" s="13" t="n"/>
      <c r="L97" s="11" t="n"/>
      <c r="M97" s="14" t="n"/>
      <c r="N97" s="13" t="n"/>
      <c r="O97" s="13" t="n"/>
      <c r="P97" s="13">
        <f>IF(E97="Under review",COUNTIFS($E:$E,"Under review",$F:$F,"&lt;"&amp;F97)+COUNTIFS($E$1:E97,"Under review",$F$1:F97,F97),"")</f>
        <v/>
      </c>
      <c r="Q97" s="13">
        <f>IF(B97="","",A97&amp;"|"&amp;E97)</f>
        <v/>
      </c>
    </row>
    <row r="98">
      <c r="A98" s="13" t="n"/>
      <c r="B98" s="13" t="n"/>
      <c r="C98" s="13">
        <f>IF(B98="","",IFERROR(VLOOKUP(B98,Journals!$A:$B,2,FALSE),IFERROR(VLOOKUP(B98,'ABDC list'!$A:$B,2,FALSE),"")))</f>
        <v/>
      </c>
      <c r="D98" s="13" t="n"/>
      <c r="E98" s="13" t="n"/>
      <c r="F98" s="14" t="n"/>
      <c r="G98" s="14" t="n"/>
      <c r="H98" s="13">
        <f>IF(OR(F98="",E98="Planned"),"",IF(G98&lt;&gt;"",G98-F98,TODAY()-F98))</f>
        <v/>
      </c>
      <c r="I98" s="11" t="n"/>
      <c r="J98" s="11" t="n"/>
      <c r="K98" s="13" t="n"/>
      <c r="L98" s="11" t="n"/>
      <c r="M98" s="14" t="n"/>
      <c r="N98" s="13" t="n"/>
      <c r="O98" s="13" t="n"/>
      <c r="P98" s="13">
        <f>IF(E98="Under review",COUNTIFS($E:$E,"Under review",$F:$F,"&lt;"&amp;F98)+COUNTIFS($E$1:E98,"Under review",$F$1:F98,F98),"")</f>
        <v/>
      </c>
      <c r="Q98" s="13">
        <f>IF(B98="","",A98&amp;"|"&amp;E98)</f>
        <v/>
      </c>
    </row>
    <row r="99">
      <c r="A99" s="13" t="n"/>
      <c r="B99" s="13" t="n"/>
      <c r="C99" s="13">
        <f>IF(B99="","",IFERROR(VLOOKUP(B99,Journals!$A:$B,2,FALSE),IFERROR(VLOOKUP(B99,'ABDC list'!$A:$B,2,FALSE),"")))</f>
        <v/>
      </c>
      <c r="D99" s="13" t="n"/>
      <c r="E99" s="13" t="n"/>
      <c r="F99" s="14" t="n"/>
      <c r="G99" s="14" t="n"/>
      <c r="H99" s="13">
        <f>IF(OR(F99="",E99="Planned"),"",IF(G99&lt;&gt;"",G99-F99,TODAY()-F99))</f>
        <v/>
      </c>
      <c r="I99" s="11" t="n"/>
      <c r="J99" s="11" t="n"/>
      <c r="K99" s="13" t="n"/>
      <c r="L99" s="11" t="n"/>
      <c r="M99" s="14" t="n"/>
      <c r="N99" s="13" t="n"/>
      <c r="O99" s="13" t="n"/>
      <c r="P99" s="13">
        <f>IF(E99="Under review",COUNTIFS($E:$E,"Under review",$F:$F,"&lt;"&amp;F99)+COUNTIFS($E$1:E99,"Under review",$F$1:F99,F99),"")</f>
        <v/>
      </c>
      <c r="Q99" s="13">
        <f>IF(B99="","",A99&amp;"|"&amp;E99)</f>
        <v/>
      </c>
    </row>
    <row r="100">
      <c r="A100" s="13" t="n"/>
      <c r="B100" s="13" t="n"/>
      <c r="C100" s="13">
        <f>IF(B100="","",IFERROR(VLOOKUP(B100,Journals!$A:$B,2,FALSE),IFERROR(VLOOKUP(B100,'ABDC list'!$A:$B,2,FALSE),"")))</f>
        <v/>
      </c>
      <c r="D100" s="13" t="n"/>
      <c r="E100" s="13" t="n"/>
      <c r="F100" s="14" t="n"/>
      <c r="G100" s="14" t="n"/>
      <c r="H100" s="13">
        <f>IF(OR(F100="",E100="Planned"),"",IF(G100&lt;&gt;"",G100-F100,TODAY()-F100))</f>
        <v/>
      </c>
      <c r="I100" s="11" t="n"/>
      <c r="J100" s="11" t="n"/>
      <c r="K100" s="13" t="n"/>
      <c r="L100" s="11" t="n"/>
      <c r="M100" s="14" t="n"/>
      <c r="N100" s="13" t="n"/>
      <c r="O100" s="13" t="n"/>
      <c r="P100" s="13">
        <f>IF(E100="Under review",COUNTIFS($E:$E,"Under review",$F:$F,"&lt;"&amp;F100)+COUNTIFS($E$1:E100,"Under review",$F$1:F100,F100),"")</f>
        <v/>
      </c>
      <c r="Q100" s="13">
        <f>IF(B100="","",A100&amp;"|"&amp;E100)</f>
        <v/>
      </c>
    </row>
    <row r="101">
      <c r="A101" s="13" t="n"/>
      <c r="B101" s="13" t="n"/>
      <c r="C101" s="13">
        <f>IF(B101="","",IFERROR(VLOOKUP(B101,Journals!$A:$B,2,FALSE),IFERROR(VLOOKUP(B101,'ABDC list'!$A:$B,2,FALSE),"")))</f>
        <v/>
      </c>
      <c r="D101" s="13" t="n"/>
      <c r="E101" s="13" t="n"/>
      <c r="F101" s="14" t="n"/>
      <c r="G101" s="14" t="n"/>
      <c r="H101" s="13">
        <f>IF(OR(F101="",E101="Planned"),"",IF(G101&lt;&gt;"",G101-F101,TODAY()-F101))</f>
        <v/>
      </c>
      <c r="I101" s="11" t="n"/>
      <c r="J101" s="11" t="n"/>
      <c r="K101" s="13" t="n"/>
      <c r="L101" s="11" t="n"/>
      <c r="M101" s="14" t="n"/>
      <c r="N101" s="13" t="n"/>
      <c r="O101" s="13" t="n"/>
      <c r="P101" s="13">
        <f>IF(E101="Under review",COUNTIFS($E:$E,"Under review",$F:$F,"&lt;"&amp;F101)+COUNTIFS($E$1:E101,"Under review",$F$1:F101,F101),"")</f>
        <v/>
      </c>
      <c r="Q101" s="13">
        <f>IF(B101="","",A101&amp;"|"&amp;E101)</f>
        <v/>
      </c>
    </row>
    <row r="102">
      <c r="A102" s="13" t="n"/>
      <c r="B102" s="13" t="n"/>
      <c r="C102" s="13">
        <f>IF(B102="","",IFERROR(VLOOKUP(B102,Journals!$A:$B,2,FALSE),IFERROR(VLOOKUP(B102,'ABDC list'!$A:$B,2,FALSE),"")))</f>
        <v/>
      </c>
      <c r="D102" s="13" t="n"/>
      <c r="E102" s="13" t="n"/>
      <c r="F102" s="14" t="n"/>
      <c r="G102" s="14" t="n"/>
      <c r="H102" s="13">
        <f>IF(OR(F102="",E102="Planned"),"",IF(G102&lt;&gt;"",G102-F102,TODAY()-F102))</f>
        <v/>
      </c>
      <c r="I102" s="11" t="n"/>
      <c r="J102" s="11" t="n"/>
      <c r="K102" s="13" t="n"/>
      <c r="L102" s="11" t="n"/>
      <c r="M102" s="14" t="n"/>
      <c r="N102" s="13" t="n"/>
      <c r="O102" s="13" t="n"/>
      <c r="P102" s="13">
        <f>IF(E102="Under review",COUNTIFS($E:$E,"Under review",$F:$F,"&lt;"&amp;F102)+COUNTIFS($E$1:E102,"Under review",$F$1:F102,F102),"")</f>
        <v/>
      </c>
      <c r="Q102" s="13">
        <f>IF(B102="","",A102&amp;"|"&amp;E102)</f>
        <v/>
      </c>
    </row>
    <row r="103">
      <c r="A103" s="13" t="n"/>
      <c r="B103" s="13" t="n"/>
      <c r="C103" s="13">
        <f>IF(B103="","",IFERROR(VLOOKUP(B103,Journals!$A:$B,2,FALSE),IFERROR(VLOOKUP(B103,'ABDC list'!$A:$B,2,FALSE),"")))</f>
        <v/>
      </c>
      <c r="D103" s="13" t="n"/>
      <c r="E103" s="13" t="n"/>
      <c r="F103" s="14" t="n"/>
      <c r="G103" s="14" t="n"/>
      <c r="H103" s="13">
        <f>IF(OR(F103="",E103="Planned"),"",IF(G103&lt;&gt;"",G103-F103,TODAY()-F103))</f>
        <v/>
      </c>
      <c r="I103" s="11" t="n"/>
      <c r="J103" s="11" t="n"/>
      <c r="K103" s="13" t="n"/>
      <c r="L103" s="11" t="n"/>
      <c r="M103" s="14" t="n"/>
      <c r="N103" s="13" t="n"/>
      <c r="O103" s="13" t="n"/>
      <c r="P103" s="13">
        <f>IF(E103="Under review",COUNTIFS($E:$E,"Under review",$F:$F,"&lt;"&amp;F103)+COUNTIFS($E$1:E103,"Under review",$F$1:F103,F103),"")</f>
        <v/>
      </c>
      <c r="Q103" s="13">
        <f>IF(B103="","",A103&amp;"|"&amp;E103)</f>
        <v/>
      </c>
    </row>
    <row r="104">
      <c r="A104" s="13" t="n"/>
      <c r="B104" s="13" t="n"/>
      <c r="C104" s="13">
        <f>IF(B104="","",IFERROR(VLOOKUP(B104,Journals!$A:$B,2,FALSE),IFERROR(VLOOKUP(B104,'ABDC list'!$A:$B,2,FALSE),"")))</f>
        <v/>
      </c>
      <c r="D104" s="13" t="n"/>
      <c r="E104" s="13" t="n"/>
      <c r="F104" s="14" t="n"/>
      <c r="G104" s="14" t="n"/>
      <c r="H104" s="13">
        <f>IF(OR(F104="",E104="Planned"),"",IF(G104&lt;&gt;"",G104-F104,TODAY()-F104))</f>
        <v/>
      </c>
      <c r="I104" s="11" t="n"/>
      <c r="J104" s="11" t="n"/>
      <c r="K104" s="13" t="n"/>
      <c r="L104" s="11" t="n"/>
      <c r="M104" s="14" t="n"/>
      <c r="N104" s="13" t="n"/>
      <c r="O104" s="13" t="n"/>
      <c r="P104" s="13">
        <f>IF(E104="Under review",COUNTIFS($E:$E,"Under review",$F:$F,"&lt;"&amp;F104)+COUNTIFS($E$1:E104,"Under review",$F$1:F104,F104),"")</f>
        <v/>
      </c>
      <c r="Q104" s="13">
        <f>IF(B104="","",A104&amp;"|"&amp;E104)</f>
        <v/>
      </c>
    </row>
    <row r="105">
      <c r="A105" s="13" t="n"/>
      <c r="B105" s="13" t="n"/>
      <c r="C105" s="13">
        <f>IF(B105="","",IFERROR(VLOOKUP(B105,Journals!$A:$B,2,FALSE),IFERROR(VLOOKUP(B105,'ABDC list'!$A:$B,2,FALSE),"")))</f>
        <v/>
      </c>
      <c r="D105" s="13" t="n"/>
      <c r="E105" s="13" t="n"/>
      <c r="F105" s="14" t="n"/>
      <c r="G105" s="14" t="n"/>
      <c r="H105" s="13">
        <f>IF(OR(F105="",E105="Planned"),"",IF(G105&lt;&gt;"",G105-F105,TODAY()-F105))</f>
        <v/>
      </c>
      <c r="I105" s="11" t="n"/>
      <c r="J105" s="11" t="n"/>
      <c r="K105" s="13" t="n"/>
      <c r="L105" s="11" t="n"/>
      <c r="M105" s="14" t="n"/>
      <c r="N105" s="13" t="n"/>
      <c r="O105" s="13" t="n"/>
      <c r="P105" s="13">
        <f>IF(E105="Under review",COUNTIFS($E:$E,"Under review",$F:$F,"&lt;"&amp;F105)+COUNTIFS($E$1:E105,"Under review",$F$1:F105,F105),"")</f>
        <v/>
      </c>
      <c r="Q105" s="13">
        <f>IF(B105="","",A105&amp;"|"&amp;E105)</f>
        <v/>
      </c>
    </row>
    <row r="106">
      <c r="A106" s="13" t="n"/>
      <c r="B106" s="13" t="n"/>
      <c r="C106" s="13">
        <f>IF(B106="","",IFERROR(VLOOKUP(B106,Journals!$A:$B,2,FALSE),IFERROR(VLOOKUP(B106,'ABDC list'!$A:$B,2,FALSE),"")))</f>
        <v/>
      </c>
      <c r="D106" s="13" t="n"/>
      <c r="E106" s="13" t="n"/>
      <c r="F106" s="14" t="n"/>
      <c r="G106" s="14" t="n"/>
      <c r="H106" s="13">
        <f>IF(OR(F106="",E106="Planned"),"",IF(G106&lt;&gt;"",G106-F106,TODAY()-F106))</f>
        <v/>
      </c>
      <c r="I106" s="11" t="n"/>
      <c r="J106" s="11" t="n"/>
      <c r="K106" s="13" t="n"/>
      <c r="L106" s="11" t="n"/>
      <c r="M106" s="14" t="n"/>
      <c r="N106" s="13" t="n"/>
      <c r="O106" s="13" t="n"/>
      <c r="P106" s="13">
        <f>IF(E106="Under review",COUNTIFS($E:$E,"Under review",$F:$F,"&lt;"&amp;F106)+COUNTIFS($E$1:E106,"Under review",$F$1:F106,F106),"")</f>
        <v/>
      </c>
      <c r="Q106" s="13">
        <f>IF(B106="","",A106&amp;"|"&amp;E106)</f>
        <v/>
      </c>
    </row>
    <row r="107">
      <c r="A107" s="13" t="n"/>
      <c r="B107" s="13" t="n"/>
      <c r="C107" s="13">
        <f>IF(B107="","",IFERROR(VLOOKUP(B107,Journals!$A:$B,2,FALSE),IFERROR(VLOOKUP(B107,'ABDC list'!$A:$B,2,FALSE),"")))</f>
        <v/>
      </c>
      <c r="D107" s="13" t="n"/>
      <c r="E107" s="13" t="n"/>
      <c r="F107" s="14" t="n"/>
      <c r="G107" s="14" t="n"/>
      <c r="H107" s="13">
        <f>IF(OR(F107="",E107="Planned"),"",IF(G107&lt;&gt;"",G107-F107,TODAY()-F107))</f>
        <v/>
      </c>
      <c r="I107" s="11" t="n"/>
      <c r="J107" s="11" t="n"/>
      <c r="K107" s="13" t="n"/>
      <c r="L107" s="11" t="n"/>
      <c r="M107" s="14" t="n"/>
      <c r="N107" s="13" t="n"/>
      <c r="O107" s="13" t="n"/>
      <c r="P107" s="13">
        <f>IF(E107="Under review",COUNTIFS($E:$E,"Under review",$F:$F,"&lt;"&amp;F107)+COUNTIFS($E$1:E107,"Under review",$F$1:F107,F107),"")</f>
        <v/>
      </c>
      <c r="Q107" s="13">
        <f>IF(B107="","",A107&amp;"|"&amp;E107)</f>
        <v/>
      </c>
    </row>
    <row r="108">
      <c r="A108" s="13" t="n"/>
      <c r="B108" s="13" t="n"/>
      <c r="C108" s="13">
        <f>IF(B108="","",IFERROR(VLOOKUP(B108,Journals!$A:$B,2,FALSE),IFERROR(VLOOKUP(B108,'ABDC list'!$A:$B,2,FALSE),"")))</f>
        <v/>
      </c>
      <c r="D108" s="13" t="n"/>
      <c r="E108" s="13" t="n"/>
      <c r="F108" s="14" t="n"/>
      <c r="G108" s="14" t="n"/>
      <c r="H108" s="13">
        <f>IF(OR(F108="",E108="Planned"),"",IF(G108&lt;&gt;"",G108-F108,TODAY()-F108))</f>
        <v/>
      </c>
      <c r="I108" s="11" t="n"/>
      <c r="J108" s="11" t="n"/>
      <c r="K108" s="13" t="n"/>
      <c r="L108" s="11" t="n"/>
      <c r="M108" s="14" t="n"/>
      <c r="N108" s="13" t="n"/>
      <c r="O108" s="13" t="n"/>
      <c r="P108" s="13">
        <f>IF(E108="Under review",COUNTIFS($E:$E,"Under review",$F:$F,"&lt;"&amp;F108)+COUNTIFS($E$1:E108,"Under review",$F$1:F108,F108),"")</f>
        <v/>
      </c>
      <c r="Q108" s="13">
        <f>IF(B108="","",A108&amp;"|"&amp;E108)</f>
        <v/>
      </c>
    </row>
    <row r="109">
      <c r="A109" s="13" t="n"/>
      <c r="B109" s="13" t="n"/>
      <c r="C109" s="13">
        <f>IF(B109="","",IFERROR(VLOOKUP(B109,Journals!$A:$B,2,FALSE),IFERROR(VLOOKUP(B109,'ABDC list'!$A:$B,2,FALSE),"")))</f>
        <v/>
      </c>
      <c r="D109" s="13" t="n"/>
      <c r="E109" s="13" t="n"/>
      <c r="F109" s="14" t="n"/>
      <c r="G109" s="14" t="n"/>
      <c r="H109" s="13">
        <f>IF(OR(F109="",E109="Planned"),"",IF(G109&lt;&gt;"",G109-F109,TODAY()-F109))</f>
        <v/>
      </c>
      <c r="I109" s="11" t="n"/>
      <c r="J109" s="11" t="n"/>
      <c r="K109" s="13" t="n"/>
      <c r="L109" s="11" t="n"/>
      <c r="M109" s="14" t="n"/>
      <c r="N109" s="13" t="n"/>
      <c r="O109" s="13" t="n"/>
      <c r="P109" s="13">
        <f>IF(E109="Under review",COUNTIFS($E:$E,"Under review",$F:$F,"&lt;"&amp;F109)+COUNTIFS($E$1:E109,"Under review",$F$1:F109,F109),"")</f>
        <v/>
      </c>
      <c r="Q109" s="13">
        <f>IF(B109="","",A109&amp;"|"&amp;E109)</f>
        <v/>
      </c>
    </row>
    <row r="110">
      <c r="A110" s="13" t="n"/>
      <c r="B110" s="13" t="n"/>
      <c r="C110" s="13">
        <f>IF(B110="","",IFERROR(VLOOKUP(B110,Journals!$A:$B,2,FALSE),IFERROR(VLOOKUP(B110,'ABDC list'!$A:$B,2,FALSE),"")))</f>
        <v/>
      </c>
      <c r="D110" s="13" t="n"/>
      <c r="E110" s="13" t="n"/>
      <c r="F110" s="14" t="n"/>
      <c r="G110" s="14" t="n"/>
      <c r="H110" s="13">
        <f>IF(OR(F110="",E110="Planned"),"",IF(G110&lt;&gt;"",G110-F110,TODAY()-F110))</f>
        <v/>
      </c>
      <c r="I110" s="11" t="n"/>
      <c r="J110" s="11" t="n"/>
      <c r="K110" s="13" t="n"/>
      <c r="L110" s="11" t="n"/>
      <c r="M110" s="14" t="n"/>
      <c r="N110" s="13" t="n"/>
      <c r="O110" s="13" t="n"/>
      <c r="P110" s="13">
        <f>IF(E110="Under review",COUNTIFS($E:$E,"Under review",$F:$F,"&lt;"&amp;F110)+COUNTIFS($E$1:E110,"Under review",$F$1:F110,F110),"")</f>
        <v/>
      </c>
      <c r="Q110" s="13">
        <f>IF(B110="","",A110&amp;"|"&amp;E110)</f>
        <v/>
      </c>
    </row>
    <row r="111">
      <c r="A111" s="13" t="n"/>
      <c r="B111" s="13" t="n"/>
      <c r="C111" s="13">
        <f>IF(B111="","",IFERROR(VLOOKUP(B111,Journals!$A:$B,2,FALSE),IFERROR(VLOOKUP(B111,'ABDC list'!$A:$B,2,FALSE),"")))</f>
        <v/>
      </c>
      <c r="D111" s="13" t="n"/>
      <c r="E111" s="13" t="n"/>
      <c r="F111" s="14" t="n"/>
      <c r="G111" s="14" t="n"/>
      <c r="H111" s="13">
        <f>IF(OR(F111="",E111="Planned"),"",IF(G111&lt;&gt;"",G111-F111,TODAY()-F111))</f>
        <v/>
      </c>
      <c r="I111" s="11" t="n"/>
      <c r="J111" s="11" t="n"/>
      <c r="K111" s="13" t="n"/>
      <c r="L111" s="11" t="n"/>
      <c r="M111" s="14" t="n"/>
      <c r="N111" s="13" t="n"/>
      <c r="O111" s="13" t="n"/>
      <c r="P111" s="13">
        <f>IF(E111="Under review",COUNTIFS($E:$E,"Under review",$F:$F,"&lt;"&amp;F111)+COUNTIFS($E$1:E111,"Under review",$F$1:F111,F111),"")</f>
        <v/>
      </c>
      <c r="Q111" s="13">
        <f>IF(B111="","",A111&amp;"|"&amp;E111)</f>
        <v/>
      </c>
    </row>
    <row r="112">
      <c r="A112" s="13" t="n"/>
      <c r="B112" s="13" t="n"/>
      <c r="C112" s="13">
        <f>IF(B112="","",IFERROR(VLOOKUP(B112,Journals!$A:$B,2,FALSE),IFERROR(VLOOKUP(B112,'ABDC list'!$A:$B,2,FALSE),"")))</f>
        <v/>
      </c>
      <c r="D112" s="13" t="n"/>
      <c r="E112" s="13" t="n"/>
      <c r="F112" s="14" t="n"/>
      <c r="G112" s="14" t="n"/>
      <c r="H112" s="13">
        <f>IF(OR(F112="",E112="Planned"),"",IF(G112&lt;&gt;"",G112-F112,TODAY()-F112))</f>
        <v/>
      </c>
      <c r="I112" s="11" t="n"/>
      <c r="J112" s="11" t="n"/>
      <c r="K112" s="13" t="n"/>
      <c r="L112" s="11" t="n"/>
      <c r="M112" s="14" t="n"/>
      <c r="N112" s="13" t="n"/>
      <c r="O112" s="13" t="n"/>
      <c r="P112" s="13">
        <f>IF(E112="Under review",COUNTIFS($E:$E,"Under review",$F:$F,"&lt;"&amp;F112)+COUNTIFS($E$1:E112,"Under review",$F$1:F112,F112),"")</f>
        <v/>
      </c>
      <c r="Q112" s="13">
        <f>IF(B112="","",A112&amp;"|"&amp;E112)</f>
        <v/>
      </c>
    </row>
    <row r="113">
      <c r="A113" s="13" t="n"/>
      <c r="B113" s="13" t="n"/>
      <c r="C113" s="13">
        <f>IF(B113="","",IFERROR(VLOOKUP(B113,Journals!$A:$B,2,FALSE),IFERROR(VLOOKUP(B113,'ABDC list'!$A:$B,2,FALSE),"")))</f>
        <v/>
      </c>
      <c r="D113" s="13" t="n"/>
      <c r="E113" s="13" t="n"/>
      <c r="F113" s="14" t="n"/>
      <c r="G113" s="14" t="n"/>
      <c r="H113" s="13">
        <f>IF(OR(F113="",E113="Planned"),"",IF(G113&lt;&gt;"",G113-F113,TODAY()-F113))</f>
        <v/>
      </c>
      <c r="I113" s="11" t="n"/>
      <c r="J113" s="11" t="n"/>
      <c r="K113" s="13" t="n"/>
      <c r="L113" s="11" t="n"/>
      <c r="M113" s="14" t="n"/>
      <c r="N113" s="13" t="n"/>
      <c r="O113" s="13" t="n"/>
      <c r="P113" s="13">
        <f>IF(E113="Under review",COUNTIFS($E:$E,"Under review",$F:$F,"&lt;"&amp;F113)+COUNTIFS($E$1:E113,"Under review",$F$1:F113,F113),"")</f>
        <v/>
      </c>
      <c r="Q113" s="13">
        <f>IF(B113="","",A113&amp;"|"&amp;E113)</f>
        <v/>
      </c>
    </row>
    <row r="114">
      <c r="A114" s="13" t="n"/>
      <c r="B114" s="13" t="n"/>
      <c r="C114" s="13">
        <f>IF(B114="","",IFERROR(VLOOKUP(B114,Journals!$A:$B,2,FALSE),IFERROR(VLOOKUP(B114,'ABDC list'!$A:$B,2,FALSE),"")))</f>
        <v/>
      </c>
      <c r="D114" s="13" t="n"/>
      <c r="E114" s="13" t="n"/>
      <c r="F114" s="14" t="n"/>
      <c r="G114" s="14" t="n"/>
      <c r="H114" s="13">
        <f>IF(OR(F114="",E114="Planned"),"",IF(G114&lt;&gt;"",G114-F114,TODAY()-F114))</f>
        <v/>
      </c>
      <c r="I114" s="11" t="n"/>
      <c r="J114" s="11" t="n"/>
      <c r="K114" s="13" t="n"/>
      <c r="L114" s="11" t="n"/>
      <c r="M114" s="14" t="n"/>
      <c r="N114" s="13" t="n"/>
      <c r="O114" s="13" t="n"/>
      <c r="P114" s="13">
        <f>IF(E114="Under review",COUNTIFS($E:$E,"Under review",$F:$F,"&lt;"&amp;F114)+COUNTIFS($E$1:E114,"Under review",$F$1:F114,F114),"")</f>
        <v/>
      </c>
      <c r="Q114" s="13">
        <f>IF(B114="","",A114&amp;"|"&amp;E114)</f>
        <v/>
      </c>
    </row>
    <row r="115">
      <c r="A115" s="13" t="n"/>
      <c r="B115" s="13" t="n"/>
      <c r="C115" s="13">
        <f>IF(B115="","",IFERROR(VLOOKUP(B115,Journals!$A:$B,2,FALSE),IFERROR(VLOOKUP(B115,'ABDC list'!$A:$B,2,FALSE),"")))</f>
        <v/>
      </c>
      <c r="D115" s="13" t="n"/>
      <c r="E115" s="13" t="n"/>
      <c r="F115" s="14" t="n"/>
      <c r="G115" s="14" t="n"/>
      <c r="H115" s="13">
        <f>IF(OR(F115="",E115="Planned"),"",IF(G115&lt;&gt;"",G115-F115,TODAY()-F115))</f>
        <v/>
      </c>
      <c r="I115" s="11" t="n"/>
      <c r="J115" s="11" t="n"/>
      <c r="K115" s="13" t="n"/>
      <c r="L115" s="11" t="n"/>
      <c r="M115" s="14" t="n"/>
      <c r="N115" s="13" t="n"/>
      <c r="O115" s="13" t="n"/>
      <c r="P115" s="13">
        <f>IF(E115="Under review",COUNTIFS($E:$E,"Under review",$F:$F,"&lt;"&amp;F115)+COUNTIFS($E$1:E115,"Under review",$F$1:F115,F115),"")</f>
        <v/>
      </c>
      <c r="Q115" s="13">
        <f>IF(B115="","",A115&amp;"|"&amp;E115)</f>
        <v/>
      </c>
    </row>
    <row r="116">
      <c r="A116" s="13" t="n"/>
      <c r="B116" s="13" t="n"/>
      <c r="C116" s="13">
        <f>IF(B116="","",IFERROR(VLOOKUP(B116,Journals!$A:$B,2,FALSE),IFERROR(VLOOKUP(B116,'ABDC list'!$A:$B,2,FALSE),"")))</f>
        <v/>
      </c>
      <c r="D116" s="13" t="n"/>
      <c r="E116" s="13" t="n"/>
      <c r="F116" s="14" t="n"/>
      <c r="G116" s="14" t="n"/>
      <c r="H116" s="13">
        <f>IF(OR(F116="",E116="Planned"),"",IF(G116&lt;&gt;"",G116-F116,TODAY()-F116))</f>
        <v/>
      </c>
      <c r="I116" s="11" t="n"/>
      <c r="J116" s="11" t="n"/>
      <c r="K116" s="13" t="n"/>
      <c r="L116" s="11" t="n"/>
      <c r="M116" s="14" t="n"/>
      <c r="N116" s="13" t="n"/>
      <c r="O116" s="13" t="n"/>
      <c r="P116" s="13">
        <f>IF(E116="Under review",COUNTIFS($E:$E,"Under review",$F:$F,"&lt;"&amp;F116)+COUNTIFS($E$1:E116,"Under review",$F$1:F116,F116),"")</f>
        <v/>
      </c>
      <c r="Q116" s="13">
        <f>IF(B116="","",A116&amp;"|"&amp;E116)</f>
        <v/>
      </c>
    </row>
    <row r="117">
      <c r="A117" s="13" t="n"/>
      <c r="B117" s="13" t="n"/>
      <c r="C117" s="13">
        <f>IF(B117="","",IFERROR(VLOOKUP(B117,Journals!$A:$B,2,FALSE),IFERROR(VLOOKUP(B117,'ABDC list'!$A:$B,2,FALSE),"")))</f>
        <v/>
      </c>
      <c r="D117" s="13" t="n"/>
      <c r="E117" s="13" t="n"/>
      <c r="F117" s="14" t="n"/>
      <c r="G117" s="14" t="n"/>
      <c r="H117" s="13">
        <f>IF(OR(F117="",E117="Planned"),"",IF(G117&lt;&gt;"",G117-F117,TODAY()-F117))</f>
        <v/>
      </c>
      <c r="I117" s="11" t="n"/>
      <c r="J117" s="11" t="n"/>
      <c r="K117" s="13" t="n"/>
      <c r="L117" s="11" t="n"/>
      <c r="M117" s="14" t="n"/>
      <c r="N117" s="13" t="n"/>
      <c r="O117" s="13" t="n"/>
      <c r="P117" s="13">
        <f>IF(E117="Under review",COUNTIFS($E:$E,"Under review",$F:$F,"&lt;"&amp;F117)+COUNTIFS($E$1:E117,"Under review",$F$1:F117,F117),"")</f>
        <v/>
      </c>
      <c r="Q117" s="13">
        <f>IF(B117="","",A117&amp;"|"&amp;E117)</f>
        <v/>
      </c>
    </row>
    <row r="118">
      <c r="A118" s="13" t="n"/>
      <c r="B118" s="13" t="n"/>
      <c r="C118" s="13">
        <f>IF(B118="","",IFERROR(VLOOKUP(B118,Journals!$A:$B,2,FALSE),IFERROR(VLOOKUP(B118,'ABDC list'!$A:$B,2,FALSE),"")))</f>
        <v/>
      </c>
      <c r="D118" s="13" t="n"/>
      <c r="E118" s="13" t="n"/>
      <c r="F118" s="14" t="n"/>
      <c r="G118" s="14" t="n"/>
      <c r="H118" s="13">
        <f>IF(OR(F118="",E118="Planned"),"",IF(G118&lt;&gt;"",G118-F118,TODAY()-F118))</f>
        <v/>
      </c>
      <c r="I118" s="11" t="n"/>
      <c r="J118" s="11" t="n"/>
      <c r="K118" s="13" t="n"/>
      <c r="L118" s="11" t="n"/>
      <c r="M118" s="14" t="n"/>
      <c r="N118" s="13" t="n"/>
      <c r="O118" s="13" t="n"/>
      <c r="P118" s="13">
        <f>IF(E118="Under review",COUNTIFS($E:$E,"Under review",$F:$F,"&lt;"&amp;F118)+COUNTIFS($E$1:E118,"Under review",$F$1:F118,F118),"")</f>
        <v/>
      </c>
      <c r="Q118" s="13">
        <f>IF(B118="","",A118&amp;"|"&amp;E118)</f>
        <v/>
      </c>
    </row>
    <row r="119">
      <c r="A119" s="13" t="n"/>
      <c r="B119" s="13" t="n"/>
      <c r="C119" s="13">
        <f>IF(B119="","",IFERROR(VLOOKUP(B119,Journals!$A:$B,2,FALSE),IFERROR(VLOOKUP(B119,'ABDC list'!$A:$B,2,FALSE),"")))</f>
        <v/>
      </c>
      <c r="D119" s="13" t="n"/>
      <c r="E119" s="13" t="n"/>
      <c r="F119" s="14" t="n"/>
      <c r="G119" s="14" t="n"/>
      <c r="H119" s="13">
        <f>IF(OR(F119="",E119="Planned"),"",IF(G119&lt;&gt;"",G119-F119,TODAY()-F119))</f>
        <v/>
      </c>
      <c r="I119" s="11" t="n"/>
      <c r="J119" s="11" t="n"/>
      <c r="K119" s="13" t="n"/>
      <c r="L119" s="11" t="n"/>
      <c r="M119" s="14" t="n"/>
      <c r="N119" s="13" t="n"/>
      <c r="O119" s="13" t="n"/>
      <c r="P119" s="13">
        <f>IF(E119="Under review",COUNTIFS($E:$E,"Under review",$F:$F,"&lt;"&amp;F119)+COUNTIFS($E$1:E119,"Under review",$F$1:F119,F119),"")</f>
        <v/>
      </c>
      <c r="Q119" s="13">
        <f>IF(B119="","",A119&amp;"|"&amp;E119)</f>
        <v/>
      </c>
    </row>
    <row r="120">
      <c r="A120" s="13" t="n"/>
      <c r="B120" s="13" t="n"/>
      <c r="C120" s="13">
        <f>IF(B120="","",IFERROR(VLOOKUP(B120,Journals!$A:$B,2,FALSE),IFERROR(VLOOKUP(B120,'ABDC list'!$A:$B,2,FALSE),"")))</f>
        <v/>
      </c>
      <c r="D120" s="13" t="n"/>
      <c r="E120" s="13" t="n"/>
      <c r="F120" s="14" t="n"/>
      <c r="G120" s="14" t="n"/>
      <c r="H120" s="13">
        <f>IF(OR(F120="",E120="Planned"),"",IF(G120&lt;&gt;"",G120-F120,TODAY()-F120))</f>
        <v/>
      </c>
      <c r="I120" s="11" t="n"/>
      <c r="J120" s="11" t="n"/>
      <c r="K120" s="13" t="n"/>
      <c r="L120" s="11" t="n"/>
      <c r="M120" s="14" t="n"/>
      <c r="N120" s="13" t="n"/>
      <c r="O120" s="13" t="n"/>
      <c r="P120" s="13">
        <f>IF(E120="Under review",COUNTIFS($E:$E,"Under review",$F:$F,"&lt;"&amp;F120)+COUNTIFS($E$1:E120,"Under review",$F$1:F120,F120),"")</f>
        <v/>
      </c>
      <c r="Q120" s="13">
        <f>IF(B120="","",A120&amp;"|"&amp;E120)</f>
        <v/>
      </c>
    </row>
    <row r="121">
      <c r="A121" s="13" t="n"/>
      <c r="B121" s="13" t="n"/>
      <c r="C121" s="13">
        <f>IF(B121="","",IFERROR(VLOOKUP(B121,Journals!$A:$B,2,FALSE),IFERROR(VLOOKUP(B121,'ABDC list'!$A:$B,2,FALSE),"")))</f>
        <v/>
      </c>
      <c r="D121" s="13" t="n"/>
      <c r="E121" s="13" t="n"/>
      <c r="F121" s="14" t="n"/>
      <c r="G121" s="14" t="n"/>
      <c r="H121" s="13">
        <f>IF(OR(F121="",E121="Planned"),"",IF(G121&lt;&gt;"",G121-F121,TODAY()-F121))</f>
        <v/>
      </c>
      <c r="I121" s="11" t="n"/>
      <c r="J121" s="11" t="n"/>
      <c r="K121" s="13" t="n"/>
      <c r="L121" s="11" t="n"/>
      <c r="M121" s="14" t="n"/>
      <c r="N121" s="13" t="n"/>
      <c r="O121" s="13" t="n"/>
      <c r="P121" s="13">
        <f>IF(E121="Under review",COUNTIFS($E:$E,"Under review",$F:$F,"&lt;"&amp;F121)+COUNTIFS($E$1:E121,"Under review",$F$1:F121,F121),"")</f>
        <v/>
      </c>
      <c r="Q121" s="13">
        <f>IF(B121="","",A121&amp;"|"&amp;E121)</f>
        <v/>
      </c>
    </row>
    <row r="122">
      <c r="A122" s="13" t="n"/>
      <c r="B122" s="13" t="n"/>
      <c r="C122" s="13">
        <f>IF(B122="","",IFERROR(VLOOKUP(B122,Journals!$A:$B,2,FALSE),IFERROR(VLOOKUP(B122,'ABDC list'!$A:$B,2,FALSE),"")))</f>
        <v/>
      </c>
      <c r="D122" s="13" t="n"/>
      <c r="E122" s="13" t="n"/>
      <c r="F122" s="14" t="n"/>
      <c r="G122" s="14" t="n"/>
      <c r="H122" s="13">
        <f>IF(OR(F122="",E122="Planned"),"",IF(G122&lt;&gt;"",G122-F122,TODAY()-F122))</f>
        <v/>
      </c>
      <c r="I122" s="11" t="n"/>
      <c r="J122" s="11" t="n"/>
      <c r="K122" s="13" t="n"/>
      <c r="L122" s="11" t="n"/>
      <c r="M122" s="14" t="n"/>
      <c r="N122" s="13" t="n"/>
      <c r="O122" s="13" t="n"/>
      <c r="P122" s="13">
        <f>IF(E122="Under review",COUNTIFS($E:$E,"Under review",$F:$F,"&lt;"&amp;F122)+COUNTIFS($E$1:E122,"Under review",$F$1:F122,F122),"")</f>
        <v/>
      </c>
      <c r="Q122" s="13">
        <f>IF(B122="","",A122&amp;"|"&amp;E122)</f>
        <v/>
      </c>
    </row>
    <row r="123">
      <c r="A123" s="13" t="n"/>
      <c r="B123" s="13" t="n"/>
      <c r="C123" s="13">
        <f>IF(B123="","",IFERROR(VLOOKUP(B123,Journals!$A:$B,2,FALSE),IFERROR(VLOOKUP(B123,'ABDC list'!$A:$B,2,FALSE),"")))</f>
        <v/>
      </c>
      <c r="D123" s="13" t="n"/>
      <c r="E123" s="13" t="n"/>
      <c r="F123" s="14" t="n"/>
      <c r="G123" s="14" t="n"/>
      <c r="H123" s="13">
        <f>IF(OR(F123="",E123="Planned"),"",IF(G123&lt;&gt;"",G123-F123,TODAY()-F123))</f>
        <v/>
      </c>
      <c r="I123" s="11" t="n"/>
      <c r="J123" s="11" t="n"/>
      <c r="K123" s="13" t="n"/>
      <c r="L123" s="11" t="n"/>
      <c r="M123" s="14" t="n"/>
      <c r="N123" s="13" t="n"/>
      <c r="O123" s="13" t="n"/>
      <c r="P123" s="13">
        <f>IF(E123="Under review",COUNTIFS($E:$E,"Under review",$F:$F,"&lt;"&amp;F123)+COUNTIFS($E$1:E123,"Under review",$F$1:F123,F123),"")</f>
        <v/>
      </c>
      <c r="Q123" s="13">
        <f>IF(B123="","",A123&amp;"|"&amp;E123)</f>
        <v/>
      </c>
    </row>
    <row r="124">
      <c r="A124" s="13" t="n"/>
      <c r="B124" s="13" t="n"/>
      <c r="C124" s="13">
        <f>IF(B124="","",IFERROR(VLOOKUP(B124,Journals!$A:$B,2,FALSE),IFERROR(VLOOKUP(B124,'ABDC list'!$A:$B,2,FALSE),"")))</f>
        <v/>
      </c>
      <c r="D124" s="13" t="n"/>
      <c r="E124" s="13" t="n"/>
      <c r="F124" s="14" t="n"/>
      <c r="G124" s="14" t="n"/>
      <c r="H124" s="13">
        <f>IF(OR(F124="",E124="Planned"),"",IF(G124&lt;&gt;"",G124-F124,TODAY()-F124))</f>
        <v/>
      </c>
      <c r="I124" s="11" t="n"/>
      <c r="J124" s="11" t="n"/>
      <c r="K124" s="13" t="n"/>
      <c r="L124" s="11" t="n"/>
      <c r="M124" s="14" t="n"/>
      <c r="N124" s="13" t="n"/>
      <c r="O124" s="13" t="n"/>
      <c r="P124" s="13">
        <f>IF(E124="Under review",COUNTIFS($E:$E,"Under review",$F:$F,"&lt;"&amp;F124)+COUNTIFS($E$1:E124,"Under review",$F$1:F124,F124),"")</f>
        <v/>
      </c>
      <c r="Q124" s="13">
        <f>IF(B124="","",A124&amp;"|"&amp;E124)</f>
        <v/>
      </c>
    </row>
    <row r="125">
      <c r="A125" s="13" t="n"/>
      <c r="B125" s="13" t="n"/>
      <c r="C125" s="13">
        <f>IF(B125="","",IFERROR(VLOOKUP(B125,Journals!$A:$B,2,FALSE),IFERROR(VLOOKUP(B125,'ABDC list'!$A:$B,2,FALSE),"")))</f>
        <v/>
      </c>
      <c r="D125" s="13" t="n"/>
      <c r="E125" s="13" t="n"/>
      <c r="F125" s="14" t="n"/>
      <c r="G125" s="14" t="n"/>
      <c r="H125" s="13">
        <f>IF(OR(F125="",E125="Planned"),"",IF(G125&lt;&gt;"",G125-F125,TODAY()-F125))</f>
        <v/>
      </c>
      <c r="I125" s="11" t="n"/>
      <c r="J125" s="11" t="n"/>
      <c r="K125" s="13" t="n"/>
      <c r="L125" s="11" t="n"/>
      <c r="M125" s="14" t="n"/>
      <c r="N125" s="13" t="n"/>
      <c r="O125" s="13" t="n"/>
      <c r="P125" s="13">
        <f>IF(E125="Under review",COUNTIFS($E:$E,"Under review",$F:$F,"&lt;"&amp;F125)+COUNTIFS($E$1:E125,"Under review",$F$1:F125,F125),"")</f>
        <v/>
      </c>
      <c r="Q125" s="13">
        <f>IF(B125="","",A125&amp;"|"&amp;E125)</f>
        <v/>
      </c>
    </row>
    <row r="126">
      <c r="A126" s="13" t="n"/>
      <c r="B126" s="13" t="n"/>
      <c r="C126" s="13">
        <f>IF(B126="","",IFERROR(VLOOKUP(B126,Journals!$A:$B,2,FALSE),IFERROR(VLOOKUP(B126,'ABDC list'!$A:$B,2,FALSE),"")))</f>
        <v/>
      </c>
      <c r="D126" s="13" t="n"/>
      <c r="E126" s="13" t="n"/>
      <c r="F126" s="14" t="n"/>
      <c r="G126" s="14" t="n"/>
      <c r="H126" s="13">
        <f>IF(OR(F126="",E126="Planned"),"",IF(G126&lt;&gt;"",G126-F126,TODAY()-F126))</f>
        <v/>
      </c>
      <c r="I126" s="11" t="n"/>
      <c r="J126" s="11" t="n"/>
      <c r="K126" s="13" t="n"/>
      <c r="L126" s="11" t="n"/>
      <c r="M126" s="14" t="n"/>
      <c r="N126" s="13" t="n"/>
      <c r="O126" s="13" t="n"/>
      <c r="P126" s="13">
        <f>IF(E126="Under review",COUNTIFS($E:$E,"Under review",$F:$F,"&lt;"&amp;F126)+COUNTIFS($E$1:E126,"Under review",$F$1:F126,F126),"")</f>
        <v/>
      </c>
      <c r="Q126" s="13">
        <f>IF(B126="","",A126&amp;"|"&amp;E126)</f>
        <v/>
      </c>
    </row>
    <row r="127">
      <c r="A127" s="13" t="n"/>
      <c r="B127" s="13" t="n"/>
      <c r="C127" s="13">
        <f>IF(B127="","",IFERROR(VLOOKUP(B127,Journals!$A:$B,2,FALSE),IFERROR(VLOOKUP(B127,'ABDC list'!$A:$B,2,FALSE),"")))</f>
        <v/>
      </c>
      <c r="D127" s="13" t="n"/>
      <c r="E127" s="13" t="n"/>
      <c r="F127" s="14" t="n"/>
      <c r="G127" s="14" t="n"/>
      <c r="H127" s="13">
        <f>IF(OR(F127="",E127="Planned"),"",IF(G127&lt;&gt;"",G127-F127,TODAY()-F127))</f>
        <v/>
      </c>
      <c r="I127" s="11" t="n"/>
      <c r="J127" s="11" t="n"/>
      <c r="K127" s="13" t="n"/>
      <c r="L127" s="11" t="n"/>
      <c r="M127" s="14" t="n"/>
      <c r="N127" s="13" t="n"/>
      <c r="O127" s="13" t="n"/>
      <c r="P127" s="13">
        <f>IF(E127="Under review",COUNTIFS($E:$E,"Under review",$F:$F,"&lt;"&amp;F127)+COUNTIFS($E$1:E127,"Under review",$F$1:F127,F127),"")</f>
        <v/>
      </c>
      <c r="Q127" s="13">
        <f>IF(B127="","",A127&amp;"|"&amp;E127)</f>
        <v/>
      </c>
    </row>
    <row r="128">
      <c r="A128" s="13" t="n"/>
      <c r="B128" s="13" t="n"/>
      <c r="C128" s="13">
        <f>IF(B128="","",IFERROR(VLOOKUP(B128,Journals!$A:$B,2,FALSE),IFERROR(VLOOKUP(B128,'ABDC list'!$A:$B,2,FALSE),"")))</f>
        <v/>
      </c>
      <c r="D128" s="13" t="n"/>
      <c r="E128" s="13" t="n"/>
      <c r="F128" s="14" t="n"/>
      <c r="G128" s="14" t="n"/>
      <c r="H128" s="13">
        <f>IF(OR(F128="",E128="Planned"),"",IF(G128&lt;&gt;"",G128-F128,TODAY()-F128))</f>
        <v/>
      </c>
      <c r="I128" s="11" t="n"/>
      <c r="J128" s="11" t="n"/>
      <c r="K128" s="13" t="n"/>
      <c r="L128" s="11" t="n"/>
      <c r="M128" s="14" t="n"/>
      <c r="N128" s="13" t="n"/>
      <c r="O128" s="13" t="n"/>
      <c r="P128" s="13">
        <f>IF(E128="Under review",COUNTIFS($E:$E,"Under review",$F:$F,"&lt;"&amp;F128)+COUNTIFS($E$1:E128,"Under review",$F$1:F128,F128),"")</f>
        <v/>
      </c>
      <c r="Q128" s="13">
        <f>IF(B128="","",A128&amp;"|"&amp;E128)</f>
        <v/>
      </c>
    </row>
    <row r="129">
      <c r="A129" s="13" t="n"/>
      <c r="B129" s="13" t="n"/>
      <c r="C129" s="13">
        <f>IF(B129="","",IFERROR(VLOOKUP(B129,Journals!$A:$B,2,FALSE),IFERROR(VLOOKUP(B129,'ABDC list'!$A:$B,2,FALSE),"")))</f>
        <v/>
      </c>
      <c r="D129" s="13" t="n"/>
      <c r="E129" s="13" t="n"/>
      <c r="F129" s="14" t="n"/>
      <c r="G129" s="14" t="n"/>
      <c r="H129" s="13">
        <f>IF(OR(F129="",E129="Planned"),"",IF(G129&lt;&gt;"",G129-F129,TODAY()-F129))</f>
        <v/>
      </c>
      <c r="I129" s="11" t="n"/>
      <c r="J129" s="11" t="n"/>
      <c r="K129" s="13" t="n"/>
      <c r="L129" s="11" t="n"/>
      <c r="M129" s="14" t="n"/>
      <c r="N129" s="13" t="n"/>
      <c r="O129" s="13" t="n"/>
      <c r="P129" s="13">
        <f>IF(E129="Under review",COUNTIFS($E:$E,"Under review",$F:$F,"&lt;"&amp;F129)+COUNTIFS($E$1:E129,"Under review",$F$1:F129,F129),"")</f>
        <v/>
      </c>
      <c r="Q129" s="13">
        <f>IF(B129="","",A129&amp;"|"&amp;E129)</f>
        <v/>
      </c>
    </row>
    <row r="130">
      <c r="A130" s="13" t="n"/>
      <c r="B130" s="13" t="n"/>
      <c r="C130" s="13">
        <f>IF(B130="","",IFERROR(VLOOKUP(B130,Journals!$A:$B,2,FALSE),IFERROR(VLOOKUP(B130,'ABDC list'!$A:$B,2,FALSE),"")))</f>
        <v/>
      </c>
      <c r="D130" s="13" t="n"/>
      <c r="E130" s="13" t="n"/>
      <c r="F130" s="14" t="n"/>
      <c r="G130" s="14" t="n"/>
      <c r="H130" s="13">
        <f>IF(OR(F130="",E130="Planned"),"",IF(G130&lt;&gt;"",G130-F130,TODAY()-F130))</f>
        <v/>
      </c>
      <c r="I130" s="11" t="n"/>
      <c r="J130" s="11" t="n"/>
      <c r="K130" s="13" t="n"/>
      <c r="L130" s="11" t="n"/>
      <c r="M130" s="14" t="n"/>
      <c r="N130" s="13" t="n"/>
      <c r="O130" s="13" t="n"/>
      <c r="P130" s="13">
        <f>IF(E130="Under review",COUNTIFS($E:$E,"Under review",$F:$F,"&lt;"&amp;F130)+COUNTIFS($E$1:E130,"Under review",$F$1:F130,F130),"")</f>
        <v/>
      </c>
      <c r="Q130" s="13">
        <f>IF(B130="","",A130&amp;"|"&amp;E130)</f>
        <v/>
      </c>
    </row>
    <row r="131">
      <c r="A131" s="13" t="n"/>
      <c r="B131" s="13" t="n"/>
      <c r="C131" s="13">
        <f>IF(B131="","",IFERROR(VLOOKUP(B131,Journals!$A:$B,2,FALSE),IFERROR(VLOOKUP(B131,'ABDC list'!$A:$B,2,FALSE),"")))</f>
        <v/>
      </c>
      <c r="D131" s="13" t="n"/>
      <c r="E131" s="13" t="n"/>
      <c r="F131" s="14" t="n"/>
      <c r="G131" s="14" t="n"/>
      <c r="H131" s="13">
        <f>IF(OR(F131="",E131="Planned"),"",IF(G131&lt;&gt;"",G131-F131,TODAY()-F131))</f>
        <v/>
      </c>
      <c r="I131" s="11" t="n"/>
      <c r="J131" s="11" t="n"/>
      <c r="K131" s="13" t="n"/>
      <c r="L131" s="11" t="n"/>
      <c r="M131" s="14" t="n"/>
      <c r="N131" s="13" t="n"/>
      <c r="O131" s="13" t="n"/>
      <c r="P131" s="13">
        <f>IF(E131="Under review",COUNTIFS($E:$E,"Under review",$F:$F,"&lt;"&amp;F131)+COUNTIFS($E$1:E131,"Under review",$F$1:F131,F131),"")</f>
        <v/>
      </c>
      <c r="Q131" s="13">
        <f>IF(B131="","",A131&amp;"|"&amp;E131)</f>
        <v/>
      </c>
    </row>
    <row r="132">
      <c r="A132" s="13" t="n"/>
      <c r="B132" s="13" t="n"/>
      <c r="C132" s="13">
        <f>IF(B132="","",IFERROR(VLOOKUP(B132,Journals!$A:$B,2,FALSE),IFERROR(VLOOKUP(B132,'ABDC list'!$A:$B,2,FALSE),"")))</f>
        <v/>
      </c>
      <c r="D132" s="13" t="n"/>
      <c r="E132" s="13" t="n"/>
      <c r="F132" s="14" t="n"/>
      <c r="G132" s="14" t="n"/>
      <c r="H132" s="13">
        <f>IF(OR(F132="",E132="Planned"),"",IF(G132&lt;&gt;"",G132-F132,TODAY()-F132))</f>
        <v/>
      </c>
      <c r="I132" s="11" t="n"/>
      <c r="J132" s="11" t="n"/>
      <c r="K132" s="13" t="n"/>
      <c r="L132" s="11" t="n"/>
      <c r="M132" s="14" t="n"/>
      <c r="N132" s="13" t="n"/>
      <c r="O132" s="13" t="n"/>
      <c r="P132" s="13">
        <f>IF(E132="Under review",COUNTIFS($E:$E,"Under review",$F:$F,"&lt;"&amp;F132)+COUNTIFS($E$1:E132,"Under review",$F$1:F132,F132),"")</f>
        <v/>
      </c>
      <c r="Q132" s="13">
        <f>IF(B132="","",A132&amp;"|"&amp;E132)</f>
        <v/>
      </c>
    </row>
    <row r="133">
      <c r="A133" s="13" t="n"/>
      <c r="B133" s="13" t="n"/>
      <c r="C133" s="13">
        <f>IF(B133="","",IFERROR(VLOOKUP(B133,Journals!$A:$B,2,FALSE),IFERROR(VLOOKUP(B133,'ABDC list'!$A:$B,2,FALSE),"")))</f>
        <v/>
      </c>
      <c r="D133" s="13" t="n"/>
      <c r="E133" s="13" t="n"/>
      <c r="F133" s="14" t="n"/>
      <c r="G133" s="14" t="n"/>
      <c r="H133" s="13">
        <f>IF(OR(F133="",E133="Planned"),"",IF(G133&lt;&gt;"",G133-F133,TODAY()-F133))</f>
        <v/>
      </c>
      <c r="I133" s="11" t="n"/>
      <c r="J133" s="11" t="n"/>
      <c r="K133" s="13" t="n"/>
      <c r="L133" s="11" t="n"/>
      <c r="M133" s="14" t="n"/>
      <c r="N133" s="13" t="n"/>
      <c r="O133" s="13" t="n"/>
      <c r="P133" s="13">
        <f>IF(E133="Under review",COUNTIFS($E:$E,"Under review",$F:$F,"&lt;"&amp;F133)+COUNTIFS($E$1:E133,"Under review",$F$1:F133,F133),"")</f>
        <v/>
      </c>
      <c r="Q133" s="13">
        <f>IF(B133="","",A133&amp;"|"&amp;E133)</f>
        <v/>
      </c>
    </row>
    <row r="134">
      <c r="A134" s="13" t="n"/>
      <c r="B134" s="13" t="n"/>
      <c r="C134" s="13">
        <f>IF(B134="","",IFERROR(VLOOKUP(B134,Journals!$A:$B,2,FALSE),IFERROR(VLOOKUP(B134,'ABDC list'!$A:$B,2,FALSE),"")))</f>
        <v/>
      </c>
      <c r="D134" s="13" t="n"/>
      <c r="E134" s="13" t="n"/>
      <c r="F134" s="14" t="n"/>
      <c r="G134" s="14" t="n"/>
      <c r="H134" s="13">
        <f>IF(OR(F134="",E134="Planned"),"",IF(G134&lt;&gt;"",G134-F134,TODAY()-F134))</f>
        <v/>
      </c>
      <c r="I134" s="11" t="n"/>
      <c r="J134" s="11" t="n"/>
      <c r="K134" s="13" t="n"/>
      <c r="L134" s="11" t="n"/>
      <c r="M134" s="14" t="n"/>
      <c r="N134" s="13" t="n"/>
      <c r="O134" s="13" t="n"/>
      <c r="P134" s="13">
        <f>IF(E134="Under review",COUNTIFS($E:$E,"Under review",$F:$F,"&lt;"&amp;F134)+COUNTIFS($E$1:E134,"Under review",$F$1:F134,F134),"")</f>
        <v/>
      </c>
      <c r="Q134" s="13">
        <f>IF(B134="","",A134&amp;"|"&amp;E134)</f>
        <v/>
      </c>
    </row>
    <row r="135">
      <c r="A135" s="13" t="n"/>
      <c r="B135" s="13" t="n"/>
      <c r="C135" s="13">
        <f>IF(B135="","",IFERROR(VLOOKUP(B135,Journals!$A:$B,2,FALSE),IFERROR(VLOOKUP(B135,'ABDC list'!$A:$B,2,FALSE),"")))</f>
        <v/>
      </c>
      <c r="D135" s="13" t="n"/>
      <c r="E135" s="13" t="n"/>
      <c r="F135" s="14" t="n"/>
      <c r="G135" s="14" t="n"/>
      <c r="H135" s="13">
        <f>IF(OR(F135="",E135="Planned"),"",IF(G135&lt;&gt;"",G135-F135,TODAY()-F135))</f>
        <v/>
      </c>
      <c r="I135" s="11" t="n"/>
      <c r="J135" s="11" t="n"/>
      <c r="K135" s="13" t="n"/>
      <c r="L135" s="11" t="n"/>
      <c r="M135" s="14" t="n"/>
      <c r="N135" s="13" t="n"/>
      <c r="O135" s="13" t="n"/>
      <c r="P135" s="13">
        <f>IF(E135="Under review",COUNTIFS($E:$E,"Under review",$F:$F,"&lt;"&amp;F135)+COUNTIFS($E$1:E135,"Under review",$F$1:F135,F135),"")</f>
        <v/>
      </c>
      <c r="Q135" s="13">
        <f>IF(B135="","",A135&amp;"|"&amp;E135)</f>
        <v/>
      </c>
    </row>
    <row r="136">
      <c r="A136" s="13" t="n"/>
      <c r="B136" s="13" t="n"/>
      <c r="C136" s="13">
        <f>IF(B136="","",IFERROR(VLOOKUP(B136,Journals!$A:$B,2,FALSE),IFERROR(VLOOKUP(B136,'ABDC list'!$A:$B,2,FALSE),"")))</f>
        <v/>
      </c>
      <c r="D136" s="13" t="n"/>
      <c r="E136" s="13" t="n"/>
      <c r="F136" s="14" t="n"/>
      <c r="G136" s="14" t="n"/>
      <c r="H136" s="13">
        <f>IF(OR(F136="",E136="Planned"),"",IF(G136&lt;&gt;"",G136-F136,TODAY()-F136))</f>
        <v/>
      </c>
      <c r="I136" s="11" t="n"/>
      <c r="J136" s="11" t="n"/>
      <c r="K136" s="13" t="n"/>
      <c r="L136" s="11" t="n"/>
      <c r="M136" s="14" t="n"/>
      <c r="N136" s="13" t="n"/>
      <c r="O136" s="13" t="n"/>
      <c r="P136" s="13">
        <f>IF(E136="Under review",COUNTIFS($E:$E,"Under review",$F:$F,"&lt;"&amp;F136)+COUNTIFS($E$1:E136,"Under review",$F$1:F136,F136),"")</f>
        <v/>
      </c>
      <c r="Q136" s="13">
        <f>IF(B136="","",A136&amp;"|"&amp;E136)</f>
        <v/>
      </c>
    </row>
    <row r="137">
      <c r="A137" s="13" t="n"/>
      <c r="B137" s="13" t="n"/>
      <c r="C137" s="13">
        <f>IF(B137="","",IFERROR(VLOOKUP(B137,Journals!$A:$B,2,FALSE),IFERROR(VLOOKUP(B137,'ABDC list'!$A:$B,2,FALSE),"")))</f>
        <v/>
      </c>
      <c r="D137" s="13" t="n"/>
      <c r="E137" s="13" t="n"/>
      <c r="F137" s="14" t="n"/>
      <c r="G137" s="14" t="n"/>
      <c r="H137" s="13">
        <f>IF(OR(F137="",E137="Planned"),"",IF(G137&lt;&gt;"",G137-F137,TODAY()-F137))</f>
        <v/>
      </c>
      <c r="I137" s="11" t="n"/>
      <c r="J137" s="11" t="n"/>
      <c r="K137" s="13" t="n"/>
      <c r="L137" s="11" t="n"/>
      <c r="M137" s="14" t="n"/>
      <c r="N137" s="13" t="n"/>
      <c r="O137" s="13" t="n"/>
      <c r="P137" s="13">
        <f>IF(E137="Under review",COUNTIFS($E:$E,"Under review",$F:$F,"&lt;"&amp;F137)+COUNTIFS($E$1:E137,"Under review",$F$1:F137,F137),"")</f>
        <v/>
      </c>
      <c r="Q137" s="13">
        <f>IF(B137="","",A137&amp;"|"&amp;E137)</f>
        <v/>
      </c>
    </row>
    <row r="138">
      <c r="A138" s="13" t="n"/>
      <c r="B138" s="13" t="n"/>
      <c r="C138" s="13">
        <f>IF(B138="","",IFERROR(VLOOKUP(B138,Journals!$A:$B,2,FALSE),IFERROR(VLOOKUP(B138,'ABDC list'!$A:$B,2,FALSE),"")))</f>
        <v/>
      </c>
      <c r="D138" s="13" t="n"/>
      <c r="E138" s="13" t="n"/>
      <c r="F138" s="14" t="n"/>
      <c r="G138" s="14" t="n"/>
      <c r="H138" s="13">
        <f>IF(OR(F138="",E138="Planned"),"",IF(G138&lt;&gt;"",G138-F138,TODAY()-F138))</f>
        <v/>
      </c>
      <c r="I138" s="11" t="n"/>
      <c r="J138" s="11" t="n"/>
      <c r="K138" s="13" t="n"/>
      <c r="L138" s="11" t="n"/>
      <c r="M138" s="14" t="n"/>
      <c r="N138" s="13" t="n"/>
      <c r="O138" s="13" t="n"/>
      <c r="P138" s="13">
        <f>IF(E138="Under review",COUNTIFS($E:$E,"Under review",$F:$F,"&lt;"&amp;F138)+COUNTIFS($E$1:E138,"Under review",$F$1:F138,F138),"")</f>
        <v/>
      </c>
      <c r="Q138" s="13">
        <f>IF(B138="","",A138&amp;"|"&amp;E138)</f>
        <v/>
      </c>
    </row>
    <row r="139">
      <c r="A139" s="13" t="n"/>
      <c r="B139" s="13" t="n"/>
      <c r="C139" s="13">
        <f>IF(B139="","",IFERROR(VLOOKUP(B139,Journals!$A:$B,2,FALSE),IFERROR(VLOOKUP(B139,'ABDC list'!$A:$B,2,FALSE),"")))</f>
        <v/>
      </c>
      <c r="D139" s="13" t="n"/>
      <c r="E139" s="13" t="n"/>
      <c r="F139" s="14" t="n"/>
      <c r="G139" s="14" t="n"/>
      <c r="H139" s="13">
        <f>IF(OR(F139="",E139="Planned"),"",IF(G139&lt;&gt;"",G139-F139,TODAY()-F139))</f>
        <v/>
      </c>
      <c r="I139" s="11" t="n"/>
      <c r="J139" s="11" t="n"/>
      <c r="K139" s="13" t="n"/>
      <c r="L139" s="11" t="n"/>
      <c r="M139" s="14" t="n"/>
      <c r="N139" s="13" t="n"/>
      <c r="O139" s="13" t="n"/>
      <c r="P139" s="13">
        <f>IF(E139="Under review",COUNTIFS($E:$E,"Under review",$F:$F,"&lt;"&amp;F139)+COUNTIFS($E$1:E139,"Under review",$F$1:F139,F139),"")</f>
        <v/>
      </c>
      <c r="Q139" s="13">
        <f>IF(B139="","",A139&amp;"|"&amp;E139)</f>
        <v/>
      </c>
    </row>
    <row r="140">
      <c r="A140" s="13" t="n"/>
      <c r="B140" s="13" t="n"/>
      <c r="C140" s="13">
        <f>IF(B140="","",IFERROR(VLOOKUP(B140,Journals!$A:$B,2,FALSE),IFERROR(VLOOKUP(B140,'ABDC list'!$A:$B,2,FALSE),"")))</f>
        <v/>
      </c>
      <c r="D140" s="13" t="n"/>
      <c r="E140" s="13" t="n"/>
      <c r="F140" s="14" t="n"/>
      <c r="G140" s="14" t="n"/>
      <c r="H140" s="13">
        <f>IF(OR(F140="",E140="Planned"),"",IF(G140&lt;&gt;"",G140-F140,TODAY()-F140))</f>
        <v/>
      </c>
      <c r="I140" s="11" t="n"/>
      <c r="J140" s="11" t="n"/>
      <c r="K140" s="13" t="n"/>
      <c r="L140" s="11" t="n"/>
      <c r="M140" s="14" t="n"/>
      <c r="N140" s="13" t="n"/>
      <c r="O140" s="13" t="n"/>
      <c r="P140" s="13">
        <f>IF(E140="Under review",COUNTIFS($E:$E,"Under review",$F:$F,"&lt;"&amp;F140)+COUNTIFS($E$1:E140,"Under review",$F$1:F140,F140),"")</f>
        <v/>
      </c>
      <c r="Q140" s="13">
        <f>IF(B140="","",A140&amp;"|"&amp;E140)</f>
        <v/>
      </c>
    </row>
    <row r="141">
      <c r="A141" s="13" t="n"/>
      <c r="B141" s="13" t="n"/>
      <c r="C141" s="13">
        <f>IF(B141="","",IFERROR(VLOOKUP(B141,Journals!$A:$B,2,FALSE),IFERROR(VLOOKUP(B141,'ABDC list'!$A:$B,2,FALSE),"")))</f>
        <v/>
      </c>
      <c r="D141" s="13" t="n"/>
      <c r="E141" s="13" t="n"/>
      <c r="F141" s="14" t="n"/>
      <c r="G141" s="14" t="n"/>
      <c r="H141" s="13">
        <f>IF(OR(F141="",E141="Planned"),"",IF(G141&lt;&gt;"",G141-F141,TODAY()-F141))</f>
        <v/>
      </c>
      <c r="I141" s="11" t="n"/>
      <c r="J141" s="11" t="n"/>
      <c r="K141" s="13" t="n"/>
      <c r="L141" s="11" t="n"/>
      <c r="M141" s="14" t="n"/>
      <c r="N141" s="13" t="n"/>
      <c r="O141" s="13" t="n"/>
      <c r="P141" s="13">
        <f>IF(E141="Under review",COUNTIFS($E:$E,"Under review",$F:$F,"&lt;"&amp;F141)+COUNTIFS($E$1:E141,"Under review",$F$1:F141,F141),"")</f>
        <v/>
      </c>
      <c r="Q141" s="13">
        <f>IF(B141="","",A141&amp;"|"&amp;E141)</f>
        <v/>
      </c>
    </row>
    <row r="142">
      <c r="A142" s="13" t="n"/>
      <c r="B142" s="13" t="n"/>
      <c r="C142" s="13">
        <f>IF(B142="","",IFERROR(VLOOKUP(B142,Journals!$A:$B,2,FALSE),IFERROR(VLOOKUP(B142,'ABDC list'!$A:$B,2,FALSE),"")))</f>
        <v/>
      </c>
      <c r="D142" s="13" t="n"/>
      <c r="E142" s="13" t="n"/>
      <c r="F142" s="14" t="n"/>
      <c r="G142" s="14" t="n"/>
      <c r="H142" s="13">
        <f>IF(OR(F142="",E142="Planned"),"",IF(G142&lt;&gt;"",G142-F142,TODAY()-F142))</f>
        <v/>
      </c>
      <c r="I142" s="11" t="n"/>
      <c r="J142" s="11" t="n"/>
      <c r="K142" s="13" t="n"/>
      <c r="L142" s="11" t="n"/>
      <c r="M142" s="14" t="n"/>
      <c r="N142" s="13" t="n"/>
      <c r="O142" s="13" t="n"/>
      <c r="P142" s="13">
        <f>IF(E142="Under review",COUNTIFS($E:$E,"Under review",$F:$F,"&lt;"&amp;F142)+COUNTIFS($E$1:E142,"Under review",$F$1:F142,F142),"")</f>
        <v/>
      </c>
      <c r="Q142" s="13">
        <f>IF(B142="","",A142&amp;"|"&amp;E142)</f>
        <v/>
      </c>
    </row>
    <row r="143">
      <c r="A143" s="13" t="n"/>
      <c r="B143" s="13" t="n"/>
      <c r="C143" s="13">
        <f>IF(B143="","",IFERROR(VLOOKUP(B143,Journals!$A:$B,2,FALSE),IFERROR(VLOOKUP(B143,'ABDC list'!$A:$B,2,FALSE),"")))</f>
        <v/>
      </c>
      <c r="D143" s="13" t="n"/>
      <c r="E143" s="13" t="n"/>
      <c r="F143" s="14" t="n"/>
      <c r="G143" s="14" t="n"/>
      <c r="H143" s="13">
        <f>IF(OR(F143="",E143="Planned"),"",IF(G143&lt;&gt;"",G143-F143,TODAY()-F143))</f>
        <v/>
      </c>
      <c r="I143" s="11" t="n"/>
      <c r="J143" s="11" t="n"/>
      <c r="K143" s="13" t="n"/>
      <c r="L143" s="11" t="n"/>
      <c r="M143" s="14" t="n"/>
      <c r="N143" s="13" t="n"/>
      <c r="O143" s="13" t="n"/>
      <c r="P143" s="13">
        <f>IF(E143="Under review",COUNTIFS($E:$E,"Under review",$F:$F,"&lt;"&amp;F143)+COUNTIFS($E$1:E143,"Under review",$F$1:F143,F143),"")</f>
        <v/>
      </c>
      <c r="Q143" s="13">
        <f>IF(B143="","",A143&amp;"|"&amp;E143)</f>
        <v/>
      </c>
    </row>
    <row r="144">
      <c r="A144" s="13" t="n"/>
      <c r="B144" s="13" t="n"/>
      <c r="C144" s="13">
        <f>IF(B144="","",IFERROR(VLOOKUP(B144,Journals!$A:$B,2,FALSE),IFERROR(VLOOKUP(B144,'ABDC list'!$A:$B,2,FALSE),"")))</f>
        <v/>
      </c>
      <c r="D144" s="13" t="n"/>
      <c r="E144" s="13" t="n"/>
      <c r="F144" s="14" t="n"/>
      <c r="G144" s="14" t="n"/>
      <c r="H144" s="13">
        <f>IF(OR(F144="",E144="Planned"),"",IF(G144&lt;&gt;"",G144-F144,TODAY()-F144))</f>
        <v/>
      </c>
      <c r="I144" s="11" t="n"/>
      <c r="J144" s="11" t="n"/>
      <c r="K144" s="13" t="n"/>
      <c r="L144" s="11" t="n"/>
      <c r="M144" s="14" t="n"/>
      <c r="N144" s="13" t="n"/>
      <c r="O144" s="13" t="n"/>
      <c r="P144" s="13">
        <f>IF(E144="Under review",COUNTIFS($E:$E,"Under review",$F:$F,"&lt;"&amp;F144)+COUNTIFS($E$1:E144,"Under review",$F$1:F144,F144),"")</f>
        <v/>
      </c>
      <c r="Q144" s="13">
        <f>IF(B144="","",A144&amp;"|"&amp;E144)</f>
        <v/>
      </c>
    </row>
    <row r="145">
      <c r="A145" s="13" t="n"/>
      <c r="B145" s="13" t="n"/>
      <c r="C145" s="13">
        <f>IF(B145="","",IFERROR(VLOOKUP(B145,Journals!$A:$B,2,FALSE),IFERROR(VLOOKUP(B145,'ABDC list'!$A:$B,2,FALSE),"")))</f>
        <v/>
      </c>
      <c r="D145" s="13" t="n"/>
      <c r="E145" s="13" t="n"/>
      <c r="F145" s="14" t="n"/>
      <c r="G145" s="14" t="n"/>
      <c r="H145" s="13">
        <f>IF(OR(F145="",E145="Planned"),"",IF(G145&lt;&gt;"",G145-F145,TODAY()-F145))</f>
        <v/>
      </c>
      <c r="I145" s="11" t="n"/>
      <c r="J145" s="11" t="n"/>
      <c r="K145" s="13" t="n"/>
      <c r="L145" s="11" t="n"/>
      <c r="M145" s="14" t="n"/>
      <c r="N145" s="13" t="n"/>
      <c r="O145" s="13" t="n"/>
      <c r="P145" s="13">
        <f>IF(E145="Under review",COUNTIFS($E:$E,"Under review",$F:$F,"&lt;"&amp;F145)+COUNTIFS($E$1:E145,"Under review",$F$1:F145,F145),"")</f>
        <v/>
      </c>
      <c r="Q145" s="13">
        <f>IF(B145="","",A145&amp;"|"&amp;E145)</f>
        <v/>
      </c>
    </row>
    <row r="146">
      <c r="A146" s="13" t="n"/>
      <c r="B146" s="13" t="n"/>
      <c r="C146" s="13">
        <f>IF(B146="","",IFERROR(VLOOKUP(B146,Journals!$A:$B,2,FALSE),IFERROR(VLOOKUP(B146,'ABDC list'!$A:$B,2,FALSE),"")))</f>
        <v/>
      </c>
      <c r="D146" s="13" t="n"/>
      <c r="E146" s="13" t="n"/>
      <c r="F146" s="14" t="n"/>
      <c r="G146" s="14" t="n"/>
      <c r="H146" s="13">
        <f>IF(OR(F146="",E146="Planned"),"",IF(G146&lt;&gt;"",G146-F146,TODAY()-F146))</f>
        <v/>
      </c>
      <c r="I146" s="11" t="n"/>
      <c r="J146" s="11" t="n"/>
      <c r="K146" s="13" t="n"/>
      <c r="L146" s="11" t="n"/>
      <c r="M146" s="14" t="n"/>
      <c r="N146" s="13" t="n"/>
      <c r="O146" s="13" t="n"/>
      <c r="P146" s="13">
        <f>IF(E146="Under review",COUNTIFS($E:$E,"Under review",$F:$F,"&lt;"&amp;F146)+COUNTIFS($E$1:E146,"Under review",$F$1:F146,F146),"")</f>
        <v/>
      </c>
      <c r="Q146" s="13">
        <f>IF(B146="","",A146&amp;"|"&amp;E146)</f>
        <v/>
      </c>
    </row>
    <row r="147">
      <c r="A147" s="13" t="n"/>
      <c r="B147" s="13" t="n"/>
      <c r="C147" s="13">
        <f>IF(B147="","",IFERROR(VLOOKUP(B147,Journals!$A:$B,2,FALSE),IFERROR(VLOOKUP(B147,'ABDC list'!$A:$B,2,FALSE),"")))</f>
        <v/>
      </c>
      <c r="D147" s="13" t="n"/>
      <c r="E147" s="13" t="n"/>
      <c r="F147" s="14" t="n"/>
      <c r="G147" s="14" t="n"/>
      <c r="H147" s="13">
        <f>IF(OR(F147="",E147="Planned"),"",IF(G147&lt;&gt;"",G147-F147,TODAY()-F147))</f>
        <v/>
      </c>
      <c r="I147" s="11" t="n"/>
      <c r="J147" s="11" t="n"/>
      <c r="K147" s="13" t="n"/>
      <c r="L147" s="11" t="n"/>
      <c r="M147" s="14" t="n"/>
      <c r="N147" s="13" t="n"/>
      <c r="O147" s="13" t="n"/>
      <c r="P147" s="13">
        <f>IF(E147="Under review",COUNTIFS($E:$E,"Under review",$F:$F,"&lt;"&amp;F147)+COUNTIFS($E$1:E147,"Under review",$F$1:F147,F147),"")</f>
        <v/>
      </c>
      <c r="Q147" s="13">
        <f>IF(B147="","",A147&amp;"|"&amp;E147)</f>
        <v/>
      </c>
    </row>
    <row r="148">
      <c r="A148" s="13" t="n"/>
      <c r="B148" s="13" t="n"/>
      <c r="C148" s="13">
        <f>IF(B148="","",IFERROR(VLOOKUP(B148,Journals!$A:$B,2,FALSE),IFERROR(VLOOKUP(B148,'ABDC list'!$A:$B,2,FALSE),"")))</f>
        <v/>
      </c>
      <c r="D148" s="13" t="n"/>
      <c r="E148" s="13" t="n"/>
      <c r="F148" s="14" t="n"/>
      <c r="G148" s="14" t="n"/>
      <c r="H148" s="13">
        <f>IF(OR(F148="",E148="Planned"),"",IF(G148&lt;&gt;"",G148-F148,TODAY()-F148))</f>
        <v/>
      </c>
      <c r="I148" s="11" t="n"/>
      <c r="J148" s="11" t="n"/>
      <c r="K148" s="13" t="n"/>
      <c r="L148" s="11" t="n"/>
      <c r="M148" s="14" t="n"/>
      <c r="N148" s="13" t="n"/>
      <c r="O148" s="13" t="n"/>
      <c r="P148" s="13">
        <f>IF(E148="Under review",COUNTIFS($E:$E,"Under review",$F:$F,"&lt;"&amp;F148)+COUNTIFS($E$1:E148,"Under review",$F$1:F148,F148),"")</f>
        <v/>
      </c>
      <c r="Q148" s="13">
        <f>IF(B148="","",A148&amp;"|"&amp;E148)</f>
        <v/>
      </c>
    </row>
    <row r="149">
      <c r="A149" s="13" t="n"/>
      <c r="B149" s="13" t="n"/>
      <c r="C149" s="13">
        <f>IF(B149="","",IFERROR(VLOOKUP(B149,Journals!$A:$B,2,FALSE),IFERROR(VLOOKUP(B149,'ABDC list'!$A:$B,2,FALSE),"")))</f>
        <v/>
      </c>
      <c r="D149" s="13" t="n"/>
      <c r="E149" s="13" t="n"/>
      <c r="F149" s="14" t="n"/>
      <c r="G149" s="14" t="n"/>
      <c r="H149" s="13">
        <f>IF(OR(F149="",E149="Planned"),"",IF(G149&lt;&gt;"",G149-F149,TODAY()-F149))</f>
        <v/>
      </c>
      <c r="I149" s="11" t="n"/>
      <c r="J149" s="11" t="n"/>
      <c r="K149" s="13" t="n"/>
      <c r="L149" s="11" t="n"/>
      <c r="M149" s="14" t="n"/>
      <c r="N149" s="13" t="n"/>
      <c r="O149" s="13" t="n"/>
      <c r="P149" s="13">
        <f>IF(E149="Under review",COUNTIFS($E:$E,"Under review",$F:$F,"&lt;"&amp;F149)+COUNTIFS($E$1:E149,"Under review",$F$1:F149,F149),"")</f>
        <v/>
      </c>
      <c r="Q149" s="13">
        <f>IF(B149="","",A149&amp;"|"&amp;E149)</f>
        <v/>
      </c>
    </row>
    <row r="150">
      <c r="A150" s="13" t="n"/>
      <c r="B150" s="13" t="n"/>
      <c r="C150" s="13">
        <f>IF(B150="","",IFERROR(VLOOKUP(B150,Journals!$A:$B,2,FALSE),IFERROR(VLOOKUP(B150,'ABDC list'!$A:$B,2,FALSE),"")))</f>
        <v/>
      </c>
      <c r="D150" s="13" t="n"/>
      <c r="E150" s="13" t="n"/>
      <c r="F150" s="14" t="n"/>
      <c r="G150" s="14" t="n"/>
      <c r="H150" s="13">
        <f>IF(OR(F150="",E150="Planned"),"",IF(G150&lt;&gt;"",G150-F150,TODAY()-F150))</f>
        <v/>
      </c>
      <c r="I150" s="11" t="n"/>
      <c r="J150" s="11" t="n"/>
      <c r="K150" s="13" t="n"/>
      <c r="L150" s="11" t="n"/>
      <c r="M150" s="14" t="n"/>
      <c r="N150" s="13" t="n"/>
      <c r="O150" s="13" t="n"/>
      <c r="P150" s="13">
        <f>IF(E150="Under review",COUNTIFS($E:$E,"Under review",$F:$F,"&lt;"&amp;F150)+COUNTIFS($E$1:E150,"Under review",$F$1:F150,F150),"")</f>
        <v/>
      </c>
      <c r="Q150" s="13">
        <f>IF(B150="","",A150&amp;"|"&amp;E150)</f>
        <v/>
      </c>
    </row>
    <row r="151">
      <c r="A151" s="13" t="n"/>
      <c r="B151" s="13" t="n"/>
      <c r="C151" s="13">
        <f>IF(B151="","",IFERROR(VLOOKUP(B151,Journals!$A:$B,2,FALSE),IFERROR(VLOOKUP(B151,'ABDC list'!$A:$B,2,FALSE),"")))</f>
        <v/>
      </c>
      <c r="D151" s="13" t="n"/>
      <c r="E151" s="13" t="n"/>
      <c r="F151" s="14" t="n"/>
      <c r="G151" s="14" t="n"/>
      <c r="H151" s="13">
        <f>IF(OR(F151="",E151="Planned"),"",IF(G151&lt;&gt;"",G151-F151,TODAY()-F151))</f>
        <v/>
      </c>
      <c r="I151" s="11" t="n"/>
      <c r="J151" s="11" t="n"/>
      <c r="K151" s="13" t="n"/>
      <c r="L151" s="11" t="n"/>
      <c r="M151" s="14" t="n"/>
      <c r="N151" s="13" t="n"/>
      <c r="O151" s="13" t="n"/>
      <c r="P151" s="13">
        <f>IF(E151="Under review",COUNTIFS($E:$E,"Under review",$F:$F,"&lt;"&amp;F151)+COUNTIFS($E$1:E151,"Under review",$F$1:F151,F151),"")</f>
        <v/>
      </c>
      <c r="Q151" s="13">
        <f>IF(B151="","",A151&amp;"|"&amp;E151)</f>
        <v/>
      </c>
    </row>
    <row r="152">
      <c r="A152" s="13" t="n"/>
      <c r="B152" s="13" t="n"/>
      <c r="C152" s="13">
        <f>IF(B152="","",IFERROR(VLOOKUP(B152,Journals!$A:$B,2,FALSE),IFERROR(VLOOKUP(B152,'ABDC list'!$A:$B,2,FALSE),"")))</f>
        <v/>
      </c>
      <c r="D152" s="13" t="n"/>
      <c r="E152" s="13" t="n"/>
      <c r="F152" s="14" t="n"/>
      <c r="G152" s="14" t="n"/>
      <c r="H152" s="13">
        <f>IF(OR(F152="",E152="Planned"),"",IF(G152&lt;&gt;"",G152-F152,TODAY()-F152))</f>
        <v/>
      </c>
      <c r="I152" s="11" t="n"/>
      <c r="J152" s="11" t="n"/>
      <c r="K152" s="13" t="n"/>
      <c r="L152" s="11" t="n"/>
      <c r="M152" s="14" t="n"/>
      <c r="N152" s="13" t="n"/>
      <c r="O152" s="13" t="n"/>
      <c r="P152" s="13">
        <f>IF(E152="Under review",COUNTIFS($E:$E,"Under review",$F:$F,"&lt;"&amp;F152)+COUNTIFS($E$1:E152,"Under review",$F$1:F152,F152),"")</f>
        <v/>
      </c>
      <c r="Q152" s="13">
        <f>IF(B152="","",A152&amp;"|"&amp;E152)</f>
        <v/>
      </c>
    </row>
    <row r="153">
      <c r="A153" s="13" t="n"/>
      <c r="B153" s="13" t="n"/>
      <c r="C153" s="13">
        <f>IF(B153="","",IFERROR(VLOOKUP(B153,Journals!$A:$B,2,FALSE),IFERROR(VLOOKUP(B153,'ABDC list'!$A:$B,2,FALSE),"")))</f>
        <v/>
      </c>
      <c r="D153" s="13" t="n"/>
      <c r="E153" s="13" t="n"/>
      <c r="F153" s="14" t="n"/>
      <c r="G153" s="14" t="n"/>
      <c r="H153" s="13">
        <f>IF(OR(F153="",E153="Planned"),"",IF(G153&lt;&gt;"",G153-F153,TODAY()-F153))</f>
        <v/>
      </c>
      <c r="I153" s="11" t="n"/>
      <c r="J153" s="11" t="n"/>
      <c r="K153" s="13" t="n"/>
      <c r="L153" s="11" t="n"/>
      <c r="M153" s="14" t="n"/>
      <c r="N153" s="13" t="n"/>
      <c r="O153" s="13" t="n"/>
      <c r="P153" s="13">
        <f>IF(E153="Under review",COUNTIFS($E:$E,"Under review",$F:$F,"&lt;"&amp;F153)+COUNTIFS($E$1:E153,"Under review",$F$1:F153,F153),"")</f>
        <v/>
      </c>
      <c r="Q153" s="13">
        <f>IF(B153="","",A153&amp;"|"&amp;E153)</f>
        <v/>
      </c>
    </row>
    <row r="154">
      <c r="A154" s="13" t="n"/>
      <c r="B154" s="13" t="n"/>
      <c r="C154" s="13">
        <f>IF(B154="","",IFERROR(VLOOKUP(B154,Journals!$A:$B,2,FALSE),IFERROR(VLOOKUP(B154,'ABDC list'!$A:$B,2,FALSE),"")))</f>
        <v/>
      </c>
      <c r="D154" s="13" t="n"/>
      <c r="E154" s="13" t="n"/>
      <c r="F154" s="14" t="n"/>
      <c r="G154" s="14" t="n"/>
      <c r="H154" s="13">
        <f>IF(OR(F154="",E154="Planned"),"",IF(G154&lt;&gt;"",G154-F154,TODAY()-F154))</f>
        <v/>
      </c>
      <c r="I154" s="11" t="n"/>
      <c r="J154" s="11" t="n"/>
      <c r="K154" s="13" t="n"/>
      <c r="L154" s="11" t="n"/>
      <c r="M154" s="14" t="n"/>
      <c r="N154" s="13" t="n"/>
      <c r="O154" s="13" t="n"/>
      <c r="P154" s="13">
        <f>IF(E154="Under review",COUNTIFS($E:$E,"Under review",$F:$F,"&lt;"&amp;F154)+COUNTIFS($E$1:E154,"Under review",$F$1:F154,F154),"")</f>
        <v/>
      </c>
      <c r="Q154" s="13">
        <f>IF(B154="","",A154&amp;"|"&amp;E154)</f>
        <v/>
      </c>
    </row>
    <row r="155">
      <c r="A155" s="13" t="n"/>
      <c r="B155" s="13" t="n"/>
      <c r="C155" s="13">
        <f>IF(B155="","",IFERROR(VLOOKUP(B155,Journals!$A:$B,2,FALSE),IFERROR(VLOOKUP(B155,'ABDC list'!$A:$B,2,FALSE),"")))</f>
        <v/>
      </c>
      <c r="D155" s="13" t="n"/>
      <c r="E155" s="13" t="n"/>
      <c r="F155" s="14" t="n"/>
      <c r="G155" s="14" t="n"/>
      <c r="H155" s="13">
        <f>IF(OR(F155="",E155="Planned"),"",IF(G155&lt;&gt;"",G155-F155,TODAY()-F155))</f>
        <v/>
      </c>
      <c r="I155" s="11" t="n"/>
      <c r="J155" s="11" t="n"/>
      <c r="K155" s="13" t="n"/>
      <c r="L155" s="11" t="n"/>
      <c r="M155" s="14" t="n"/>
      <c r="N155" s="13" t="n"/>
      <c r="O155" s="13" t="n"/>
      <c r="P155" s="13">
        <f>IF(E155="Under review",COUNTIFS($E:$E,"Under review",$F:$F,"&lt;"&amp;F155)+COUNTIFS($E$1:E155,"Under review",$F$1:F155,F155),"")</f>
        <v/>
      </c>
      <c r="Q155" s="13">
        <f>IF(B155="","",A155&amp;"|"&amp;E155)</f>
        <v/>
      </c>
    </row>
    <row r="156">
      <c r="A156" s="13" t="n"/>
      <c r="B156" s="13" t="n"/>
      <c r="C156" s="13">
        <f>IF(B156="","",IFERROR(VLOOKUP(B156,Journals!$A:$B,2,FALSE),IFERROR(VLOOKUP(B156,'ABDC list'!$A:$B,2,FALSE),"")))</f>
        <v/>
      </c>
      <c r="D156" s="13" t="n"/>
      <c r="E156" s="13" t="n"/>
      <c r="F156" s="14" t="n"/>
      <c r="G156" s="14" t="n"/>
      <c r="H156" s="13">
        <f>IF(OR(F156="",E156="Planned"),"",IF(G156&lt;&gt;"",G156-F156,TODAY()-F156))</f>
        <v/>
      </c>
      <c r="I156" s="11" t="n"/>
      <c r="J156" s="11" t="n"/>
      <c r="K156" s="13" t="n"/>
      <c r="L156" s="11" t="n"/>
      <c r="M156" s="14" t="n"/>
      <c r="N156" s="13" t="n"/>
      <c r="O156" s="13" t="n"/>
      <c r="P156" s="13">
        <f>IF(E156="Under review",COUNTIFS($E:$E,"Under review",$F:$F,"&lt;"&amp;F156)+COUNTIFS($E$1:E156,"Under review",$F$1:F156,F156),"")</f>
        <v/>
      </c>
      <c r="Q156" s="13">
        <f>IF(B156="","",A156&amp;"|"&amp;E156)</f>
        <v/>
      </c>
    </row>
    <row r="157">
      <c r="A157" s="13" t="n"/>
      <c r="B157" s="13" t="n"/>
      <c r="C157" s="13">
        <f>IF(B157="","",IFERROR(VLOOKUP(B157,Journals!$A:$B,2,FALSE),IFERROR(VLOOKUP(B157,'ABDC list'!$A:$B,2,FALSE),"")))</f>
        <v/>
      </c>
      <c r="D157" s="13" t="n"/>
      <c r="E157" s="13" t="n"/>
      <c r="F157" s="14" t="n"/>
      <c r="G157" s="14" t="n"/>
      <c r="H157" s="13">
        <f>IF(OR(F157="",E157="Planned"),"",IF(G157&lt;&gt;"",G157-F157,TODAY()-F157))</f>
        <v/>
      </c>
      <c r="I157" s="11" t="n"/>
      <c r="J157" s="11" t="n"/>
      <c r="K157" s="13" t="n"/>
      <c r="L157" s="11" t="n"/>
      <c r="M157" s="14" t="n"/>
      <c r="N157" s="13" t="n"/>
      <c r="O157" s="13" t="n"/>
      <c r="P157" s="13">
        <f>IF(E157="Under review",COUNTIFS($E:$E,"Under review",$F:$F,"&lt;"&amp;F157)+COUNTIFS($E$1:E157,"Under review",$F$1:F157,F157),"")</f>
        <v/>
      </c>
      <c r="Q157" s="13">
        <f>IF(B157="","",A157&amp;"|"&amp;E157)</f>
        <v/>
      </c>
    </row>
    <row r="158">
      <c r="A158" s="13" t="n"/>
      <c r="B158" s="13" t="n"/>
      <c r="C158" s="13">
        <f>IF(B158="","",IFERROR(VLOOKUP(B158,Journals!$A:$B,2,FALSE),IFERROR(VLOOKUP(B158,'ABDC list'!$A:$B,2,FALSE),"")))</f>
        <v/>
      </c>
      <c r="D158" s="13" t="n"/>
      <c r="E158" s="13" t="n"/>
      <c r="F158" s="14" t="n"/>
      <c r="G158" s="14" t="n"/>
      <c r="H158" s="13">
        <f>IF(OR(F158="",E158="Planned"),"",IF(G158&lt;&gt;"",G158-F158,TODAY()-F158))</f>
        <v/>
      </c>
      <c r="I158" s="11" t="n"/>
      <c r="J158" s="11" t="n"/>
      <c r="K158" s="13" t="n"/>
      <c r="L158" s="11" t="n"/>
      <c r="M158" s="14" t="n"/>
      <c r="N158" s="13" t="n"/>
      <c r="O158" s="13" t="n"/>
      <c r="P158" s="13">
        <f>IF(E158="Under review",COUNTIFS($E:$E,"Under review",$F:$F,"&lt;"&amp;F158)+COUNTIFS($E$1:E158,"Under review",$F$1:F158,F158),"")</f>
        <v/>
      </c>
      <c r="Q158" s="13">
        <f>IF(B158="","",A158&amp;"|"&amp;E158)</f>
        <v/>
      </c>
    </row>
    <row r="159">
      <c r="A159" s="13" t="n"/>
      <c r="B159" s="13" t="n"/>
      <c r="C159" s="13">
        <f>IF(B159="","",IFERROR(VLOOKUP(B159,Journals!$A:$B,2,FALSE),IFERROR(VLOOKUP(B159,'ABDC list'!$A:$B,2,FALSE),"")))</f>
        <v/>
      </c>
      <c r="D159" s="13" t="n"/>
      <c r="E159" s="13" t="n"/>
      <c r="F159" s="14" t="n"/>
      <c r="G159" s="14" t="n"/>
      <c r="H159" s="13">
        <f>IF(OR(F159="",E159="Planned"),"",IF(G159&lt;&gt;"",G159-F159,TODAY()-F159))</f>
        <v/>
      </c>
      <c r="I159" s="11" t="n"/>
      <c r="J159" s="11" t="n"/>
      <c r="K159" s="13" t="n"/>
      <c r="L159" s="11" t="n"/>
      <c r="M159" s="14" t="n"/>
      <c r="N159" s="13" t="n"/>
      <c r="O159" s="13" t="n"/>
      <c r="P159" s="13">
        <f>IF(E159="Under review",COUNTIFS($E:$E,"Under review",$F:$F,"&lt;"&amp;F159)+COUNTIFS($E$1:E159,"Under review",$F$1:F159,F159),"")</f>
        <v/>
      </c>
      <c r="Q159" s="13">
        <f>IF(B159="","",A159&amp;"|"&amp;E159)</f>
        <v/>
      </c>
    </row>
    <row r="160">
      <c r="A160" s="13" t="n"/>
      <c r="B160" s="13" t="n"/>
      <c r="C160" s="13">
        <f>IF(B160="","",IFERROR(VLOOKUP(B160,Journals!$A:$B,2,FALSE),IFERROR(VLOOKUP(B160,'ABDC list'!$A:$B,2,FALSE),"")))</f>
        <v/>
      </c>
      <c r="D160" s="13" t="n"/>
      <c r="E160" s="13" t="n"/>
      <c r="F160" s="14" t="n"/>
      <c r="G160" s="14" t="n"/>
      <c r="H160" s="13">
        <f>IF(OR(F160="",E160="Planned"),"",IF(G160&lt;&gt;"",G160-F160,TODAY()-F160))</f>
        <v/>
      </c>
      <c r="I160" s="11" t="n"/>
      <c r="J160" s="11" t="n"/>
      <c r="K160" s="13" t="n"/>
      <c r="L160" s="11" t="n"/>
      <c r="M160" s="14" t="n"/>
      <c r="N160" s="13" t="n"/>
      <c r="O160" s="13" t="n"/>
      <c r="P160" s="13">
        <f>IF(E160="Under review",COUNTIFS($E:$E,"Under review",$F:$F,"&lt;"&amp;F160)+COUNTIFS($E$1:E160,"Under review",$F$1:F160,F160),"")</f>
        <v/>
      </c>
      <c r="Q160" s="13">
        <f>IF(B160="","",A160&amp;"|"&amp;E160)</f>
        <v/>
      </c>
    </row>
    <row r="161">
      <c r="A161" s="13" t="n"/>
      <c r="B161" s="13" t="n"/>
      <c r="C161" s="13">
        <f>IF(B161="","",IFERROR(VLOOKUP(B161,Journals!$A:$B,2,FALSE),IFERROR(VLOOKUP(B161,'ABDC list'!$A:$B,2,FALSE),"")))</f>
        <v/>
      </c>
      <c r="D161" s="13" t="n"/>
      <c r="E161" s="13" t="n"/>
      <c r="F161" s="14" t="n"/>
      <c r="G161" s="14" t="n"/>
      <c r="H161" s="13">
        <f>IF(OR(F161="",E161="Planned"),"",IF(G161&lt;&gt;"",G161-F161,TODAY()-F161))</f>
        <v/>
      </c>
      <c r="I161" s="11" t="n"/>
      <c r="J161" s="11" t="n"/>
      <c r="K161" s="13" t="n"/>
      <c r="L161" s="11" t="n"/>
      <c r="M161" s="14" t="n"/>
      <c r="N161" s="13" t="n"/>
      <c r="O161" s="13" t="n"/>
      <c r="P161" s="13">
        <f>IF(E161="Under review",COUNTIFS($E:$E,"Under review",$F:$F,"&lt;"&amp;F161)+COUNTIFS($E$1:E161,"Under review",$F$1:F161,F161),"")</f>
        <v/>
      </c>
      <c r="Q161" s="13">
        <f>IF(B161="","",A161&amp;"|"&amp;E161)</f>
        <v/>
      </c>
    </row>
    <row r="162">
      <c r="A162" s="13" t="n"/>
      <c r="B162" s="13" t="n"/>
      <c r="C162" s="13">
        <f>IF(B162="","",IFERROR(VLOOKUP(B162,Journals!$A:$B,2,FALSE),IFERROR(VLOOKUP(B162,'ABDC list'!$A:$B,2,FALSE),"")))</f>
        <v/>
      </c>
      <c r="D162" s="13" t="n"/>
      <c r="E162" s="13" t="n"/>
      <c r="F162" s="14" t="n"/>
      <c r="G162" s="14" t="n"/>
      <c r="H162" s="13">
        <f>IF(OR(F162="",E162="Planned"),"",IF(G162&lt;&gt;"",G162-F162,TODAY()-F162))</f>
        <v/>
      </c>
      <c r="I162" s="11" t="n"/>
      <c r="J162" s="11" t="n"/>
      <c r="K162" s="13" t="n"/>
      <c r="L162" s="11" t="n"/>
      <c r="M162" s="14" t="n"/>
      <c r="N162" s="13" t="n"/>
      <c r="O162" s="13" t="n"/>
      <c r="P162" s="13">
        <f>IF(E162="Under review",COUNTIFS($E:$E,"Under review",$F:$F,"&lt;"&amp;F162)+COUNTIFS($E$1:E162,"Under review",$F$1:F162,F162),"")</f>
        <v/>
      </c>
      <c r="Q162" s="13">
        <f>IF(B162="","",A162&amp;"|"&amp;E162)</f>
        <v/>
      </c>
    </row>
    <row r="163">
      <c r="A163" s="13" t="n"/>
      <c r="B163" s="13" t="n"/>
      <c r="C163" s="13">
        <f>IF(B163="","",IFERROR(VLOOKUP(B163,Journals!$A:$B,2,FALSE),IFERROR(VLOOKUP(B163,'ABDC list'!$A:$B,2,FALSE),"")))</f>
        <v/>
      </c>
      <c r="D163" s="13" t="n"/>
      <c r="E163" s="13" t="n"/>
      <c r="F163" s="14" t="n"/>
      <c r="G163" s="14" t="n"/>
      <c r="H163" s="13">
        <f>IF(OR(F163="",E163="Planned"),"",IF(G163&lt;&gt;"",G163-F163,TODAY()-F163))</f>
        <v/>
      </c>
      <c r="I163" s="11" t="n"/>
      <c r="J163" s="11" t="n"/>
      <c r="K163" s="13" t="n"/>
      <c r="L163" s="11" t="n"/>
      <c r="M163" s="14" t="n"/>
      <c r="N163" s="13" t="n"/>
      <c r="O163" s="13" t="n"/>
      <c r="P163" s="13">
        <f>IF(E163="Under review",COUNTIFS($E:$E,"Under review",$F:$F,"&lt;"&amp;F163)+COUNTIFS($E$1:E163,"Under review",$F$1:F163,F163),"")</f>
        <v/>
      </c>
      <c r="Q163" s="13">
        <f>IF(B163="","",A163&amp;"|"&amp;E163)</f>
        <v/>
      </c>
    </row>
    <row r="164">
      <c r="A164" s="13" t="n"/>
      <c r="B164" s="13" t="n"/>
      <c r="C164" s="13">
        <f>IF(B164="","",IFERROR(VLOOKUP(B164,Journals!$A:$B,2,FALSE),IFERROR(VLOOKUP(B164,'ABDC list'!$A:$B,2,FALSE),"")))</f>
        <v/>
      </c>
      <c r="D164" s="13" t="n"/>
      <c r="E164" s="13" t="n"/>
      <c r="F164" s="14" t="n"/>
      <c r="G164" s="14" t="n"/>
      <c r="H164" s="13">
        <f>IF(OR(F164="",E164="Planned"),"",IF(G164&lt;&gt;"",G164-F164,TODAY()-F164))</f>
        <v/>
      </c>
      <c r="I164" s="11" t="n"/>
      <c r="J164" s="11" t="n"/>
      <c r="K164" s="13" t="n"/>
      <c r="L164" s="11" t="n"/>
      <c r="M164" s="14" t="n"/>
      <c r="N164" s="13" t="n"/>
      <c r="O164" s="13" t="n"/>
      <c r="P164" s="13">
        <f>IF(E164="Under review",COUNTIFS($E:$E,"Under review",$F:$F,"&lt;"&amp;F164)+COUNTIFS($E$1:E164,"Under review",$F$1:F164,F164),"")</f>
        <v/>
      </c>
      <c r="Q164" s="13">
        <f>IF(B164="","",A164&amp;"|"&amp;E164)</f>
        <v/>
      </c>
    </row>
    <row r="165">
      <c r="A165" s="13" t="n"/>
      <c r="B165" s="13" t="n"/>
      <c r="C165" s="13">
        <f>IF(B165="","",IFERROR(VLOOKUP(B165,Journals!$A:$B,2,FALSE),IFERROR(VLOOKUP(B165,'ABDC list'!$A:$B,2,FALSE),"")))</f>
        <v/>
      </c>
      <c r="D165" s="13" t="n"/>
      <c r="E165" s="13" t="n"/>
      <c r="F165" s="14" t="n"/>
      <c r="G165" s="14" t="n"/>
      <c r="H165" s="13">
        <f>IF(OR(F165="",E165="Planned"),"",IF(G165&lt;&gt;"",G165-F165,TODAY()-F165))</f>
        <v/>
      </c>
      <c r="I165" s="11" t="n"/>
      <c r="J165" s="11" t="n"/>
      <c r="K165" s="13" t="n"/>
      <c r="L165" s="11" t="n"/>
      <c r="M165" s="14" t="n"/>
      <c r="N165" s="13" t="n"/>
      <c r="O165" s="13" t="n"/>
      <c r="P165" s="13">
        <f>IF(E165="Under review",COUNTIFS($E:$E,"Under review",$F:$F,"&lt;"&amp;F165)+COUNTIFS($E$1:E165,"Under review",$F$1:F165,F165),"")</f>
        <v/>
      </c>
      <c r="Q165" s="13">
        <f>IF(B165="","",A165&amp;"|"&amp;E165)</f>
        <v/>
      </c>
    </row>
    <row r="166">
      <c r="A166" s="13" t="n"/>
      <c r="B166" s="13" t="n"/>
      <c r="C166" s="13">
        <f>IF(B166="","",IFERROR(VLOOKUP(B166,Journals!$A:$B,2,FALSE),IFERROR(VLOOKUP(B166,'ABDC list'!$A:$B,2,FALSE),"")))</f>
        <v/>
      </c>
      <c r="D166" s="13" t="n"/>
      <c r="E166" s="13" t="n"/>
      <c r="F166" s="14" t="n"/>
      <c r="G166" s="14" t="n"/>
      <c r="H166" s="13">
        <f>IF(OR(F166="",E166="Planned"),"",IF(G166&lt;&gt;"",G166-F166,TODAY()-F166))</f>
        <v/>
      </c>
      <c r="I166" s="11" t="n"/>
      <c r="J166" s="11" t="n"/>
      <c r="K166" s="13" t="n"/>
      <c r="L166" s="11" t="n"/>
      <c r="M166" s="14" t="n"/>
      <c r="N166" s="13" t="n"/>
      <c r="O166" s="13" t="n"/>
      <c r="P166" s="13">
        <f>IF(E166="Under review",COUNTIFS($E:$E,"Under review",$F:$F,"&lt;"&amp;F166)+COUNTIFS($E$1:E166,"Under review",$F$1:F166,F166),"")</f>
        <v/>
      </c>
      <c r="Q166" s="13">
        <f>IF(B166="","",A166&amp;"|"&amp;E166)</f>
        <v/>
      </c>
    </row>
    <row r="167">
      <c r="A167" s="13" t="n"/>
      <c r="B167" s="13" t="n"/>
      <c r="C167" s="13">
        <f>IF(B167="","",IFERROR(VLOOKUP(B167,Journals!$A:$B,2,FALSE),IFERROR(VLOOKUP(B167,'ABDC list'!$A:$B,2,FALSE),"")))</f>
        <v/>
      </c>
      <c r="D167" s="13" t="n"/>
      <c r="E167" s="13" t="n"/>
      <c r="F167" s="14" t="n"/>
      <c r="G167" s="14" t="n"/>
      <c r="H167" s="13">
        <f>IF(OR(F167="",E167="Planned"),"",IF(G167&lt;&gt;"",G167-F167,TODAY()-F167))</f>
        <v/>
      </c>
      <c r="I167" s="11" t="n"/>
      <c r="J167" s="11" t="n"/>
      <c r="K167" s="13" t="n"/>
      <c r="L167" s="11" t="n"/>
      <c r="M167" s="14" t="n"/>
      <c r="N167" s="13" t="n"/>
      <c r="O167" s="13" t="n"/>
      <c r="P167" s="13">
        <f>IF(E167="Under review",COUNTIFS($E:$E,"Under review",$F:$F,"&lt;"&amp;F167)+COUNTIFS($E$1:E167,"Under review",$F$1:F167,F167),"")</f>
        <v/>
      </c>
      <c r="Q167" s="13">
        <f>IF(B167="","",A167&amp;"|"&amp;E167)</f>
        <v/>
      </c>
    </row>
    <row r="168">
      <c r="A168" s="13" t="n"/>
      <c r="B168" s="13" t="n"/>
      <c r="C168" s="13">
        <f>IF(B168="","",IFERROR(VLOOKUP(B168,Journals!$A:$B,2,FALSE),IFERROR(VLOOKUP(B168,'ABDC list'!$A:$B,2,FALSE),"")))</f>
        <v/>
      </c>
      <c r="D168" s="13" t="n"/>
      <c r="E168" s="13" t="n"/>
      <c r="F168" s="14" t="n"/>
      <c r="G168" s="14" t="n"/>
      <c r="H168" s="13">
        <f>IF(OR(F168="",E168="Planned"),"",IF(G168&lt;&gt;"",G168-F168,TODAY()-F168))</f>
        <v/>
      </c>
      <c r="I168" s="11" t="n"/>
      <c r="J168" s="11" t="n"/>
      <c r="K168" s="13" t="n"/>
      <c r="L168" s="11" t="n"/>
      <c r="M168" s="14" t="n"/>
      <c r="N168" s="13" t="n"/>
      <c r="O168" s="13" t="n"/>
      <c r="P168" s="13">
        <f>IF(E168="Under review",COUNTIFS($E:$E,"Under review",$F:$F,"&lt;"&amp;F168)+COUNTIFS($E$1:E168,"Under review",$F$1:F168,F168),"")</f>
        <v/>
      </c>
      <c r="Q168" s="13">
        <f>IF(B168="","",A168&amp;"|"&amp;E168)</f>
        <v/>
      </c>
    </row>
    <row r="169">
      <c r="A169" s="13" t="n"/>
      <c r="B169" s="13" t="n"/>
      <c r="C169" s="13">
        <f>IF(B169="","",IFERROR(VLOOKUP(B169,Journals!$A:$B,2,FALSE),IFERROR(VLOOKUP(B169,'ABDC list'!$A:$B,2,FALSE),"")))</f>
        <v/>
      </c>
      <c r="D169" s="13" t="n"/>
      <c r="E169" s="13" t="n"/>
      <c r="F169" s="14" t="n"/>
      <c r="G169" s="14" t="n"/>
      <c r="H169" s="13">
        <f>IF(OR(F169="",E169="Planned"),"",IF(G169&lt;&gt;"",G169-F169,TODAY()-F169))</f>
        <v/>
      </c>
      <c r="I169" s="11" t="n"/>
      <c r="J169" s="11" t="n"/>
      <c r="K169" s="13" t="n"/>
      <c r="L169" s="11" t="n"/>
      <c r="M169" s="14" t="n"/>
      <c r="N169" s="13" t="n"/>
      <c r="O169" s="13" t="n"/>
      <c r="P169" s="13">
        <f>IF(E169="Under review",COUNTIFS($E:$E,"Under review",$F:$F,"&lt;"&amp;F169)+COUNTIFS($E$1:E169,"Under review",$F$1:F169,F169),"")</f>
        <v/>
      </c>
      <c r="Q169" s="13">
        <f>IF(B169="","",A169&amp;"|"&amp;E169)</f>
        <v/>
      </c>
    </row>
    <row r="170">
      <c r="A170" s="13" t="n"/>
      <c r="B170" s="13" t="n"/>
      <c r="C170" s="13">
        <f>IF(B170="","",IFERROR(VLOOKUP(B170,Journals!$A:$B,2,FALSE),IFERROR(VLOOKUP(B170,'ABDC list'!$A:$B,2,FALSE),"")))</f>
        <v/>
      </c>
      <c r="D170" s="13" t="n"/>
      <c r="E170" s="13" t="n"/>
      <c r="F170" s="14" t="n"/>
      <c r="G170" s="14" t="n"/>
      <c r="H170" s="13">
        <f>IF(OR(F170="",E170="Planned"),"",IF(G170&lt;&gt;"",G170-F170,TODAY()-F170))</f>
        <v/>
      </c>
      <c r="I170" s="11" t="n"/>
      <c r="J170" s="11" t="n"/>
      <c r="K170" s="13" t="n"/>
      <c r="L170" s="11" t="n"/>
      <c r="M170" s="14" t="n"/>
      <c r="N170" s="13" t="n"/>
      <c r="O170" s="13" t="n"/>
      <c r="P170" s="13">
        <f>IF(E170="Under review",COUNTIFS($E:$E,"Under review",$F:$F,"&lt;"&amp;F170)+COUNTIFS($E$1:E170,"Under review",$F$1:F170,F170),"")</f>
        <v/>
      </c>
      <c r="Q170" s="13">
        <f>IF(B170="","",A170&amp;"|"&amp;E170)</f>
        <v/>
      </c>
    </row>
    <row r="171">
      <c r="A171" s="13" t="n"/>
      <c r="B171" s="13" t="n"/>
      <c r="C171" s="13">
        <f>IF(B171="","",IFERROR(VLOOKUP(B171,Journals!$A:$B,2,FALSE),IFERROR(VLOOKUP(B171,'ABDC list'!$A:$B,2,FALSE),"")))</f>
        <v/>
      </c>
      <c r="D171" s="13" t="n"/>
      <c r="E171" s="13" t="n"/>
      <c r="F171" s="14" t="n"/>
      <c r="G171" s="14" t="n"/>
      <c r="H171" s="13">
        <f>IF(OR(F171="",E171="Planned"),"",IF(G171&lt;&gt;"",G171-F171,TODAY()-F171))</f>
        <v/>
      </c>
      <c r="I171" s="11" t="n"/>
      <c r="J171" s="11" t="n"/>
      <c r="K171" s="13" t="n"/>
      <c r="L171" s="11" t="n"/>
      <c r="M171" s="14" t="n"/>
      <c r="N171" s="13" t="n"/>
      <c r="O171" s="13" t="n"/>
      <c r="P171" s="13">
        <f>IF(E171="Under review",COUNTIFS($E:$E,"Under review",$F:$F,"&lt;"&amp;F171)+COUNTIFS($E$1:E171,"Under review",$F$1:F171,F171),"")</f>
        <v/>
      </c>
      <c r="Q171" s="13">
        <f>IF(B171="","",A171&amp;"|"&amp;E171)</f>
        <v/>
      </c>
    </row>
    <row r="172">
      <c r="A172" s="13" t="n"/>
      <c r="B172" s="13" t="n"/>
      <c r="C172" s="13">
        <f>IF(B172="","",IFERROR(VLOOKUP(B172,Journals!$A:$B,2,FALSE),IFERROR(VLOOKUP(B172,'ABDC list'!$A:$B,2,FALSE),"")))</f>
        <v/>
      </c>
      <c r="D172" s="13" t="n"/>
      <c r="E172" s="13" t="n"/>
      <c r="F172" s="14" t="n"/>
      <c r="G172" s="14" t="n"/>
      <c r="H172" s="13">
        <f>IF(OR(F172="",E172="Planned"),"",IF(G172&lt;&gt;"",G172-F172,TODAY()-F172))</f>
        <v/>
      </c>
      <c r="I172" s="11" t="n"/>
      <c r="J172" s="11" t="n"/>
      <c r="K172" s="13" t="n"/>
      <c r="L172" s="11" t="n"/>
      <c r="M172" s="14" t="n"/>
      <c r="N172" s="13" t="n"/>
      <c r="O172" s="13" t="n"/>
      <c r="P172" s="13">
        <f>IF(E172="Under review",COUNTIFS($E:$E,"Under review",$F:$F,"&lt;"&amp;F172)+COUNTIFS($E$1:E172,"Under review",$F$1:F172,F172),"")</f>
        <v/>
      </c>
      <c r="Q172" s="13">
        <f>IF(B172="","",A172&amp;"|"&amp;E172)</f>
        <v/>
      </c>
    </row>
    <row r="173">
      <c r="A173" s="13" t="n"/>
      <c r="B173" s="13" t="n"/>
      <c r="C173" s="13">
        <f>IF(B173="","",IFERROR(VLOOKUP(B173,Journals!$A:$B,2,FALSE),IFERROR(VLOOKUP(B173,'ABDC list'!$A:$B,2,FALSE),"")))</f>
        <v/>
      </c>
      <c r="D173" s="13" t="n"/>
      <c r="E173" s="13" t="n"/>
      <c r="F173" s="14" t="n"/>
      <c r="G173" s="14" t="n"/>
      <c r="H173" s="13">
        <f>IF(OR(F173="",E173="Planned"),"",IF(G173&lt;&gt;"",G173-F173,TODAY()-F173))</f>
        <v/>
      </c>
      <c r="I173" s="11" t="n"/>
      <c r="J173" s="11" t="n"/>
      <c r="K173" s="13" t="n"/>
      <c r="L173" s="11" t="n"/>
      <c r="M173" s="14" t="n"/>
      <c r="N173" s="13" t="n"/>
      <c r="O173" s="13" t="n"/>
      <c r="P173" s="13">
        <f>IF(E173="Under review",COUNTIFS($E:$E,"Under review",$F:$F,"&lt;"&amp;F173)+COUNTIFS($E$1:E173,"Under review",$F$1:F173,F173),"")</f>
        <v/>
      </c>
      <c r="Q173" s="13">
        <f>IF(B173="","",A173&amp;"|"&amp;E173)</f>
        <v/>
      </c>
    </row>
    <row r="174">
      <c r="A174" s="13" t="n"/>
      <c r="B174" s="13" t="n"/>
      <c r="C174" s="13">
        <f>IF(B174="","",IFERROR(VLOOKUP(B174,Journals!$A:$B,2,FALSE),IFERROR(VLOOKUP(B174,'ABDC list'!$A:$B,2,FALSE),"")))</f>
        <v/>
      </c>
      <c r="D174" s="13" t="n"/>
      <c r="E174" s="13" t="n"/>
      <c r="F174" s="14" t="n"/>
      <c r="G174" s="14" t="n"/>
      <c r="H174" s="13">
        <f>IF(OR(F174="",E174="Planned"),"",IF(G174&lt;&gt;"",G174-F174,TODAY()-F174))</f>
        <v/>
      </c>
      <c r="I174" s="11" t="n"/>
      <c r="J174" s="11" t="n"/>
      <c r="K174" s="13" t="n"/>
      <c r="L174" s="11" t="n"/>
      <c r="M174" s="14" t="n"/>
      <c r="N174" s="13" t="n"/>
      <c r="O174" s="13" t="n"/>
      <c r="P174" s="13">
        <f>IF(E174="Under review",COUNTIFS($E:$E,"Under review",$F:$F,"&lt;"&amp;F174)+COUNTIFS($E$1:E174,"Under review",$F$1:F174,F174),"")</f>
        <v/>
      </c>
      <c r="Q174" s="13">
        <f>IF(B174="","",A174&amp;"|"&amp;E174)</f>
        <v/>
      </c>
    </row>
    <row r="175">
      <c r="A175" s="13" t="n"/>
      <c r="B175" s="13" t="n"/>
      <c r="C175" s="13">
        <f>IF(B175="","",IFERROR(VLOOKUP(B175,Journals!$A:$B,2,FALSE),IFERROR(VLOOKUP(B175,'ABDC list'!$A:$B,2,FALSE),"")))</f>
        <v/>
      </c>
      <c r="D175" s="13" t="n"/>
      <c r="E175" s="13" t="n"/>
      <c r="F175" s="14" t="n"/>
      <c r="G175" s="14" t="n"/>
      <c r="H175" s="13">
        <f>IF(OR(F175="",E175="Planned"),"",IF(G175&lt;&gt;"",G175-F175,TODAY()-F175))</f>
        <v/>
      </c>
      <c r="I175" s="11" t="n"/>
      <c r="J175" s="11" t="n"/>
      <c r="K175" s="13" t="n"/>
      <c r="L175" s="11" t="n"/>
      <c r="M175" s="14" t="n"/>
      <c r="N175" s="13" t="n"/>
      <c r="O175" s="13" t="n"/>
      <c r="P175" s="13">
        <f>IF(E175="Under review",COUNTIFS($E:$E,"Under review",$F:$F,"&lt;"&amp;F175)+COUNTIFS($E$1:E175,"Under review",$F$1:F175,F175),"")</f>
        <v/>
      </c>
      <c r="Q175" s="13">
        <f>IF(B175="","",A175&amp;"|"&amp;E175)</f>
        <v/>
      </c>
    </row>
    <row r="176">
      <c r="A176" s="13" t="n"/>
      <c r="B176" s="13" t="n"/>
      <c r="C176" s="13">
        <f>IF(B176="","",IFERROR(VLOOKUP(B176,Journals!$A:$B,2,FALSE),IFERROR(VLOOKUP(B176,'ABDC list'!$A:$B,2,FALSE),"")))</f>
        <v/>
      </c>
      <c r="D176" s="13" t="n"/>
      <c r="E176" s="13" t="n"/>
      <c r="F176" s="14" t="n"/>
      <c r="G176" s="14" t="n"/>
      <c r="H176" s="13">
        <f>IF(OR(F176="",E176="Planned"),"",IF(G176&lt;&gt;"",G176-F176,TODAY()-F176))</f>
        <v/>
      </c>
      <c r="I176" s="11" t="n"/>
      <c r="J176" s="11" t="n"/>
      <c r="K176" s="13" t="n"/>
      <c r="L176" s="11" t="n"/>
      <c r="M176" s="14" t="n"/>
      <c r="N176" s="13" t="n"/>
      <c r="O176" s="13" t="n"/>
      <c r="P176" s="13">
        <f>IF(E176="Under review",COUNTIFS($E:$E,"Under review",$F:$F,"&lt;"&amp;F176)+COUNTIFS($E$1:E176,"Under review",$F$1:F176,F176),"")</f>
        <v/>
      </c>
      <c r="Q176" s="13">
        <f>IF(B176="","",A176&amp;"|"&amp;E176)</f>
        <v/>
      </c>
    </row>
    <row r="177">
      <c r="A177" s="13" t="n"/>
      <c r="B177" s="13" t="n"/>
      <c r="C177" s="13">
        <f>IF(B177="","",IFERROR(VLOOKUP(B177,Journals!$A:$B,2,FALSE),IFERROR(VLOOKUP(B177,'ABDC list'!$A:$B,2,FALSE),"")))</f>
        <v/>
      </c>
      <c r="D177" s="13" t="n"/>
      <c r="E177" s="13" t="n"/>
      <c r="F177" s="14" t="n"/>
      <c r="G177" s="14" t="n"/>
      <c r="H177" s="13">
        <f>IF(OR(F177="",E177="Planned"),"",IF(G177&lt;&gt;"",G177-F177,TODAY()-F177))</f>
        <v/>
      </c>
      <c r="I177" s="11" t="n"/>
      <c r="J177" s="11" t="n"/>
      <c r="K177" s="13" t="n"/>
      <c r="L177" s="11" t="n"/>
      <c r="M177" s="14" t="n"/>
      <c r="N177" s="13" t="n"/>
      <c r="O177" s="13" t="n"/>
      <c r="P177" s="13">
        <f>IF(E177="Under review",COUNTIFS($E:$E,"Under review",$F:$F,"&lt;"&amp;F177)+COUNTIFS($E$1:E177,"Under review",$F$1:F177,F177),"")</f>
        <v/>
      </c>
      <c r="Q177" s="13">
        <f>IF(B177="","",A177&amp;"|"&amp;E177)</f>
        <v/>
      </c>
    </row>
    <row r="178">
      <c r="A178" s="13" t="n"/>
      <c r="B178" s="13" t="n"/>
      <c r="C178" s="13">
        <f>IF(B178="","",IFERROR(VLOOKUP(B178,Journals!$A:$B,2,FALSE),IFERROR(VLOOKUP(B178,'ABDC list'!$A:$B,2,FALSE),"")))</f>
        <v/>
      </c>
      <c r="D178" s="13" t="n"/>
      <c r="E178" s="13" t="n"/>
      <c r="F178" s="14" t="n"/>
      <c r="G178" s="14" t="n"/>
      <c r="H178" s="13">
        <f>IF(OR(F178="",E178="Planned"),"",IF(G178&lt;&gt;"",G178-F178,TODAY()-F178))</f>
        <v/>
      </c>
      <c r="I178" s="11" t="n"/>
      <c r="J178" s="11" t="n"/>
      <c r="K178" s="13" t="n"/>
      <c r="L178" s="11" t="n"/>
      <c r="M178" s="14" t="n"/>
      <c r="N178" s="13" t="n"/>
      <c r="O178" s="13" t="n"/>
      <c r="P178" s="13">
        <f>IF(E178="Under review",COUNTIFS($E:$E,"Under review",$F:$F,"&lt;"&amp;F178)+COUNTIFS($E$1:E178,"Under review",$F$1:F178,F178),"")</f>
        <v/>
      </c>
      <c r="Q178" s="13">
        <f>IF(B178="","",A178&amp;"|"&amp;E178)</f>
        <v/>
      </c>
    </row>
    <row r="179">
      <c r="A179" s="13" t="n"/>
      <c r="B179" s="13" t="n"/>
      <c r="C179" s="13">
        <f>IF(B179="","",IFERROR(VLOOKUP(B179,Journals!$A:$B,2,FALSE),IFERROR(VLOOKUP(B179,'ABDC list'!$A:$B,2,FALSE),"")))</f>
        <v/>
      </c>
      <c r="D179" s="13" t="n"/>
      <c r="E179" s="13" t="n"/>
      <c r="F179" s="14" t="n"/>
      <c r="G179" s="14" t="n"/>
      <c r="H179" s="13">
        <f>IF(OR(F179="",E179="Planned"),"",IF(G179&lt;&gt;"",G179-F179,TODAY()-F179))</f>
        <v/>
      </c>
      <c r="I179" s="11" t="n"/>
      <c r="J179" s="11" t="n"/>
      <c r="K179" s="13" t="n"/>
      <c r="L179" s="11" t="n"/>
      <c r="M179" s="14" t="n"/>
      <c r="N179" s="13" t="n"/>
      <c r="O179" s="13" t="n"/>
      <c r="P179" s="13">
        <f>IF(E179="Under review",COUNTIFS($E:$E,"Under review",$F:$F,"&lt;"&amp;F179)+COUNTIFS($E$1:E179,"Under review",$F$1:F179,F179),"")</f>
        <v/>
      </c>
      <c r="Q179" s="13">
        <f>IF(B179="","",A179&amp;"|"&amp;E179)</f>
        <v/>
      </c>
    </row>
    <row r="180">
      <c r="A180" s="13" t="n"/>
      <c r="B180" s="13" t="n"/>
      <c r="C180" s="13">
        <f>IF(B180="","",IFERROR(VLOOKUP(B180,Journals!$A:$B,2,FALSE),IFERROR(VLOOKUP(B180,'ABDC list'!$A:$B,2,FALSE),"")))</f>
        <v/>
      </c>
      <c r="D180" s="13" t="n"/>
      <c r="E180" s="13" t="n"/>
      <c r="F180" s="14" t="n"/>
      <c r="G180" s="14" t="n"/>
      <c r="H180" s="13">
        <f>IF(OR(F180="",E180="Planned"),"",IF(G180&lt;&gt;"",G180-F180,TODAY()-F180))</f>
        <v/>
      </c>
      <c r="I180" s="11" t="n"/>
      <c r="J180" s="11" t="n"/>
      <c r="K180" s="13" t="n"/>
      <c r="L180" s="11" t="n"/>
      <c r="M180" s="14" t="n"/>
      <c r="N180" s="13" t="n"/>
      <c r="O180" s="13" t="n"/>
      <c r="P180" s="13">
        <f>IF(E180="Under review",COUNTIFS($E:$E,"Under review",$F:$F,"&lt;"&amp;F180)+COUNTIFS($E$1:E180,"Under review",$F$1:F180,F180),"")</f>
        <v/>
      </c>
      <c r="Q180" s="13">
        <f>IF(B180="","",A180&amp;"|"&amp;E180)</f>
        <v/>
      </c>
    </row>
    <row r="181">
      <c r="A181" s="13" t="n"/>
      <c r="B181" s="13" t="n"/>
      <c r="C181" s="13">
        <f>IF(B181="","",IFERROR(VLOOKUP(B181,Journals!$A:$B,2,FALSE),IFERROR(VLOOKUP(B181,'ABDC list'!$A:$B,2,FALSE),"")))</f>
        <v/>
      </c>
      <c r="D181" s="13" t="n"/>
      <c r="E181" s="13" t="n"/>
      <c r="F181" s="14" t="n"/>
      <c r="G181" s="14" t="n"/>
      <c r="H181" s="13">
        <f>IF(OR(F181="",E181="Planned"),"",IF(G181&lt;&gt;"",G181-F181,TODAY()-F181))</f>
        <v/>
      </c>
      <c r="I181" s="11" t="n"/>
      <c r="J181" s="11" t="n"/>
      <c r="K181" s="13" t="n"/>
      <c r="L181" s="11" t="n"/>
      <c r="M181" s="14" t="n"/>
      <c r="N181" s="13" t="n"/>
      <c r="O181" s="13" t="n"/>
      <c r="P181" s="13">
        <f>IF(E181="Under review",COUNTIFS($E:$E,"Under review",$F:$F,"&lt;"&amp;F181)+COUNTIFS($E$1:E181,"Under review",$F$1:F181,F181),"")</f>
        <v/>
      </c>
      <c r="Q181" s="13">
        <f>IF(B181="","",A181&amp;"|"&amp;E181)</f>
        <v/>
      </c>
    </row>
    <row r="182">
      <c r="A182" s="13" t="n"/>
      <c r="B182" s="13" t="n"/>
      <c r="C182" s="13">
        <f>IF(B182="","",IFERROR(VLOOKUP(B182,Journals!$A:$B,2,FALSE),IFERROR(VLOOKUP(B182,'ABDC list'!$A:$B,2,FALSE),"")))</f>
        <v/>
      </c>
      <c r="D182" s="13" t="n"/>
      <c r="E182" s="13" t="n"/>
      <c r="F182" s="14" t="n"/>
      <c r="G182" s="14" t="n"/>
      <c r="H182" s="13">
        <f>IF(OR(F182="",E182="Planned"),"",IF(G182&lt;&gt;"",G182-F182,TODAY()-F182))</f>
        <v/>
      </c>
      <c r="I182" s="11" t="n"/>
      <c r="J182" s="11" t="n"/>
      <c r="K182" s="13" t="n"/>
      <c r="L182" s="11" t="n"/>
      <c r="M182" s="14" t="n"/>
      <c r="N182" s="13" t="n"/>
      <c r="O182" s="13" t="n"/>
      <c r="P182" s="13">
        <f>IF(E182="Under review",COUNTIFS($E:$E,"Under review",$F:$F,"&lt;"&amp;F182)+COUNTIFS($E$1:E182,"Under review",$F$1:F182,F182),"")</f>
        <v/>
      </c>
      <c r="Q182" s="13">
        <f>IF(B182="","",A182&amp;"|"&amp;E182)</f>
        <v/>
      </c>
    </row>
    <row r="183">
      <c r="A183" s="13" t="n"/>
      <c r="B183" s="13" t="n"/>
      <c r="C183" s="13">
        <f>IF(B183="","",IFERROR(VLOOKUP(B183,Journals!$A:$B,2,FALSE),IFERROR(VLOOKUP(B183,'ABDC list'!$A:$B,2,FALSE),"")))</f>
        <v/>
      </c>
      <c r="D183" s="13" t="n"/>
      <c r="E183" s="13" t="n"/>
      <c r="F183" s="14" t="n"/>
      <c r="G183" s="14" t="n"/>
      <c r="H183" s="13">
        <f>IF(OR(F183="",E183="Planned"),"",IF(G183&lt;&gt;"",G183-F183,TODAY()-F183))</f>
        <v/>
      </c>
      <c r="I183" s="11" t="n"/>
      <c r="J183" s="11" t="n"/>
      <c r="K183" s="13" t="n"/>
      <c r="L183" s="11" t="n"/>
      <c r="M183" s="14" t="n"/>
      <c r="N183" s="13" t="n"/>
      <c r="O183" s="13" t="n"/>
      <c r="P183" s="13">
        <f>IF(E183="Under review",COUNTIFS($E:$E,"Under review",$F:$F,"&lt;"&amp;F183)+COUNTIFS($E$1:E183,"Under review",$F$1:F183,F183),"")</f>
        <v/>
      </c>
      <c r="Q183" s="13">
        <f>IF(B183="","",A183&amp;"|"&amp;E183)</f>
        <v/>
      </c>
    </row>
    <row r="184">
      <c r="A184" s="13" t="n"/>
      <c r="B184" s="13" t="n"/>
      <c r="C184" s="13">
        <f>IF(B184="","",IFERROR(VLOOKUP(B184,Journals!$A:$B,2,FALSE),IFERROR(VLOOKUP(B184,'ABDC list'!$A:$B,2,FALSE),"")))</f>
        <v/>
      </c>
      <c r="D184" s="13" t="n"/>
      <c r="E184" s="13" t="n"/>
      <c r="F184" s="14" t="n"/>
      <c r="G184" s="14" t="n"/>
      <c r="H184" s="13">
        <f>IF(OR(F184="",E184="Planned"),"",IF(G184&lt;&gt;"",G184-F184,TODAY()-F184))</f>
        <v/>
      </c>
      <c r="I184" s="11" t="n"/>
      <c r="J184" s="11" t="n"/>
      <c r="K184" s="13" t="n"/>
      <c r="L184" s="11" t="n"/>
      <c r="M184" s="14" t="n"/>
      <c r="N184" s="13" t="n"/>
      <c r="O184" s="13" t="n"/>
      <c r="P184" s="13">
        <f>IF(E184="Under review",COUNTIFS($E:$E,"Under review",$F:$F,"&lt;"&amp;F184)+COUNTIFS($E$1:E184,"Under review",$F$1:F184,F184),"")</f>
        <v/>
      </c>
      <c r="Q184" s="13">
        <f>IF(B184="","",A184&amp;"|"&amp;E184)</f>
        <v/>
      </c>
    </row>
    <row r="185">
      <c r="A185" s="13" t="n"/>
      <c r="B185" s="13" t="n"/>
      <c r="C185" s="13">
        <f>IF(B185="","",IFERROR(VLOOKUP(B185,Journals!$A:$B,2,FALSE),IFERROR(VLOOKUP(B185,'ABDC list'!$A:$B,2,FALSE),"")))</f>
        <v/>
      </c>
      <c r="D185" s="13" t="n"/>
      <c r="E185" s="13" t="n"/>
      <c r="F185" s="14" t="n"/>
      <c r="G185" s="14" t="n"/>
      <c r="H185" s="13">
        <f>IF(OR(F185="",E185="Planned"),"",IF(G185&lt;&gt;"",G185-F185,TODAY()-F185))</f>
        <v/>
      </c>
      <c r="I185" s="11" t="n"/>
      <c r="J185" s="11" t="n"/>
      <c r="K185" s="13" t="n"/>
      <c r="L185" s="11" t="n"/>
      <c r="M185" s="14" t="n"/>
      <c r="N185" s="13" t="n"/>
      <c r="O185" s="13" t="n"/>
      <c r="P185" s="13">
        <f>IF(E185="Under review",COUNTIFS($E:$E,"Under review",$F:$F,"&lt;"&amp;F185)+COUNTIFS($E$1:E185,"Under review",$F$1:F185,F185),"")</f>
        <v/>
      </c>
      <c r="Q185" s="13">
        <f>IF(B185="","",A185&amp;"|"&amp;E185)</f>
        <v/>
      </c>
    </row>
    <row r="186">
      <c r="A186" s="13" t="n"/>
      <c r="B186" s="13" t="n"/>
      <c r="C186" s="13">
        <f>IF(B186="","",IFERROR(VLOOKUP(B186,Journals!$A:$B,2,FALSE),IFERROR(VLOOKUP(B186,'ABDC list'!$A:$B,2,FALSE),"")))</f>
        <v/>
      </c>
      <c r="D186" s="13" t="n"/>
      <c r="E186" s="13" t="n"/>
      <c r="F186" s="14" t="n"/>
      <c r="G186" s="14" t="n"/>
      <c r="H186" s="13">
        <f>IF(OR(F186="",E186="Planned"),"",IF(G186&lt;&gt;"",G186-F186,TODAY()-F186))</f>
        <v/>
      </c>
      <c r="I186" s="11" t="n"/>
      <c r="J186" s="11" t="n"/>
      <c r="K186" s="13" t="n"/>
      <c r="L186" s="11" t="n"/>
      <c r="M186" s="14" t="n"/>
      <c r="N186" s="13" t="n"/>
      <c r="O186" s="13" t="n"/>
      <c r="P186" s="13">
        <f>IF(E186="Under review",COUNTIFS($E:$E,"Under review",$F:$F,"&lt;"&amp;F186)+COUNTIFS($E$1:E186,"Under review",$F$1:F186,F186),"")</f>
        <v/>
      </c>
      <c r="Q186" s="13">
        <f>IF(B186="","",A186&amp;"|"&amp;E186)</f>
        <v/>
      </c>
    </row>
    <row r="187">
      <c r="A187" s="13" t="n"/>
      <c r="B187" s="13" t="n"/>
      <c r="C187" s="13">
        <f>IF(B187="","",IFERROR(VLOOKUP(B187,Journals!$A:$B,2,FALSE),IFERROR(VLOOKUP(B187,'ABDC list'!$A:$B,2,FALSE),"")))</f>
        <v/>
      </c>
      <c r="D187" s="13" t="n"/>
      <c r="E187" s="13" t="n"/>
      <c r="F187" s="14" t="n"/>
      <c r="G187" s="14" t="n"/>
      <c r="H187" s="13">
        <f>IF(OR(F187="",E187="Planned"),"",IF(G187&lt;&gt;"",G187-F187,TODAY()-F187))</f>
        <v/>
      </c>
      <c r="I187" s="11" t="n"/>
      <c r="J187" s="11" t="n"/>
      <c r="K187" s="13" t="n"/>
      <c r="L187" s="11" t="n"/>
      <c r="M187" s="14" t="n"/>
      <c r="N187" s="13" t="n"/>
      <c r="O187" s="13" t="n"/>
      <c r="P187" s="13">
        <f>IF(E187="Under review",COUNTIFS($E:$E,"Under review",$F:$F,"&lt;"&amp;F187)+COUNTIFS($E$1:E187,"Under review",$F$1:F187,F187),"")</f>
        <v/>
      </c>
      <c r="Q187" s="13">
        <f>IF(B187="","",A187&amp;"|"&amp;E187)</f>
        <v/>
      </c>
    </row>
    <row r="188">
      <c r="A188" s="13" t="n"/>
      <c r="B188" s="13" t="n"/>
      <c r="C188" s="13">
        <f>IF(B188="","",IFERROR(VLOOKUP(B188,Journals!$A:$B,2,FALSE),IFERROR(VLOOKUP(B188,'ABDC list'!$A:$B,2,FALSE),"")))</f>
        <v/>
      </c>
      <c r="D188" s="13" t="n"/>
      <c r="E188" s="13" t="n"/>
      <c r="F188" s="14" t="n"/>
      <c r="G188" s="14" t="n"/>
      <c r="H188" s="13">
        <f>IF(OR(F188="",E188="Planned"),"",IF(G188&lt;&gt;"",G188-F188,TODAY()-F188))</f>
        <v/>
      </c>
      <c r="I188" s="11" t="n"/>
      <c r="J188" s="11" t="n"/>
      <c r="K188" s="13" t="n"/>
      <c r="L188" s="11" t="n"/>
      <c r="M188" s="14" t="n"/>
      <c r="N188" s="13" t="n"/>
      <c r="O188" s="13" t="n"/>
      <c r="P188" s="13">
        <f>IF(E188="Under review",COUNTIFS($E:$E,"Under review",$F:$F,"&lt;"&amp;F188)+COUNTIFS($E$1:E188,"Under review",$F$1:F188,F188),"")</f>
        <v/>
      </c>
      <c r="Q188" s="13">
        <f>IF(B188="","",A188&amp;"|"&amp;E188)</f>
        <v/>
      </c>
    </row>
    <row r="189">
      <c r="A189" s="13" t="n"/>
      <c r="B189" s="13" t="n"/>
      <c r="C189" s="13">
        <f>IF(B189="","",IFERROR(VLOOKUP(B189,Journals!$A:$B,2,FALSE),IFERROR(VLOOKUP(B189,'ABDC list'!$A:$B,2,FALSE),"")))</f>
        <v/>
      </c>
      <c r="D189" s="13" t="n"/>
      <c r="E189" s="13" t="n"/>
      <c r="F189" s="14" t="n"/>
      <c r="G189" s="14" t="n"/>
      <c r="H189" s="13">
        <f>IF(OR(F189="",E189="Planned"),"",IF(G189&lt;&gt;"",G189-F189,TODAY()-F189))</f>
        <v/>
      </c>
      <c r="I189" s="11" t="n"/>
      <c r="J189" s="11" t="n"/>
      <c r="K189" s="13" t="n"/>
      <c r="L189" s="11" t="n"/>
      <c r="M189" s="14" t="n"/>
      <c r="N189" s="13" t="n"/>
      <c r="O189" s="13" t="n"/>
      <c r="P189" s="13">
        <f>IF(E189="Under review",COUNTIFS($E:$E,"Under review",$F:$F,"&lt;"&amp;F189)+COUNTIFS($E$1:E189,"Under review",$F$1:F189,F189),"")</f>
        <v/>
      </c>
      <c r="Q189" s="13">
        <f>IF(B189="","",A189&amp;"|"&amp;E189)</f>
        <v/>
      </c>
    </row>
    <row r="190">
      <c r="A190" s="13" t="n"/>
      <c r="B190" s="13" t="n"/>
      <c r="C190" s="13">
        <f>IF(B190="","",IFERROR(VLOOKUP(B190,Journals!$A:$B,2,FALSE),IFERROR(VLOOKUP(B190,'ABDC list'!$A:$B,2,FALSE),"")))</f>
        <v/>
      </c>
      <c r="D190" s="13" t="n"/>
      <c r="E190" s="13" t="n"/>
      <c r="F190" s="14" t="n"/>
      <c r="G190" s="14" t="n"/>
      <c r="H190" s="13">
        <f>IF(OR(F190="",E190="Planned"),"",IF(G190&lt;&gt;"",G190-F190,TODAY()-F190))</f>
        <v/>
      </c>
      <c r="I190" s="11" t="n"/>
      <c r="J190" s="11" t="n"/>
      <c r="K190" s="13" t="n"/>
      <c r="L190" s="11" t="n"/>
      <c r="M190" s="14" t="n"/>
      <c r="N190" s="13" t="n"/>
      <c r="O190" s="13" t="n"/>
      <c r="P190" s="13">
        <f>IF(E190="Under review",COUNTIFS($E:$E,"Under review",$F:$F,"&lt;"&amp;F190)+COUNTIFS($E$1:E190,"Under review",$F$1:F190,F190),"")</f>
        <v/>
      </c>
      <c r="Q190" s="13">
        <f>IF(B190="","",A190&amp;"|"&amp;E190)</f>
        <v/>
      </c>
    </row>
    <row r="191">
      <c r="A191" s="13" t="n"/>
      <c r="B191" s="13" t="n"/>
      <c r="C191" s="13">
        <f>IF(B191="","",IFERROR(VLOOKUP(B191,Journals!$A:$B,2,FALSE),IFERROR(VLOOKUP(B191,'ABDC list'!$A:$B,2,FALSE),"")))</f>
        <v/>
      </c>
      <c r="D191" s="13" t="n"/>
      <c r="E191" s="13" t="n"/>
      <c r="F191" s="14" t="n"/>
      <c r="G191" s="14" t="n"/>
      <c r="H191" s="13">
        <f>IF(OR(F191="",E191="Planned"),"",IF(G191&lt;&gt;"",G191-F191,TODAY()-F191))</f>
        <v/>
      </c>
      <c r="I191" s="11" t="n"/>
      <c r="J191" s="11" t="n"/>
      <c r="K191" s="13" t="n"/>
      <c r="L191" s="11" t="n"/>
      <c r="M191" s="14" t="n"/>
      <c r="N191" s="13" t="n"/>
      <c r="O191" s="13" t="n"/>
      <c r="P191" s="13">
        <f>IF(E191="Under review",COUNTIFS($E:$E,"Under review",$F:$F,"&lt;"&amp;F191)+COUNTIFS($E$1:E191,"Under review",$F$1:F191,F191),"")</f>
        <v/>
      </c>
      <c r="Q191" s="13">
        <f>IF(B191="","",A191&amp;"|"&amp;E191)</f>
        <v/>
      </c>
    </row>
    <row r="192">
      <c r="A192" s="13" t="n"/>
      <c r="B192" s="13" t="n"/>
      <c r="C192" s="13">
        <f>IF(B192="","",IFERROR(VLOOKUP(B192,Journals!$A:$B,2,FALSE),IFERROR(VLOOKUP(B192,'ABDC list'!$A:$B,2,FALSE),"")))</f>
        <v/>
      </c>
      <c r="D192" s="13" t="n"/>
      <c r="E192" s="13" t="n"/>
      <c r="F192" s="14" t="n"/>
      <c r="G192" s="14" t="n"/>
      <c r="H192" s="13">
        <f>IF(OR(F192="",E192="Planned"),"",IF(G192&lt;&gt;"",G192-F192,TODAY()-F192))</f>
        <v/>
      </c>
      <c r="I192" s="11" t="n"/>
      <c r="J192" s="11" t="n"/>
      <c r="K192" s="13" t="n"/>
      <c r="L192" s="11" t="n"/>
      <c r="M192" s="14" t="n"/>
      <c r="N192" s="13" t="n"/>
      <c r="O192" s="13" t="n"/>
      <c r="P192" s="13">
        <f>IF(E192="Under review",COUNTIFS($E:$E,"Under review",$F:$F,"&lt;"&amp;F192)+COUNTIFS($E$1:E192,"Under review",$F$1:F192,F192),"")</f>
        <v/>
      </c>
      <c r="Q192" s="13">
        <f>IF(B192="","",A192&amp;"|"&amp;E192)</f>
        <v/>
      </c>
    </row>
    <row r="193">
      <c r="A193" s="13" t="n"/>
      <c r="B193" s="13" t="n"/>
      <c r="C193" s="13">
        <f>IF(B193="","",IFERROR(VLOOKUP(B193,Journals!$A:$B,2,FALSE),IFERROR(VLOOKUP(B193,'ABDC list'!$A:$B,2,FALSE),"")))</f>
        <v/>
      </c>
      <c r="D193" s="13" t="n"/>
      <c r="E193" s="13" t="n"/>
      <c r="F193" s="14" t="n"/>
      <c r="G193" s="14" t="n"/>
      <c r="H193" s="13">
        <f>IF(OR(F193="",E193="Planned"),"",IF(G193&lt;&gt;"",G193-F193,TODAY()-F193))</f>
        <v/>
      </c>
      <c r="I193" s="11" t="n"/>
      <c r="J193" s="11" t="n"/>
      <c r="K193" s="13" t="n"/>
      <c r="L193" s="11" t="n"/>
      <c r="M193" s="14" t="n"/>
      <c r="N193" s="13" t="n"/>
      <c r="O193" s="13" t="n"/>
      <c r="P193" s="13">
        <f>IF(E193="Under review",COUNTIFS($E:$E,"Under review",$F:$F,"&lt;"&amp;F193)+COUNTIFS($E$1:E193,"Under review",$F$1:F193,F193),"")</f>
        <v/>
      </c>
      <c r="Q193" s="13">
        <f>IF(B193="","",A193&amp;"|"&amp;E193)</f>
        <v/>
      </c>
    </row>
    <row r="194">
      <c r="A194" s="13" t="n"/>
      <c r="B194" s="13" t="n"/>
      <c r="C194" s="13">
        <f>IF(B194="","",IFERROR(VLOOKUP(B194,Journals!$A:$B,2,FALSE),IFERROR(VLOOKUP(B194,'ABDC list'!$A:$B,2,FALSE),"")))</f>
        <v/>
      </c>
      <c r="D194" s="13" t="n"/>
      <c r="E194" s="13" t="n"/>
      <c r="F194" s="14" t="n"/>
      <c r="G194" s="14" t="n"/>
      <c r="H194" s="13">
        <f>IF(OR(F194="",E194="Planned"),"",IF(G194&lt;&gt;"",G194-F194,TODAY()-F194))</f>
        <v/>
      </c>
      <c r="I194" s="11" t="n"/>
      <c r="J194" s="11" t="n"/>
      <c r="K194" s="13" t="n"/>
      <c r="L194" s="11" t="n"/>
      <c r="M194" s="14" t="n"/>
      <c r="N194" s="13" t="n"/>
      <c r="O194" s="13" t="n"/>
      <c r="P194" s="13">
        <f>IF(E194="Under review",COUNTIFS($E:$E,"Under review",$F:$F,"&lt;"&amp;F194)+COUNTIFS($E$1:E194,"Under review",$F$1:F194,F194),"")</f>
        <v/>
      </c>
      <c r="Q194" s="13">
        <f>IF(B194="","",A194&amp;"|"&amp;E194)</f>
        <v/>
      </c>
    </row>
    <row r="195">
      <c r="A195" s="13" t="n"/>
      <c r="B195" s="13" t="n"/>
      <c r="C195" s="13">
        <f>IF(B195="","",IFERROR(VLOOKUP(B195,Journals!$A:$B,2,FALSE),IFERROR(VLOOKUP(B195,'ABDC list'!$A:$B,2,FALSE),"")))</f>
        <v/>
      </c>
      <c r="D195" s="13" t="n"/>
      <c r="E195" s="13" t="n"/>
      <c r="F195" s="14" t="n"/>
      <c r="G195" s="14" t="n"/>
      <c r="H195" s="13">
        <f>IF(OR(F195="",E195="Planned"),"",IF(G195&lt;&gt;"",G195-F195,TODAY()-F195))</f>
        <v/>
      </c>
      <c r="I195" s="11" t="n"/>
      <c r="J195" s="11" t="n"/>
      <c r="K195" s="13" t="n"/>
      <c r="L195" s="11" t="n"/>
      <c r="M195" s="14" t="n"/>
      <c r="N195" s="13" t="n"/>
      <c r="O195" s="13" t="n"/>
      <c r="P195" s="13">
        <f>IF(E195="Under review",COUNTIFS($E:$E,"Under review",$F:$F,"&lt;"&amp;F195)+COUNTIFS($E$1:E195,"Under review",$F$1:F195,F195),"")</f>
        <v/>
      </c>
      <c r="Q195" s="13">
        <f>IF(B195="","",A195&amp;"|"&amp;E195)</f>
        <v/>
      </c>
    </row>
    <row r="196">
      <c r="A196" s="13" t="n"/>
      <c r="B196" s="13" t="n"/>
      <c r="C196" s="13">
        <f>IF(B196="","",IFERROR(VLOOKUP(B196,Journals!$A:$B,2,FALSE),IFERROR(VLOOKUP(B196,'ABDC list'!$A:$B,2,FALSE),"")))</f>
        <v/>
      </c>
      <c r="D196" s="13" t="n"/>
      <c r="E196" s="13" t="n"/>
      <c r="F196" s="14" t="n"/>
      <c r="G196" s="14" t="n"/>
      <c r="H196" s="13">
        <f>IF(OR(F196="",E196="Planned"),"",IF(G196&lt;&gt;"",G196-F196,TODAY()-F196))</f>
        <v/>
      </c>
      <c r="I196" s="11" t="n"/>
      <c r="J196" s="11" t="n"/>
      <c r="K196" s="13" t="n"/>
      <c r="L196" s="11" t="n"/>
      <c r="M196" s="14" t="n"/>
      <c r="N196" s="13" t="n"/>
      <c r="O196" s="13" t="n"/>
      <c r="P196" s="13">
        <f>IF(E196="Under review",COUNTIFS($E:$E,"Under review",$F:$F,"&lt;"&amp;F196)+COUNTIFS($E$1:E196,"Under review",$F$1:F196,F196),"")</f>
        <v/>
      </c>
      <c r="Q196" s="13">
        <f>IF(B196="","",A196&amp;"|"&amp;E196)</f>
        <v/>
      </c>
    </row>
    <row r="197">
      <c r="A197" s="13" t="n"/>
      <c r="B197" s="13" t="n"/>
      <c r="C197" s="13">
        <f>IF(B197="","",IFERROR(VLOOKUP(B197,Journals!$A:$B,2,FALSE),IFERROR(VLOOKUP(B197,'ABDC list'!$A:$B,2,FALSE),"")))</f>
        <v/>
      </c>
      <c r="D197" s="13" t="n"/>
      <c r="E197" s="13" t="n"/>
      <c r="F197" s="14" t="n"/>
      <c r="G197" s="14" t="n"/>
      <c r="H197" s="13">
        <f>IF(OR(F197="",E197="Planned"),"",IF(G197&lt;&gt;"",G197-F197,TODAY()-F197))</f>
        <v/>
      </c>
      <c r="I197" s="11" t="n"/>
      <c r="J197" s="11" t="n"/>
      <c r="K197" s="13" t="n"/>
      <c r="L197" s="11" t="n"/>
      <c r="M197" s="14" t="n"/>
      <c r="N197" s="13" t="n"/>
      <c r="O197" s="13" t="n"/>
      <c r="P197" s="13">
        <f>IF(E197="Under review",COUNTIFS($E:$E,"Under review",$F:$F,"&lt;"&amp;F197)+COUNTIFS($E$1:E197,"Under review",$F$1:F197,F197),"")</f>
        <v/>
      </c>
      <c r="Q197" s="13">
        <f>IF(B197="","",A197&amp;"|"&amp;E197)</f>
        <v/>
      </c>
    </row>
    <row r="198">
      <c r="A198" s="13" t="n"/>
      <c r="B198" s="13" t="n"/>
      <c r="C198" s="13">
        <f>IF(B198="","",IFERROR(VLOOKUP(B198,Journals!$A:$B,2,FALSE),IFERROR(VLOOKUP(B198,'ABDC list'!$A:$B,2,FALSE),"")))</f>
        <v/>
      </c>
      <c r="D198" s="13" t="n"/>
      <c r="E198" s="13" t="n"/>
      <c r="F198" s="14" t="n"/>
      <c r="G198" s="14" t="n"/>
      <c r="H198" s="13">
        <f>IF(OR(F198="",E198="Planned"),"",IF(G198&lt;&gt;"",G198-F198,TODAY()-F198))</f>
        <v/>
      </c>
      <c r="I198" s="11" t="n"/>
      <c r="J198" s="11" t="n"/>
      <c r="K198" s="13" t="n"/>
      <c r="L198" s="11" t="n"/>
      <c r="M198" s="14" t="n"/>
      <c r="N198" s="13" t="n"/>
      <c r="O198" s="13" t="n"/>
      <c r="P198" s="13">
        <f>IF(E198="Under review",COUNTIFS($E:$E,"Under review",$F:$F,"&lt;"&amp;F198)+COUNTIFS($E$1:E198,"Under review",$F$1:F198,F198),"")</f>
        <v/>
      </c>
      <c r="Q198" s="13">
        <f>IF(B198="","",A198&amp;"|"&amp;E198)</f>
        <v/>
      </c>
    </row>
    <row r="199">
      <c r="A199" s="13" t="n"/>
      <c r="B199" s="13" t="n"/>
      <c r="C199" s="13">
        <f>IF(B199="","",IFERROR(VLOOKUP(B199,Journals!$A:$B,2,FALSE),IFERROR(VLOOKUP(B199,'ABDC list'!$A:$B,2,FALSE),"")))</f>
        <v/>
      </c>
      <c r="D199" s="13" t="n"/>
      <c r="E199" s="13" t="n"/>
      <c r="F199" s="14" t="n"/>
      <c r="G199" s="14" t="n"/>
      <c r="H199" s="13">
        <f>IF(OR(F199="",E199="Planned"),"",IF(G199&lt;&gt;"",G199-F199,TODAY()-F199))</f>
        <v/>
      </c>
      <c r="I199" s="11" t="n"/>
      <c r="J199" s="11" t="n"/>
      <c r="K199" s="13" t="n"/>
      <c r="L199" s="11" t="n"/>
      <c r="M199" s="14" t="n"/>
      <c r="N199" s="13" t="n"/>
      <c r="O199" s="13" t="n"/>
      <c r="P199" s="13">
        <f>IF(E199="Under review",COUNTIFS($E:$E,"Under review",$F:$F,"&lt;"&amp;F199)+COUNTIFS($E$1:E199,"Under review",$F$1:F199,F199),"")</f>
        <v/>
      </c>
      <c r="Q199" s="13">
        <f>IF(B199="","",A199&amp;"|"&amp;E199)</f>
        <v/>
      </c>
    </row>
    <row r="200">
      <c r="A200" s="13" t="n"/>
      <c r="B200" s="13" t="n"/>
      <c r="C200" s="13">
        <f>IF(B200="","",IFERROR(VLOOKUP(B200,Journals!$A:$B,2,FALSE),IFERROR(VLOOKUP(B200,'ABDC list'!$A:$B,2,FALSE),"")))</f>
        <v/>
      </c>
      <c r="D200" s="13" t="n"/>
      <c r="E200" s="13" t="n"/>
      <c r="F200" s="14" t="n"/>
      <c r="G200" s="14" t="n"/>
      <c r="H200" s="13">
        <f>IF(OR(F200="",E200="Planned"),"",IF(G200&lt;&gt;"",G200-F200,TODAY()-F200))</f>
        <v/>
      </c>
      <c r="I200" s="11" t="n"/>
      <c r="J200" s="11" t="n"/>
      <c r="K200" s="13" t="n"/>
      <c r="L200" s="11" t="n"/>
      <c r="M200" s="14" t="n"/>
      <c r="N200" s="13" t="n"/>
      <c r="O200" s="13" t="n"/>
      <c r="P200" s="13">
        <f>IF(E200="Under review",COUNTIFS($E:$E,"Under review",$F:$F,"&lt;"&amp;F200)+COUNTIFS($E$1:E200,"Under review",$F$1:F200,F200),"")</f>
        <v/>
      </c>
      <c r="Q200" s="13">
        <f>IF(B200="","",A200&amp;"|"&amp;E200)</f>
        <v/>
      </c>
    </row>
    <row r="201">
      <c r="A201" s="13" t="n"/>
      <c r="B201" s="13" t="n"/>
      <c r="C201" s="13">
        <f>IF(B201="","",IFERROR(VLOOKUP(B201,Journals!$A:$B,2,FALSE),IFERROR(VLOOKUP(B201,'ABDC list'!$A:$B,2,FALSE),"")))</f>
        <v/>
      </c>
      <c r="D201" s="13" t="n"/>
      <c r="E201" s="13" t="n"/>
      <c r="F201" s="14" t="n"/>
      <c r="G201" s="14" t="n"/>
      <c r="H201" s="13">
        <f>IF(OR(F201="",E201="Planned"),"",IF(G201&lt;&gt;"",G201-F201,TODAY()-F201))</f>
        <v/>
      </c>
      <c r="I201" s="11" t="n"/>
      <c r="J201" s="11" t="n"/>
      <c r="K201" s="13" t="n"/>
      <c r="L201" s="11" t="n"/>
      <c r="M201" s="14" t="n"/>
      <c r="N201" s="13" t="n"/>
      <c r="O201" s="13" t="n"/>
      <c r="P201" s="13">
        <f>IF(E201="Under review",COUNTIFS($E:$E,"Under review",$F:$F,"&lt;"&amp;F201)+COUNTIFS($E$1:E201,"Under review",$F$1:F201,F201),"")</f>
        <v/>
      </c>
      <c r="Q201" s="13">
        <f>IF(B201="","",A201&amp;"|"&amp;E201)</f>
        <v/>
      </c>
    </row>
    <row r="202">
      <c r="A202" s="13" t="n"/>
      <c r="B202" s="13" t="n"/>
      <c r="C202" s="13">
        <f>IF(B202="","",IFERROR(VLOOKUP(B202,Journals!$A:$B,2,FALSE),IFERROR(VLOOKUP(B202,'ABDC list'!$A:$B,2,FALSE),"")))</f>
        <v/>
      </c>
      <c r="D202" s="13" t="n"/>
      <c r="E202" s="13" t="n"/>
      <c r="F202" s="14" t="n"/>
      <c r="G202" s="14" t="n"/>
      <c r="H202" s="13">
        <f>IF(OR(F202="",E202="Planned"),"",IF(G202&lt;&gt;"",G202-F202,TODAY()-F202))</f>
        <v/>
      </c>
      <c r="I202" s="11" t="n"/>
      <c r="J202" s="11" t="n"/>
      <c r="K202" s="13" t="n"/>
      <c r="L202" s="11" t="n"/>
      <c r="M202" s="14" t="n"/>
      <c r="N202" s="13" t="n"/>
      <c r="O202" s="13" t="n"/>
      <c r="P202" s="13">
        <f>IF(E202="Under review",COUNTIFS($E:$E,"Under review",$F:$F,"&lt;"&amp;F202)+COUNTIFS($E$1:E202,"Under review",$F$1:F202,F202),"")</f>
        <v/>
      </c>
      <c r="Q202" s="13">
        <f>IF(B202="","",A202&amp;"|"&amp;E202)</f>
        <v/>
      </c>
    </row>
    <row r="203">
      <c r="A203" s="13" t="n"/>
      <c r="B203" s="13" t="n"/>
      <c r="C203" s="13">
        <f>IF(B203="","",IFERROR(VLOOKUP(B203,Journals!$A:$B,2,FALSE),IFERROR(VLOOKUP(B203,'ABDC list'!$A:$B,2,FALSE),"")))</f>
        <v/>
      </c>
      <c r="D203" s="13" t="n"/>
      <c r="E203" s="13" t="n"/>
      <c r="F203" s="14" t="n"/>
      <c r="G203" s="14" t="n"/>
      <c r="H203" s="13">
        <f>IF(OR(F203="",E203="Planned"),"",IF(G203&lt;&gt;"",G203-F203,TODAY()-F203))</f>
        <v/>
      </c>
      <c r="I203" s="11" t="n"/>
      <c r="J203" s="11" t="n"/>
      <c r="K203" s="13" t="n"/>
      <c r="L203" s="11" t="n"/>
      <c r="M203" s="14" t="n"/>
      <c r="N203" s="13" t="n"/>
      <c r="O203" s="13" t="n"/>
      <c r="P203" s="13">
        <f>IF(E203="Under review",COUNTIFS($E:$E,"Under review",$F:$F,"&lt;"&amp;F203)+COUNTIFS($E$1:E203,"Under review",$F$1:F203,F203),"")</f>
        <v/>
      </c>
      <c r="Q203" s="13">
        <f>IF(B203="","",A203&amp;"|"&amp;E203)</f>
        <v/>
      </c>
    </row>
    <row r="204">
      <c r="A204" s="13" t="n"/>
      <c r="B204" s="13" t="n"/>
      <c r="C204" s="13">
        <f>IF(B204="","",IFERROR(VLOOKUP(B204,Journals!$A:$B,2,FALSE),IFERROR(VLOOKUP(B204,'ABDC list'!$A:$B,2,FALSE),"")))</f>
        <v/>
      </c>
      <c r="D204" s="13" t="n"/>
      <c r="E204" s="13" t="n"/>
      <c r="F204" s="14" t="n"/>
      <c r="G204" s="14" t="n"/>
      <c r="H204" s="13">
        <f>IF(OR(F204="",E204="Planned"),"",IF(G204&lt;&gt;"",G204-F204,TODAY()-F204))</f>
        <v/>
      </c>
      <c r="I204" s="11" t="n"/>
      <c r="J204" s="11" t="n"/>
      <c r="K204" s="13" t="n"/>
      <c r="L204" s="11" t="n"/>
      <c r="M204" s="14" t="n"/>
      <c r="N204" s="13" t="n"/>
      <c r="O204" s="13" t="n"/>
      <c r="P204" s="13">
        <f>IF(E204="Under review",COUNTIFS($E:$E,"Under review",$F:$F,"&lt;"&amp;F204)+COUNTIFS($E$1:E204,"Under review",$F$1:F204,F204),"")</f>
        <v/>
      </c>
      <c r="Q204" s="13">
        <f>IF(B204="","",A204&amp;"|"&amp;E204)</f>
        <v/>
      </c>
    </row>
    <row r="205">
      <c r="A205" s="13" t="n"/>
      <c r="B205" s="13" t="n"/>
      <c r="C205" s="13">
        <f>IF(B205="","",IFERROR(VLOOKUP(B205,Journals!$A:$B,2,FALSE),IFERROR(VLOOKUP(B205,'ABDC list'!$A:$B,2,FALSE),"")))</f>
        <v/>
      </c>
      <c r="D205" s="13" t="n"/>
      <c r="E205" s="13" t="n"/>
      <c r="F205" s="14" t="n"/>
      <c r="G205" s="14" t="n"/>
      <c r="H205" s="13">
        <f>IF(OR(F205="",E205="Planned"),"",IF(G205&lt;&gt;"",G205-F205,TODAY()-F205))</f>
        <v/>
      </c>
      <c r="I205" s="11" t="n"/>
      <c r="J205" s="11" t="n"/>
      <c r="K205" s="13" t="n"/>
      <c r="L205" s="11" t="n"/>
      <c r="M205" s="14" t="n"/>
      <c r="N205" s="13" t="n"/>
      <c r="O205" s="13" t="n"/>
      <c r="P205" s="13">
        <f>IF(E205="Under review",COUNTIFS($E:$E,"Under review",$F:$F,"&lt;"&amp;F205)+COUNTIFS($E$1:E205,"Under review",$F$1:F205,F205),"")</f>
        <v/>
      </c>
      <c r="Q205" s="13">
        <f>IF(B205="","",A205&amp;"|"&amp;E205)</f>
        <v/>
      </c>
    </row>
    <row r="206">
      <c r="A206" s="13" t="n"/>
      <c r="B206" s="13" t="n"/>
      <c r="C206" s="13">
        <f>IF(B206="","",IFERROR(VLOOKUP(B206,Journals!$A:$B,2,FALSE),IFERROR(VLOOKUP(B206,'ABDC list'!$A:$B,2,FALSE),"")))</f>
        <v/>
      </c>
      <c r="D206" s="13" t="n"/>
      <c r="E206" s="13" t="n"/>
      <c r="F206" s="14" t="n"/>
      <c r="G206" s="14" t="n"/>
      <c r="H206" s="13">
        <f>IF(OR(F206="",E206="Planned"),"",IF(G206&lt;&gt;"",G206-F206,TODAY()-F206))</f>
        <v/>
      </c>
      <c r="I206" s="11" t="n"/>
      <c r="J206" s="11" t="n"/>
      <c r="K206" s="13" t="n"/>
      <c r="L206" s="11" t="n"/>
      <c r="M206" s="14" t="n"/>
      <c r="N206" s="13" t="n"/>
      <c r="O206" s="13" t="n"/>
      <c r="P206" s="13">
        <f>IF(E206="Under review",COUNTIFS($E:$E,"Under review",$F:$F,"&lt;"&amp;F206)+COUNTIFS($E$1:E206,"Under review",$F$1:F206,F206),"")</f>
        <v/>
      </c>
      <c r="Q206" s="13">
        <f>IF(B206="","",A206&amp;"|"&amp;E206)</f>
        <v/>
      </c>
    </row>
    <row r="207">
      <c r="A207" s="13" t="n"/>
      <c r="B207" s="13" t="n"/>
      <c r="C207" s="13">
        <f>IF(B207="","",IFERROR(VLOOKUP(B207,Journals!$A:$B,2,FALSE),IFERROR(VLOOKUP(B207,'ABDC list'!$A:$B,2,FALSE),"")))</f>
        <v/>
      </c>
      <c r="D207" s="13" t="n"/>
      <c r="E207" s="13" t="n"/>
      <c r="F207" s="14" t="n"/>
      <c r="G207" s="14" t="n"/>
      <c r="H207" s="13">
        <f>IF(OR(F207="",E207="Planned"),"",IF(G207&lt;&gt;"",G207-F207,TODAY()-F207))</f>
        <v/>
      </c>
      <c r="I207" s="11" t="n"/>
      <c r="J207" s="11" t="n"/>
      <c r="K207" s="13" t="n"/>
      <c r="L207" s="11" t="n"/>
      <c r="M207" s="14" t="n"/>
      <c r="N207" s="13" t="n"/>
      <c r="O207" s="13" t="n"/>
      <c r="P207" s="13">
        <f>IF(E207="Under review",COUNTIFS($E:$E,"Under review",$F:$F,"&lt;"&amp;F207)+COUNTIFS($E$1:E207,"Under review",$F$1:F207,F207),"")</f>
        <v/>
      </c>
      <c r="Q207" s="13">
        <f>IF(B207="","",A207&amp;"|"&amp;E207)</f>
        <v/>
      </c>
    </row>
    <row r="208">
      <c r="A208" s="13" t="n"/>
      <c r="B208" s="13" t="n"/>
      <c r="C208" s="13">
        <f>IF(B208="","",IFERROR(VLOOKUP(B208,Journals!$A:$B,2,FALSE),IFERROR(VLOOKUP(B208,'ABDC list'!$A:$B,2,FALSE),"")))</f>
        <v/>
      </c>
      <c r="D208" s="13" t="n"/>
      <c r="E208" s="13" t="n"/>
      <c r="F208" s="14" t="n"/>
      <c r="G208" s="14" t="n"/>
      <c r="H208" s="13">
        <f>IF(OR(F208="",E208="Planned"),"",IF(G208&lt;&gt;"",G208-F208,TODAY()-F208))</f>
        <v/>
      </c>
      <c r="I208" s="11" t="n"/>
      <c r="J208" s="11" t="n"/>
      <c r="K208" s="13" t="n"/>
      <c r="L208" s="11" t="n"/>
      <c r="M208" s="14" t="n"/>
      <c r="N208" s="13" t="n"/>
      <c r="O208" s="13" t="n"/>
      <c r="P208" s="13">
        <f>IF(E208="Under review",COUNTIFS($E:$E,"Under review",$F:$F,"&lt;"&amp;F208)+COUNTIFS($E$1:E208,"Under review",$F$1:F208,F208),"")</f>
        <v/>
      </c>
      <c r="Q208" s="13">
        <f>IF(B208="","",A208&amp;"|"&amp;E208)</f>
        <v/>
      </c>
    </row>
    <row r="209">
      <c r="A209" s="13" t="n"/>
      <c r="B209" s="13" t="n"/>
      <c r="C209" s="13">
        <f>IF(B209="","",IFERROR(VLOOKUP(B209,Journals!$A:$B,2,FALSE),IFERROR(VLOOKUP(B209,'ABDC list'!$A:$B,2,FALSE),"")))</f>
        <v/>
      </c>
      <c r="D209" s="13" t="n"/>
      <c r="E209" s="13" t="n"/>
      <c r="F209" s="14" t="n"/>
      <c r="G209" s="14" t="n"/>
      <c r="H209" s="13">
        <f>IF(OR(F209="",E209="Planned"),"",IF(G209&lt;&gt;"",G209-F209,TODAY()-F209))</f>
        <v/>
      </c>
      <c r="I209" s="11" t="n"/>
      <c r="J209" s="11" t="n"/>
      <c r="K209" s="13" t="n"/>
      <c r="L209" s="11" t="n"/>
      <c r="M209" s="14" t="n"/>
      <c r="N209" s="13" t="n"/>
      <c r="O209" s="13" t="n"/>
      <c r="P209" s="13">
        <f>IF(E209="Under review",COUNTIFS($E:$E,"Under review",$F:$F,"&lt;"&amp;F209)+COUNTIFS($E$1:E209,"Under review",$F$1:F209,F209),"")</f>
        <v/>
      </c>
      <c r="Q209" s="13">
        <f>IF(B209="","",A209&amp;"|"&amp;E209)</f>
        <v/>
      </c>
    </row>
    <row r="210">
      <c r="A210" s="13" t="n"/>
      <c r="B210" s="13" t="n"/>
      <c r="C210" s="13">
        <f>IF(B210="","",IFERROR(VLOOKUP(B210,Journals!$A:$B,2,FALSE),IFERROR(VLOOKUP(B210,'ABDC list'!$A:$B,2,FALSE),"")))</f>
        <v/>
      </c>
      <c r="D210" s="13" t="n"/>
      <c r="E210" s="13" t="n"/>
      <c r="F210" s="14" t="n"/>
      <c r="G210" s="14" t="n"/>
      <c r="H210" s="13">
        <f>IF(OR(F210="",E210="Planned"),"",IF(G210&lt;&gt;"",G210-F210,TODAY()-F210))</f>
        <v/>
      </c>
      <c r="I210" s="11" t="n"/>
      <c r="J210" s="11" t="n"/>
      <c r="K210" s="13" t="n"/>
      <c r="L210" s="11" t="n"/>
      <c r="M210" s="14" t="n"/>
      <c r="N210" s="13" t="n"/>
      <c r="O210" s="13" t="n"/>
      <c r="P210" s="13">
        <f>IF(E210="Under review",COUNTIFS($E:$E,"Under review",$F:$F,"&lt;"&amp;F210)+COUNTIFS($E$1:E210,"Under review",$F$1:F210,F210),"")</f>
        <v/>
      </c>
      <c r="Q210" s="13">
        <f>IF(B210="","",A210&amp;"|"&amp;E210)</f>
        <v/>
      </c>
    </row>
    <row r="211">
      <c r="A211" s="13" t="n"/>
      <c r="B211" s="13" t="n"/>
      <c r="C211" s="13">
        <f>IF(B211="","",IFERROR(VLOOKUP(B211,Journals!$A:$B,2,FALSE),IFERROR(VLOOKUP(B211,'ABDC list'!$A:$B,2,FALSE),"")))</f>
        <v/>
      </c>
      <c r="D211" s="13" t="n"/>
      <c r="E211" s="13" t="n"/>
      <c r="F211" s="14" t="n"/>
      <c r="G211" s="14" t="n"/>
      <c r="H211" s="13">
        <f>IF(OR(F211="",E211="Planned"),"",IF(G211&lt;&gt;"",G211-F211,TODAY()-F211))</f>
        <v/>
      </c>
      <c r="I211" s="11" t="n"/>
      <c r="J211" s="11" t="n"/>
      <c r="K211" s="13" t="n"/>
      <c r="L211" s="11" t="n"/>
      <c r="M211" s="14" t="n"/>
      <c r="N211" s="13" t="n"/>
      <c r="O211" s="13" t="n"/>
      <c r="P211" s="13">
        <f>IF(E211="Under review",COUNTIFS($E:$E,"Under review",$F:$F,"&lt;"&amp;F211)+COUNTIFS($E$1:E211,"Under review",$F$1:F211,F211),"")</f>
        <v/>
      </c>
      <c r="Q211" s="13">
        <f>IF(B211="","",A211&amp;"|"&amp;E211)</f>
        <v/>
      </c>
    </row>
    <row r="212">
      <c r="A212" s="13" t="n"/>
      <c r="B212" s="13" t="n"/>
      <c r="C212" s="13">
        <f>IF(B212="","",IFERROR(VLOOKUP(B212,Journals!$A:$B,2,FALSE),IFERROR(VLOOKUP(B212,'ABDC list'!$A:$B,2,FALSE),"")))</f>
        <v/>
      </c>
      <c r="D212" s="13" t="n"/>
      <c r="E212" s="13" t="n"/>
      <c r="F212" s="14" t="n"/>
      <c r="G212" s="14" t="n"/>
      <c r="H212" s="13">
        <f>IF(OR(F212="",E212="Planned"),"",IF(G212&lt;&gt;"",G212-F212,TODAY()-F212))</f>
        <v/>
      </c>
      <c r="I212" s="11" t="n"/>
      <c r="J212" s="11" t="n"/>
      <c r="K212" s="13" t="n"/>
      <c r="L212" s="11" t="n"/>
      <c r="M212" s="14" t="n"/>
      <c r="N212" s="13" t="n"/>
      <c r="O212" s="13" t="n"/>
      <c r="P212" s="13">
        <f>IF(E212="Under review",COUNTIFS($E:$E,"Under review",$F:$F,"&lt;"&amp;F212)+COUNTIFS($E$1:E212,"Under review",$F$1:F212,F212),"")</f>
        <v/>
      </c>
      <c r="Q212" s="13">
        <f>IF(B212="","",A212&amp;"|"&amp;E212)</f>
        <v/>
      </c>
    </row>
    <row r="213">
      <c r="A213" s="13" t="n"/>
      <c r="B213" s="13" t="n"/>
      <c r="C213" s="13">
        <f>IF(B213="","",IFERROR(VLOOKUP(B213,Journals!$A:$B,2,FALSE),IFERROR(VLOOKUP(B213,'ABDC list'!$A:$B,2,FALSE),"")))</f>
        <v/>
      </c>
      <c r="D213" s="13" t="n"/>
      <c r="E213" s="13" t="n"/>
      <c r="F213" s="14" t="n"/>
      <c r="G213" s="14" t="n"/>
      <c r="H213" s="13">
        <f>IF(OR(F213="",E213="Planned"),"",IF(G213&lt;&gt;"",G213-F213,TODAY()-F213))</f>
        <v/>
      </c>
      <c r="I213" s="11" t="n"/>
      <c r="J213" s="11" t="n"/>
      <c r="K213" s="13" t="n"/>
      <c r="L213" s="11" t="n"/>
      <c r="M213" s="14" t="n"/>
      <c r="N213" s="13" t="n"/>
      <c r="O213" s="13" t="n"/>
      <c r="P213" s="13">
        <f>IF(E213="Under review",COUNTIFS($E:$E,"Under review",$F:$F,"&lt;"&amp;F213)+COUNTIFS($E$1:E213,"Under review",$F$1:F213,F213),"")</f>
        <v/>
      </c>
      <c r="Q213" s="13">
        <f>IF(B213="","",A213&amp;"|"&amp;E213)</f>
        <v/>
      </c>
    </row>
    <row r="214">
      <c r="A214" s="13" t="n"/>
      <c r="B214" s="13" t="n"/>
      <c r="C214" s="13">
        <f>IF(B214="","",IFERROR(VLOOKUP(B214,Journals!$A:$B,2,FALSE),IFERROR(VLOOKUP(B214,'ABDC list'!$A:$B,2,FALSE),"")))</f>
        <v/>
      </c>
      <c r="D214" s="13" t="n"/>
      <c r="E214" s="13" t="n"/>
      <c r="F214" s="14" t="n"/>
      <c r="G214" s="14" t="n"/>
      <c r="H214" s="13">
        <f>IF(OR(F214="",E214="Planned"),"",IF(G214&lt;&gt;"",G214-F214,TODAY()-F214))</f>
        <v/>
      </c>
      <c r="I214" s="11" t="n"/>
      <c r="J214" s="11" t="n"/>
      <c r="K214" s="13" t="n"/>
      <c r="L214" s="11" t="n"/>
      <c r="M214" s="14" t="n"/>
      <c r="N214" s="13" t="n"/>
      <c r="O214" s="13" t="n"/>
      <c r="P214" s="13">
        <f>IF(E214="Under review",COUNTIFS($E:$E,"Under review",$F:$F,"&lt;"&amp;F214)+COUNTIFS($E$1:E214,"Under review",$F$1:F214,F214),"")</f>
        <v/>
      </c>
      <c r="Q214" s="13">
        <f>IF(B214="","",A214&amp;"|"&amp;E214)</f>
        <v/>
      </c>
    </row>
    <row r="215">
      <c r="A215" s="13" t="n"/>
      <c r="B215" s="13" t="n"/>
      <c r="C215" s="13">
        <f>IF(B215="","",IFERROR(VLOOKUP(B215,Journals!$A:$B,2,FALSE),IFERROR(VLOOKUP(B215,'ABDC list'!$A:$B,2,FALSE),"")))</f>
        <v/>
      </c>
      <c r="D215" s="13" t="n"/>
      <c r="E215" s="13" t="n"/>
      <c r="F215" s="14" t="n"/>
      <c r="G215" s="14" t="n"/>
      <c r="H215" s="13">
        <f>IF(OR(F215="",E215="Planned"),"",IF(G215&lt;&gt;"",G215-F215,TODAY()-F215))</f>
        <v/>
      </c>
      <c r="I215" s="11" t="n"/>
      <c r="J215" s="11" t="n"/>
      <c r="K215" s="13" t="n"/>
      <c r="L215" s="11" t="n"/>
      <c r="M215" s="14" t="n"/>
      <c r="N215" s="13" t="n"/>
      <c r="O215" s="13" t="n"/>
      <c r="P215" s="13">
        <f>IF(E215="Under review",COUNTIFS($E:$E,"Under review",$F:$F,"&lt;"&amp;F215)+COUNTIFS($E$1:E215,"Under review",$F$1:F215,F215),"")</f>
        <v/>
      </c>
      <c r="Q215" s="13">
        <f>IF(B215="","",A215&amp;"|"&amp;E215)</f>
        <v/>
      </c>
    </row>
    <row r="216">
      <c r="A216" s="13" t="n"/>
      <c r="B216" s="13" t="n"/>
      <c r="C216" s="13">
        <f>IF(B216="","",IFERROR(VLOOKUP(B216,Journals!$A:$B,2,FALSE),IFERROR(VLOOKUP(B216,'ABDC list'!$A:$B,2,FALSE),"")))</f>
        <v/>
      </c>
      <c r="D216" s="13" t="n"/>
      <c r="E216" s="13" t="n"/>
      <c r="F216" s="14" t="n"/>
      <c r="G216" s="14" t="n"/>
      <c r="H216" s="13">
        <f>IF(OR(F216="",E216="Planned"),"",IF(G216&lt;&gt;"",G216-F216,TODAY()-F216))</f>
        <v/>
      </c>
      <c r="I216" s="11" t="n"/>
      <c r="J216" s="11" t="n"/>
      <c r="K216" s="13" t="n"/>
      <c r="L216" s="11" t="n"/>
      <c r="M216" s="14" t="n"/>
      <c r="N216" s="13" t="n"/>
      <c r="O216" s="13" t="n"/>
      <c r="P216" s="13">
        <f>IF(E216="Under review",COUNTIFS($E:$E,"Under review",$F:$F,"&lt;"&amp;F216)+COUNTIFS($E$1:E216,"Under review",$F$1:F216,F216),"")</f>
        <v/>
      </c>
      <c r="Q216" s="13">
        <f>IF(B216="","",A216&amp;"|"&amp;E216)</f>
        <v/>
      </c>
    </row>
    <row r="217">
      <c r="A217" s="13" t="n"/>
      <c r="B217" s="13" t="n"/>
      <c r="C217" s="13">
        <f>IF(B217="","",IFERROR(VLOOKUP(B217,Journals!$A:$B,2,FALSE),IFERROR(VLOOKUP(B217,'ABDC list'!$A:$B,2,FALSE),"")))</f>
        <v/>
      </c>
      <c r="D217" s="13" t="n"/>
      <c r="E217" s="13" t="n"/>
      <c r="F217" s="14" t="n"/>
      <c r="G217" s="14" t="n"/>
      <c r="H217" s="13">
        <f>IF(OR(F217="",E217="Planned"),"",IF(G217&lt;&gt;"",G217-F217,TODAY()-F217))</f>
        <v/>
      </c>
      <c r="I217" s="11" t="n"/>
      <c r="J217" s="11" t="n"/>
      <c r="K217" s="13" t="n"/>
      <c r="L217" s="11" t="n"/>
      <c r="M217" s="14" t="n"/>
      <c r="N217" s="13" t="n"/>
      <c r="O217" s="13" t="n"/>
      <c r="P217" s="13">
        <f>IF(E217="Under review",COUNTIFS($E:$E,"Under review",$F:$F,"&lt;"&amp;F217)+COUNTIFS($E$1:E217,"Under review",$F$1:F217,F217),"")</f>
        <v/>
      </c>
      <c r="Q217" s="13">
        <f>IF(B217="","",A217&amp;"|"&amp;E217)</f>
        <v/>
      </c>
    </row>
    <row r="218">
      <c r="A218" s="13" t="n"/>
      <c r="B218" s="13" t="n"/>
      <c r="C218" s="13">
        <f>IF(B218="","",IFERROR(VLOOKUP(B218,Journals!$A:$B,2,FALSE),IFERROR(VLOOKUP(B218,'ABDC list'!$A:$B,2,FALSE),"")))</f>
        <v/>
      </c>
      <c r="D218" s="13" t="n"/>
      <c r="E218" s="13" t="n"/>
      <c r="F218" s="14" t="n"/>
      <c r="G218" s="14" t="n"/>
      <c r="H218" s="13">
        <f>IF(OR(F218="",E218="Planned"),"",IF(G218&lt;&gt;"",G218-F218,TODAY()-F218))</f>
        <v/>
      </c>
      <c r="I218" s="11" t="n"/>
      <c r="J218" s="11" t="n"/>
      <c r="K218" s="13" t="n"/>
      <c r="L218" s="11" t="n"/>
      <c r="M218" s="14" t="n"/>
      <c r="N218" s="13" t="n"/>
      <c r="O218" s="13" t="n"/>
      <c r="P218" s="13">
        <f>IF(E218="Under review",COUNTIFS($E:$E,"Under review",$F:$F,"&lt;"&amp;F218)+COUNTIFS($E$1:E218,"Under review",$F$1:F218,F218),"")</f>
        <v/>
      </c>
      <c r="Q218" s="13">
        <f>IF(B218="","",A218&amp;"|"&amp;E218)</f>
        <v/>
      </c>
    </row>
    <row r="219">
      <c r="A219" s="13" t="n"/>
      <c r="B219" s="13" t="n"/>
      <c r="C219" s="13">
        <f>IF(B219="","",IFERROR(VLOOKUP(B219,Journals!$A:$B,2,FALSE),IFERROR(VLOOKUP(B219,'ABDC list'!$A:$B,2,FALSE),"")))</f>
        <v/>
      </c>
      <c r="D219" s="13" t="n"/>
      <c r="E219" s="13" t="n"/>
      <c r="F219" s="14" t="n"/>
      <c r="G219" s="14" t="n"/>
      <c r="H219" s="13">
        <f>IF(OR(F219="",E219="Planned"),"",IF(G219&lt;&gt;"",G219-F219,TODAY()-F219))</f>
        <v/>
      </c>
      <c r="I219" s="11" t="n"/>
      <c r="J219" s="11" t="n"/>
      <c r="K219" s="13" t="n"/>
      <c r="L219" s="11" t="n"/>
      <c r="M219" s="14" t="n"/>
      <c r="N219" s="13" t="n"/>
      <c r="O219" s="13" t="n"/>
      <c r="P219" s="13">
        <f>IF(E219="Under review",COUNTIFS($E:$E,"Under review",$F:$F,"&lt;"&amp;F219)+COUNTIFS($E$1:E219,"Under review",$F$1:F219,F219),"")</f>
        <v/>
      </c>
      <c r="Q219" s="13">
        <f>IF(B219="","",A219&amp;"|"&amp;E219)</f>
        <v/>
      </c>
    </row>
    <row r="220">
      <c r="A220" s="13" t="n"/>
      <c r="B220" s="13" t="n"/>
      <c r="C220" s="13">
        <f>IF(B220="","",IFERROR(VLOOKUP(B220,Journals!$A:$B,2,FALSE),IFERROR(VLOOKUP(B220,'ABDC list'!$A:$B,2,FALSE),"")))</f>
        <v/>
      </c>
      <c r="D220" s="13" t="n"/>
      <c r="E220" s="13" t="n"/>
      <c r="F220" s="14" t="n"/>
      <c r="G220" s="14" t="n"/>
      <c r="H220" s="13">
        <f>IF(OR(F220="",E220="Planned"),"",IF(G220&lt;&gt;"",G220-F220,TODAY()-F220))</f>
        <v/>
      </c>
      <c r="I220" s="11" t="n"/>
      <c r="J220" s="11" t="n"/>
      <c r="K220" s="13" t="n"/>
      <c r="L220" s="11" t="n"/>
      <c r="M220" s="14" t="n"/>
      <c r="N220" s="13" t="n"/>
      <c r="O220" s="13" t="n"/>
      <c r="P220" s="13">
        <f>IF(E220="Under review",COUNTIFS($E:$E,"Under review",$F:$F,"&lt;"&amp;F220)+COUNTIFS($E$1:E220,"Under review",$F$1:F220,F220),"")</f>
        <v/>
      </c>
      <c r="Q220" s="13">
        <f>IF(B220="","",A220&amp;"|"&amp;E220)</f>
        <v/>
      </c>
    </row>
    <row r="221">
      <c r="A221" s="13" t="n"/>
      <c r="B221" s="13" t="n"/>
      <c r="C221" s="13">
        <f>IF(B221="","",IFERROR(VLOOKUP(B221,Journals!$A:$B,2,FALSE),IFERROR(VLOOKUP(B221,'ABDC list'!$A:$B,2,FALSE),"")))</f>
        <v/>
      </c>
      <c r="D221" s="13" t="n"/>
      <c r="E221" s="13" t="n"/>
      <c r="F221" s="14" t="n"/>
      <c r="G221" s="14" t="n"/>
      <c r="H221" s="13">
        <f>IF(OR(F221="",E221="Planned"),"",IF(G221&lt;&gt;"",G221-F221,TODAY()-F221))</f>
        <v/>
      </c>
      <c r="I221" s="11" t="n"/>
      <c r="J221" s="11" t="n"/>
      <c r="K221" s="13" t="n"/>
      <c r="L221" s="11" t="n"/>
      <c r="M221" s="14" t="n"/>
      <c r="N221" s="13" t="n"/>
      <c r="O221" s="13" t="n"/>
      <c r="P221" s="13">
        <f>IF(E221="Under review",COUNTIFS($E:$E,"Under review",$F:$F,"&lt;"&amp;F221)+COUNTIFS($E$1:E221,"Under review",$F$1:F221,F221),"")</f>
        <v/>
      </c>
      <c r="Q221" s="13">
        <f>IF(B221="","",A221&amp;"|"&amp;E221)</f>
        <v/>
      </c>
    </row>
    <row r="222">
      <c r="A222" s="13" t="n"/>
      <c r="B222" s="13" t="n"/>
      <c r="C222" s="13">
        <f>IF(B222="","",IFERROR(VLOOKUP(B222,Journals!$A:$B,2,FALSE),IFERROR(VLOOKUP(B222,'ABDC list'!$A:$B,2,FALSE),"")))</f>
        <v/>
      </c>
      <c r="D222" s="13" t="n"/>
      <c r="E222" s="13" t="n"/>
      <c r="F222" s="14" t="n"/>
      <c r="G222" s="14" t="n"/>
      <c r="H222" s="13">
        <f>IF(OR(F222="",E222="Planned"),"",IF(G222&lt;&gt;"",G222-F222,TODAY()-F222))</f>
        <v/>
      </c>
      <c r="I222" s="11" t="n"/>
      <c r="J222" s="11" t="n"/>
      <c r="K222" s="13" t="n"/>
      <c r="L222" s="11" t="n"/>
      <c r="M222" s="14" t="n"/>
      <c r="N222" s="13" t="n"/>
      <c r="O222" s="13" t="n"/>
      <c r="P222" s="13">
        <f>IF(E222="Under review",COUNTIFS($E:$E,"Under review",$F:$F,"&lt;"&amp;F222)+COUNTIFS($E$1:E222,"Under review",$F$1:F222,F222),"")</f>
        <v/>
      </c>
      <c r="Q222" s="13">
        <f>IF(B222="","",A222&amp;"|"&amp;E222)</f>
        <v/>
      </c>
    </row>
    <row r="223">
      <c r="A223" s="13" t="n"/>
      <c r="B223" s="13" t="n"/>
      <c r="C223" s="13">
        <f>IF(B223="","",IFERROR(VLOOKUP(B223,Journals!$A:$B,2,FALSE),IFERROR(VLOOKUP(B223,'ABDC list'!$A:$B,2,FALSE),"")))</f>
        <v/>
      </c>
      <c r="D223" s="13" t="n"/>
      <c r="E223" s="13" t="n"/>
      <c r="F223" s="14" t="n"/>
      <c r="G223" s="14" t="n"/>
      <c r="H223" s="13">
        <f>IF(OR(F223="",E223="Planned"),"",IF(G223&lt;&gt;"",G223-F223,TODAY()-F223))</f>
        <v/>
      </c>
      <c r="I223" s="11" t="n"/>
      <c r="J223" s="11" t="n"/>
      <c r="K223" s="13" t="n"/>
      <c r="L223" s="11" t="n"/>
      <c r="M223" s="14" t="n"/>
      <c r="N223" s="13" t="n"/>
      <c r="O223" s="13" t="n"/>
      <c r="P223" s="13">
        <f>IF(E223="Under review",COUNTIFS($E:$E,"Under review",$F:$F,"&lt;"&amp;F223)+COUNTIFS($E$1:E223,"Under review",$F$1:F223,F223),"")</f>
        <v/>
      </c>
      <c r="Q223" s="13">
        <f>IF(B223="","",A223&amp;"|"&amp;E223)</f>
        <v/>
      </c>
    </row>
    <row r="224">
      <c r="A224" s="13" t="n"/>
      <c r="B224" s="13" t="n"/>
      <c r="C224" s="13">
        <f>IF(B224="","",IFERROR(VLOOKUP(B224,Journals!$A:$B,2,FALSE),IFERROR(VLOOKUP(B224,'ABDC list'!$A:$B,2,FALSE),"")))</f>
        <v/>
      </c>
      <c r="D224" s="13" t="n"/>
      <c r="E224" s="13" t="n"/>
      <c r="F224" s="14" t="n"/>
      <c r="G224" s="14" t="n"/>
      <c r="H224" s="13">
        <f>IF(OR(F224="",E224="Planned"),"",IF(G224&lt;&gt;"",G224-F224,TODAY()-F224))</f>
        <v/>
      </c>
      <c r="I224" s="11" t="n"/>
      <c r="J224" s="11" t="n"/>
      <c r="K224" s="13" t="n"/>
      <c r="L224" s="11" t="n"/>
      <c r="M224" s="14" t="n"/>
      <c r="N224" s="13" t="n"/>
      <c r="O224" s="13" t="n"/>
      <c r="P224" s="13">
        <f>IF(E224="Under review",COUNTIFS($E:$E,"Under review",$F:$F,"&lt;"&amp;F224)+COUNTIFS($E$1:E224,"Under review",$F$1:F224,F224),"")</f>
        <v/>
      </c>
      <c r="Q224" s="13">
        <f>IF(B224="","",A224&amp;"|"&amp;E224)</f>
        <v/>
      </c>
    </row>
    <row r="225">
      <c r="A225" s="13" t="n"/>
      <c r="B225" s="13" t="n"/>
      <c r="C225" s="13">
        <f>IF(B225="","",IFERROR(VLOOKUP(B225,Journals!$A:$B,2,FALSE),IFERROR(VLOOKUP(B225,'ABDC list'!$A:$B,2,FALSE),"")))</f>
        <v/>
      </c>
      <c r="D225" s="13" t="n"/>
      <c r="E225" s="13" t="n"/>
      <c r="F225" s="14" t="n"/>
      <c r="G225" s="14" t="n"/>
      <c r="H225" s="13">
        <f>IF(OR(F225="",E225="Planned"),"",IF(G225&lt;&gt;"",G225-F225,TODAY()-F225))</f>
        <v/>
      </c>
      <c r="I225" s="11" t="n"/>
      <c r="J225" s="11" t="n"/>
      <c r="K225" s="13" t="n"/>
      <c r="L225" s="11" t="n"/>
      <c r="M225" s="14" t="n"/>
      <c r="N225" s="13" t="n"/>
      <c r="O225" s="13" t="n"/>
      <c r="P225" s="13">
        <f>IF(E225="Under review",COUNTIFS($E:$E,"Under review",$F:$F,"&lt;"&amp;F225)+COUNTIFS($E$1:E225,"Under review",$F$1:F225,F225),"")</f>
        <v/>
      </c>
      <c r="Q225" s="13">
        <f>IF(B225="","",A225&amp;"|"&amp;E225)</f>
        <v/>
      </c>
    </row>
    <row r="226">
      <c r="A226" s="13" t="n"/>
      <c r="B226" s="13" t="n"/>
      <c r="C226" s="13">
        <f>IF(B226="","",IFERROR(VLOOKUP(B226,Journals!$A:$B,2,FALSE),IFERROR(VLOOKUP(B226,'ABDC list'!$A:$B,2,FALSE),"")))</f>
        <v/>
      </c>
      <c r="D226" s="13" t="n"/>
      <c r="E226" s="13" t="n"/>
      <c r="F226" s="14" t="n"/>
      <c r="G226" s="14" t="n"/>
      <c r="H226" s="13">
        <f>IF(OR(F226="",E226="Planned"),"",IF(G226&lt;&gt;"",G226-F226,TODAY()-F226))</f>
        <v/>
      </c>
      <c r="I226" s="11" t="n"/>
      <c r="J226" s="11" t="n"/>
      <c r="K226" s="13" t="n"/>
      <c r="L226" s="11" t="n"/>
      <c r="M226" s="14" t="n"/>
      <c r="N226" s="13" t="n"/>
      <c r="O226" s="13" t="n"/>
      <c r="P226" s="13">
        <f>IF(E226="Under review",COUNTIFS($E:$E,"Under review",$F:$F,"&lt;"&amp;F226)+COUNTIFS($E$1:E226,"Under review",$F$1:F226,F226),"")</f>
        <v/>
      </c>
      <c r="Q226" s="13">
        <f>IF(B226="","",A226&amp;"|"&amp;E226)</f>
        <v/>
      </c>
    </row>
    <row r="227">
      <c r="A227" s="13" t="n"/>
      <c r="B227" s="13" t="n"/>
      <c r="C227" s="13">
        <f>IF(B227="","",IFERROR(VLOOKUP(B227,Journals!$A:$B,2,FALSE),IFERROR(VLOOKUP(B227,'ABDC list'!$A:$B,2,FALSE),"")))</f>
        <v/>
      </c>
      <c r="D227" s="13" t="n"/>
      <c r="E227" s="13" t="n"/>
      <c r="F227" s="14" t="n"/>
      <c r="G227" s="14" t="n"/>
      <c r="H227" s="13">
        <f>IF(OR(F227="",E227="Planned"),"",IF(G227&lt;&gt;"",G227-F227,TODAY()-F227))</f>
        <v/>
      </c>
      <c r="I227" s="11" t="n"/>
      <c r="J227" s="11" t="n"/>
      <c r="K227" s="13" t="n"/>
      <c r="L227" s="11" t="n"/>
      <c r="M227" s="14" t="n"/>
      <c r="N227" s="13" t="n"/>
      <c r="O227" s="13" t="n"/>
      <c r="P227" s="13">
        <f>IF(E227="Under review",COUNTIFS($E:$E,"Under review",$F:$F,"&lt;"&amp;F227)+COUNTIFS($E$1:E227,"Under review",$F$1:F227,F227),"")</f>
        <v/>
      </c>
      <c r="Q227" s="13">
        <f>IF(B227="","",A227&amp;"|"&amp;E227)</f>
        <v/>
      </c>
    </row>
    <row r="228">
      <c r="A228" s="13" t="n"/>
      <c r="B228" s="13" t="n"/>
      <c r="C228" s="13">
        <f>IF(B228="","",IFERROR(VLOOKUP(B228,Journals!$A:$B,2,FALSE),IFERROR(VLOOKUP(B228,'ABDC list'!$A:$B,2,FALSE),"")))</f>
        <v/>
      </c>
      <c r="D228" s="13" t="n"/>
      <c r="E228" s="13" t="n"/>
      <c r="F228" s="14" t="n"/>
      <c r="G228" s="14" t="n"/>
      <c r="H228" s="13">
        <f>IF(OR(F228="",E228="Planned"),"",IF(G228&lt;&gt;"",G228-F228,TODAY()-F228))</f>
        <v/>
      </c>
      <c r="I228" s="11" t="n"/>
      <c r="J228" s="11" t="n"/>
      <c r="K228" s="13" t="n"/>
      <c r="L228" s="11" t="n"/>
      <c r="M228" s="14" t="n"/>
      <c r="N228" s="13" t="n"/>
      <c r="O228" s="13" t="n"/>
      <c r="P228" s="13">
        <f>IF(E228="Under review",COUNTIFS($E:$E,"Under review",$F:$F,"&lt;"&amp;F228)+COUNTIFS($E$1:E228,"Under review",$F$1:F228,F228),"")</f>
        <v/>
      </c>
      <c r="Q228" s="13">
        <f>IF(B228="","",A228&amp;"|"&amp;E228)</f>
        <v/>
      </c>
    </row>
    <row r="229">
      <c r="A229" s="13" t="n"/>
      <c r="B229" s="13" t="n"/>
      <c r="C229" s="13">
        <f>IF(B229="","",IFERROR(VLOOKUP(B229,Journals!$A:$B,2,FALSE),IFERROR(VLOOKUP(B229,'ABDC list'!$A:$B,2,FALSE),"")))</f>
        <v/>
      </c>
      <c r="D229" s="13" t="n"/>
      <c r="E229" s="13" t="n"/>
      <c r="F229" s="14" t="n"/>
      <c r="G229" s="14" t="n"/>
      <c r="H229" s="13">
        <f>IF(OR(F229="",E229="Planned"),"",IF(G229&lt;&gt;"",G229-F229,TODAY()-F229))</f>
        <v/>
      </c>
      <c r="I229" s="11" t="n"/>
      <c r="J229" s="11" t="n"/>
      <c r="K229" s="13" t="n"/>
      <c r="L229" s="11" t="n"/>
      <c r="M229" s="14" t="n"/>
      <c r="N229" s="13" t="n"/>
      <c r="O229" s="13" t="n"/>
      <c r="P229" s="13">
        <f>IF(E229="Under review",COUNTIFS($E:$E,"Under review",$F:$F,"&lt;"&amp;F229)+COUNTIFS($E$1:E229,"Under review",$F$1:F229,F229),"")</f>
        <v/>
      </c>
      <c r="Q229" s="13">
        <f>IF(B229="","",A229&amp;"|"&amp;E229)</f>
        <v/>
      </c>
    </row>
    <row r="230">
      <c r="A230" s="13" t="n"/>
      <c r="B230" s="13" t="n"/>
      <c r="C230" s="13">
        <f>IF(B230="","",IFERROR(VLOOKUP(B230,Journals!$A:$B,2,FALSE),IFERROR(VLOOKUP(B230,'ABDC list'!$A:$B,2,FALSE),"")))</f>
        <v/>
      </c>
      <c r="D230" s="13" t="n"/>
      <c r="E230" s="13" t="n"/>
      <c r="F230" s="14" t="n"/>
      <c r="G230" s="14" t="n"/>
      <c r="H230" s="13">
        <f>IF(OR(F230="",E230="Planned"),"",IF(G230&lt;&gt;"",G230-F230,TODAY()-F230))</f>
        <v/>
      </c>
      <c r="I230" s="11" t="n"/>
      <c r="J230" s="11" t="n"/>
      <c r="K230" s="13" t="n"/>
      <c r="L230" s="11" t="n"/>
      <c r="M230" s="14" t="n"/>
      <c r="N230" s="13" t="n"/>
      <c r="O230" s="13" t="n"/>
      <c r="P230" s="13">
        <f>IF(E230="Under review",COUNTIFS($E:$E,"Under review",$F:$F,"&lt;"&amp;F230)+COUNTIFS($E$1:E230,"Under review",$F$1:F230,F230),"")</f>
        <v/>
      </c>
      <c r="Q230" s="13">
        <f>IF(B230="","",A230&amp;"|"&amp;E230)</f>
        <v/>
      </c>
    </row>
    <row r="231">
      <c r="A231" s="13" t="n"/>
      <c r="B231" s="13" t="n"/>
      <c r="C231" s="13">
        <f>IF(B231="","",IFERROR(VLOOKUP(B231,Journals!$A:$B,2,FALSE),IFERROR(VLOOKUP(B231,'ABDC list'!$A:$B,2,FALSE),"")))</f>
        <v/>
      </c>
      <c r="D231" s="13" t="n"/>
      <c r="E231" s="13" t="n"/>
      <c r="F231" s="14" t="n"/>
      <c r="G231" s="14" t="n"/>
      <c r="H231" s="13">
        <f>IF(OR(F231="",E231="Planned"),"",IF(G231&lt;&gt;"",G231-F231,TODAY()-F231))</f>
        <v/>
      </c>
      <c r="I231" s="11" t="n"/>
      <c r="J231" s="11" t="n"/>
      <c r="K231" s="13" t="n"/>
      <c r="L231" s="11" t="n"/>
      <c r="M231" s="14" t="n"/>
      <c r="N231" s="13" t="n"/>
      <c r="O231" s="13" t="n"/>
      <c r="P231" s="13">
        <f>IF(E231="Under review",COUNTIFS($E:$E,"Under review",$F:$F,"&lt;"&amp;F231)+COUNTIFS($E$1:E231,"Under review",$F$1:F231,F231),"")</f>
        <v/>
      </c>
      <c r="Q231" s="13">
        <f>IF(B231="","",A231&amp;"|"&amp;E231)</f>
        <v/>
      </c>
    </row>
    <row r="232">
      <c r="A232" s="13" t="n"/>
      <c r="B232" s="13" t="n"/>
      <c r="C232" s="13">
        <f>IF(B232="","",IFERROR(VLOOKUP(B232,Journals!$A:$B,2,FALSE),IFERROR(VLOOKUP(B232,'ABDC list'!$A:$B,2,FALSE),"")))</f>
        <v/>
      </c>
      <c r="D232" s="13" t="n"/>
      <c r="E232" s="13" t="n"/>
      <c r="F232" s="14" t="n"/>
      <c r="G232" s="14" t="n"/>
      <c r="H232" s="13">
        <f>IF(OR(F232="",E232="Planned"),"",IF(G232&lt;&gt;"",G232-F232,TODAY()-F232))</f>
        <v/>
      </c>
      <c r="I232" s="11" t="n"/>
      <c r="J232" s="11" t="n"/>
      <c r="K232" s="13" t="n"/>
      <c r="L232" s="11" t="n"/>
      <c r="M232" s="14" t="n"/>
      <c r="N232" s="13" t="n"/>
      <c r="O232" s="13" t="n"/>
      <c r="P232" s="13">
        <f>IF(E232="Under review",COUNTIFS($E:$E,"Under review",$F:$F,"&lt;"&amp;F232)+COUNTIFS($E$1:E232,"Under review",$F$1:F232,F232),"")</f>
        <v/>
      </c>
      <c r="Q232" s="13">
        <f>IF(B232="","",A232&amp;"|"&amp;E232)</f>
        <v/>
      </c>
    </row>
    <row r="233">
      <c r="A233" s="13" t="n"/>
      <c r="B233" s="13" t="n"/>
      <c r="C233" s="13">
        <f>IF(B233="","",IFERROR(VLOOKUP(B233,Journals!$A:$B,2,FALSE),IFERROR(VLOOKUP(B233,'ABDC list'!$A:$B,2,FALSE),"")))</f>
        <v/>
      </c>
      <c r="D233" s="13" t="n"/>
      <c r="E233" s="13" t="n"/>
      <c r="F233" s="14" t="n"/>
      <c r="G233" s="14" t="n"/>
      <c r="H233" s="13">
        <f>IF(OR(F233="",E233="Planned"),"",IF(G233&lt;&gt;"",G233-F233,TODAY()-F233))</f>
        <v/>
      </c>
      <c r="I233" s="11" t="n"/>
      <c r="J233" s="11" t="n"/>
      <c r="K233" s="13" t="n"/>
      <c r="L233" s="11" t="n"/>
      <c r="M233" s="14" t="n"/>
      <c r="N233" s="13" t="n"/>
      <c r="O233" s="13" t="n"/>
      <c r="P233" s="13">
        <f>IF(E233="Under review",COUNTIFS($E:$E,"Under review",$F:$F,"&lt;"&amp;F233)+COUNTIFS($E$1:E233,"Under review",$F$1:F233,F233),"")</f>
        <v/>
      </c>
      <c r="Q233" s="13">
        <f>IF(B233="","",A233&amp;"|"&amp;E233)</f>
        <v/>
      </c>
    </row>
    <row r="234">
      <c r="A234" s="13" t="n"/>
      <c r="B234" s="13" t="n"/>
      <c r="C234" s="13">
        <f>IF(B234="","",IFERROR(VLOOKUP(B234,Journals!$A:$B,2,FALSE),IFERROR(VLOOKUP(B234,'ABDC list'!$A:$B,2,FALSE),"")))</f>
        <v/>
      </c>
      <c r="D234" s="13" t="n"/>
      <c r="E234" s="13" t="n"/>
      <c r="F234" s="14" t="n"/>
      <c r="G234" s="14" t="n"/>
      <c r="H234" s="13">
        <f>IF(OR(F234="",E234="Planned"),"",IF(G234&lt;&gt;"",G234-F234,TODAY()-F234))</f>
        <v/>
      </c>
      <c r="I234" s="11" t="n"/>
      <c r="J234" s="11" t="n"/>
      <c r="K234" s="13" t="n"/>
      <c r="L234" s="11" t="n"/>
      <c r="M234" s="14" t="n"/>
      <c r="N234" s="13" t="n"/>
      <c r="O234" s="13" t="n"/>
      <c r="P234" s="13">
        <f>IF(E234="Under review",COUNTIFS($E:$E,"Under review",$F:$F,"&lt;"&amp;F234)+COUNTIFS($E$1:E234,"Under review",$F$1:F234,F234),"")</f>
        <v/>
      </c>
      <c r="Q234" s="13">
        <f>IF(B234="","",A234&amp;"|"&amp;E234)</f>
        <v/>
      </c>
    </row>
    <row r="235">
      <c r="A235" s="13" t="n"/>
      <c r="B235" s="13" t="n"/>
      <c r="C235" s="13">
        <f>IF(B235="","",IFERROR(VLOOKUP(B235,Journals!$A:$B,2,FALSE),IFERROR(VLOOKUP(B235,'ABDC list'!$A:$B,2,FALSE),"")))</f>
        <v/>
      </c>
      <c r="D235" s="13" t="n"/>
      <c r="E235" s="13" t="n"/>
      <c r="F235" s="14" t="n"/>
      <c r="G235" s="14" t="n"/>
      <c r="H235" s="13">
        <f>IF(OR(F235="",E235="Planned"),"",IF(G235&lt;&gt;"",G235-F235,TODAY()-F235))</f>
        <v/>
      </c>
      <c r="I235" s="11" t="n"/>
      <c r="J235" s="11" t="n"/>
      <c r="K235" s="13" t="n"/>
      <c r="L235" s="11" t="n"/>
      <c r="M235" s="14" t="n"/>
      <c r="N235" s="13" t="n"/>
      <c r="O235" s="13" t="n"/>
      <c r="P235" s="13">
        <f>IF(E235="Under review",COUNTIFS($E:$E,"Under review",$F:$F,"&lt;"&amp;F235)+COUNTIFS($E$1:E235,"Under review",$F$1:F235,F235),"")</f>
        <v/>
      </c>
      <c r="Q235" s="13">
        <f>IF(B235="","",A235&amp;"|"&amp;E235)</f>
        <v/>
      </c>
    </row>
    <row r="236">
      <c r="A236" s="13" t="n"/>
      <c r="B236" s="13" t="n"/>
      <c r="C236" s="13">
        <f>IF(B236="","",IFERROR(VLOOKUP(B236,Journals!$A:$B,2,FALSE),IFERROR(VLOOKUP(B236,'ABDC list'!$A:$B,2,FALSE),"")))</f>
        <v/>
      </c>
      <c r="D236" s="13" t="n"/>
      <c r="E236" s="13" t="n"/>
      <c r="F236" s="14" t="n"/>
      <c r="G236" s="14" t="n"/>
      <c r="H236" s="13">
        <f>IF(OR(F236="",E236="Planned"),"",IF(G236&lt;&gt;"",G236-F236,TODAY()-F236))</f>
        <v/>
      </c>
      <c r="I236" s="11" t="n"/>
      <c r="J236" s="11" t="n"/>
      <c r="K236" s="13" t="n"/>
      <c r="L236" s="11" t="n"/>
      <c r="M236" s="14" t="n"/>
      <c r="N236" s="13" t="n"/>
      <c r="O236" s="13" t="n"/>
      <c r="P236" s="13">
        <f>IF(E236="Under review",COUNTIFS($E:$E,"Under review",$F:$F,"&lt;"&amp;F236)+COUNTIFS($E$1:E236,"Under review",$F$1:F236,F236),"")</f>
        <v/>
      </c>
      <c r="Q236" s="13">
        <f>IF(B236="","",A236&amp;"|"&amp;E236)</f>
        <v/>
      </c>
    </row>
    <row r="237">
      <c r="A237" s="13" t="n"/>
      <c r="B237" s="13" t="n"/>
      <c r="C237" s="13">
        <f>IF(B237="","",IFERROR(VLOOKUP(B237,Journals!$A:$B,2,FALSE),IFERROR(VLOOKUP(B237,'ABDC list'!$A:$B,2,FALSE),"")))</f>
        <v/>
      </c>
      <c r="D237" s="13" t="n"/>
      <c r="E237" s="13" t="n"/>
      <c r="F237" s="14" t="n"/>
      <c r="G237" s="14" t="n"/>
      <c r="H237" s="13">
        <f>IF(OR(F237="",E237="Planned"),"",IF(G237&lt;&gt;"",G237-F237,TODAY()-F237))</f>
        <v/>
      </c>
      <c r="I237" s="11" t="n"/>
      <c r="J237" s="11" t="n"/>
      <c r="K237" s="13" t="n"/>
      <c r="L237" s="11" t="n"/>
      <c r="M237" s="14" t="n"/>
      <c r="N237" s="13" t="n"/>
      <c r="O237" s="13" t="n"/>
      <c r="P237" s="13">
        <f>IF(E237="Under review",COUNTIFS($E:$E,"Under review",$F:$F,"&lt;"&amp;F237)+COUNTIFS($E$1:E237,"Under review",$F$1:F237,F237),"")</f>
        <v/>
      </c>
      <c r="Q237" s="13">
        <f>IF(B237="","",A237&amp;"|"&amp;E237)</f>
        <v/>
      </c>
    </row>
    <row r="238">
      <c r="A238" s="13" t="n"/>
      <c r="B238" s="13" t="n"/>
      <c r="C238" s="13">
        <f>IF(B238="","",IFERROR(VLOOKUP(B238,Journals!$A:$B,2,FALSE),IFERROR(VLOOKUP(B238,'ABDC list'!$A:$B,2,FALSE),"")))</f>
        <v/>
      </c>
      <c r="D238" s="13" t="n"/>
      <c r="E238" s="13" t="n"/>
      <c r="F238" s="14" t="n"/>
      <c r="G238" s="14" t="n"/>
      <c r="H238" s="13">
        <f>IF(OR(F238="",E238="Planned"),"",IF(G238&lt;&gt;"",G238-F238,TODAY()-F238))</f>
        <v/>
      </c>
      <c r="I238" s="11" t="n"/>
      <c r="J238" s="11" t="n"/>
      <c r="K238" s="13" t="n"/>
      <c r="L238" s="11" t="n"/>
      <c r="M238" s="14" t="n"/>
      <c r="N238" s="13" t="n"/>
      <c r="O238" s="13" t="n"/>
      <c r="P238" s="13">
        <f>IF(E238="Under review",COUNTIFS($E:$E,"Under review",$F:$F,"&lt;"&amp;F238)+COUNTIFS($E$1:E238,"Under review",$F$1:F238,F238),"")</f>
        <v/>
      </c>
      <c r="Q238" s="13">
        <f>IF(B238="","",A238&amp;"|"&amp;E238)</f>
        <v/>
      </c>
    </row>
    <row r="239">
      <c r="A239" s="13" t="n"/>
      <c r="B239" s="13" t="n"/>
      <c r="C239" s="13">
        <f>IF(B239="","",IFERROR(VLOOKUP(B239,Journals!$A:$B,2,FALSE),IFERROR(VLOOKUP(B239,'ABDC list'!$A:$B,2,FALSE),"")))</f>
        <v/>
      </c>
      <c r="D239" s="13" t="n"/>
      <c r="E239" s="13" t="n"/>
      <c r="F239" s="14" t="n"/>
      <c r="G239" s="14" t="n"/>
      <c r="H239" s="13">
        <f>IF(OR(F239="",E239="Planned"),"",IF(G239&lt;&gt;"",G239-F239,TODAY()-F239))</f>
        <v/>
      </c>
      <c r="I239" s="11" t="n"/>
      <c r="J239" s="11" t="n"/>
      <c r="K239" s="13" t="n"/>
      <c r="L239" s="11" t="n"/>
      <c r="M239" s="14" t="n"/>
      <c r="N239" s="13" t="n"/>
      <c r="O239" s="13" t="n"/>
      <c r="P239" s="13">
        <f>IF(E239="Under review",COUNTIFS($E:$E,"Under review",$F:$F,"&lt;"&amp;F239)+COUNTIFS($E$1:E239,"Under review",$F$1:F239,F239),"")</f>
        <v/>
      </c>
      <c r="Q239" s="13">
        <f>IF(B239="","",A239&amp;"|"&amp;E239)</f>
        <v/>
      </c>
    </row>
    <row r="240">
      <c r="A240" s="13" t="n"/>
      <c r="B240" s="13" t="n"/>
      <c r="C240" s="13">
        <f>IF(B240="","",IFERROR(VLOOKUP(B240,Journals!$A:$B,2,FALSE),IFERROR(VLOOKUP(B240,'ABDC list'!$A:$B,2,FALSE),"")))</f>
        <v/>
      </c>
      <c r="D240" s="13" t="n"/>
      <c r="E240" s="13" t="n"/>
      <c r="F240" s="14" t="n"/>
      <c r="G240" s="14" t="n"/>
      <c r="H240" s="13">
        <f>IF(OR(F240="",E240="Planned"),"",IF(G240&lt;&gt;"",G240-F240,TODAY()-F240))</f>
        <v/>
      </c>
      <c r="I240" s="11" t="n"/>
      <c r="J240" s="11" t="n"/>
      <c r="K240" s="13" t="n"/>
      <c r="L240" s="11" t="n"/>
      <c r="M240" s="14" t="n"/>
      <c r="N240" s="13" t="n"/>
      <c r="O240" s="13" t="n"/>
      <c r="P240" s="13">
        <f>IF(E240="Under review",COUNTIFS($E:$E,"Under review",$F:$F,"&lt;"&amp;F240)+COUNTIFS($E$1:E240,"Under review",$F$1:F240,F240),"")</f>
        <v/>
      </c>
      <c r="Q240" s="13">
        <f>IF(B240="","",A240&amp;"|"&amp;E240)</f>
        <v/>
      </c>
    </row>
    <row r="241">
      <c r="A241" s="13" t="n"/>
      <c r="B241" s="13" t="n"/>
      <c r="C241" s="13">
        <f>IF(B241="","",IFERROR(VLOOKUP(B241,Journals!$A:$B,2,FALSE),IFERROR(VLOOKUP(B241,'ABDC list'!$A:$B,2,FALSE),"")))</f>
        <v/>
      </c>
      <c r="D241" s="13" t="n"/>
      <c r="E241" s="13" t="n"/>
      <c r="F241" s="14" t="n"/>
      <c r="G241" s="14" t="n"/>
      <c r="H241" s="13">
        <f>IF(OR(F241="",E241="Planned"),"",IF(G241&lt;&gt;"",G241-F241,TODAY()-F241))</f>
        <v/>
      </c>
      <c r="I241" s="11" t="n"/>
      <c r="J241" s="11" t="n"/>
      <c r="K241" s="13" t="n"/>
      <c r="L241" s="11" t="n"/>
      <c r="M241" s="14" t="n"/>
      <c r="N241" s="13" t="n"/>
      <c r="O241" s="13" t="n"/>
      <c r="P241" s="13">
        <f>IF(E241="Under review",COUNTIFS($E:$E,"Under review",$F:$F,"&lt;"&amp;F241)+COUNTIFS($E$1:E241,"Under review",$F$1:F241,F241),"")</f>
        <v/>
      </c>
      <c r="Q241" s="13">
        <f>IF(B241="","",A241&amp;"|"&amp;E241)</f>
        <v/>
      </c>
    </row>
    <row r="242">
      <c r="A242" s="13" t="n"/>
      <c r="B242" s="13" t="n"/>
      <c r="C242" s="13">
        <f>IF(B242="","",IFERROR(VLOOKUP(B242,Journals!$A:$B,2,FALSE),IFERROR(VLOOKUP(B242,'ABDC list'!$A:$B,2,FALSE),"")))</f>
        <v/>
      </c>
      <c r="D242" s="13" t="n"/>
      <c r="E242" s="13" t="n"/>
      <c r="F242" s="14" t="n"/>
      <c r="G242" s="14" t="n"/>
      <c r="H242" s="13">
        <f>IF(OR(F242="",E242="Planned"),"",IF(G242&lt;&gt;"",G242-F242,TODAY()-F242))</f>
        <v/>
      </c>
      <c r="I242" s="11" t="n"/>
      <c r="J242" s="11" t="n"/>
      <c r="K242" s="13" t="n"/>
      <c r="L242" s="11" t="n"/>
      <c r="M242" s="14" t="n"/>
      <c r="N242" s="13" t="n"/>
      <c r="O242" s="13" t="n"/>
      <c r="P242" s="13">
        <f>IF(E242="Under review",COUNTIFS($E:$E,"Under review",$F:$F,"&lt;"&amp;F242)+COUNTIFS($E$1:E242,"Under review",$F$1:F242,F242),"")</f>
        <v/>
      </c>
      <c r="Q242" s="13">
        <f>IF(B242="","",A242&amp;"|"&amp;E242)</f>
        <v/>
      </c>
    </row>
    <row r="243">
      <c r="A243" s="13" t="n"/>
      <c r="B243" s="13" t="n"/>
      <c r="C243" s="13">
        <f>IF(B243="","",IFERROR(VLOOKUP(B243,Journals!$A:$B,2,FALSE),IFERROR(VLOOKUP(B243,'ABDC list'!$A:$B,2,FALSE),"")))</f>
        <v/>
      </c>
      <c r="D243" s="13" t="n"/>
      <c r="E243" s="13" t="n"/>
      <c r="F243" s="14" t="n"/>
      <c r="G243" s="14" t="n"/>
      <c r="H243" s="13">
        <f>IF(OR(F243="",E243="Planned"),"",IF(G243&lt;&gt;"",G243-F243,TODAY()-F243))</f>
        <v/>
      </c>
      <c r="I243" s="11" t="n"/>
      <c r="J243" s="11" t="n"/>
      <c r="K243" s="13" t="n"/>
      <c r="L243" s="11" t="n"/>
      <c r="M243" s="14" t="n"/>
      <c r="N243" s="13" t="n"/>
      <c r="O243" s="13" t="n"/>
      <c r="P243" s="13">
        <f>IF(E243="Under review",COUNTIFS($E:$E,"Under review",$F:$F,"&lt;"&amp;F243)+COUNTIFS($E$1:E243,"Under review",$F$1:F243,F243),"")</f>
        <v/>
      </c>
      <c r="Q243" s="13">
        <f>IF(B243="","",A243&amp;"|"&amp;E243)</f>
        <v/>
      </c>
    </row>
    <row r="244">
      <c r="A244" s="13" t="n"/>
      <c r="B244" s="13" t="n"/>
      <c r="C244" s="13">
        <f>IF(B244="","",IFERROR(VLOOKUP(B244,Journals!$A:$B,2,FALSE),IFERROR(VLOOKUP(B244,'ABDC list'!$A:$B,2,FALSE),"")))</f>
        <v/>
      </c>
      <c r="D244" s="13" t="n"/>
      <c r="E244" s="13" t="n"/>
      <c r="F244" s="14" t="n"/>
      <c r="G244" s="14" t="n"/>
      <c r="H244" s="13">
        <f>IF(OR(F244="",E244="Planned"),"",IF(G244&lt;&gt;"",G244-F244,TODAY()-F244))</f>
        <v/>
      </c>
      <c r="I244" s="11" t="n"/>
      <c r="J244" s="11" t="n"/>
      <c r="K244" s="13" t="n"/>
      <c r="L244" s="11" t="n"/>
      <c r="M244" s="14" t="n"/>
      <c r="N244" s="13" t="n"/>
      <c r="O244" s="13" t="n"/>
      <c r="P244" s="13">
        <f>IF(E244="Under review",COUNTIFS($E:$E,"Under review",$F:$F,"&lt;"&amp;F244)+COUNTIFS($E$1:E244,"Under review",$F$1:F244,F244),"")</f>
        <v/>
      </c>
      <c r="Q244" s="13">
        <f>IF(B244="","",A244&amp;"|"&amp;E244)</f>
        <v/>
      </c>
    </row>
    <row r="245">
      <c r="A245" s="13" t="n"/>
      <c r="B245" s="13" t="n"/>
      <c r="C245" s="13">
        <f>IF(B245="","",IFERROR(VLOOKUP(B245,Journals!$A:$B,2,FALSE),IFERROR(VLOOKUP(B245,'ABDC list'!$A:$B,2,FALSE),"")))</f>
        <v/>
      </c>
      <c r="D245" s="13" t="n"/>
      <c r="E245" s="13" t="n"/>
      <c r="F245" s="14" t="n"/>
      <c r="G245" s="14" t="n"/>
      <c r="H245" s="13">
        <f>IF(OR(F245="",E245="Planned"),"",IF(G245&lt;&gt;"",G245-F245,TODAY()-F245))</f>
        <v/>
      </c>
      <c r="I245" s="11" t="n"/>
      <c r="J245" s="11" t="n"/>
      <c r="K245" s="13" t="n"/>
      <c r="L245" s="11" t="n"/>
      <c r="M245" s="14" t="n"/>
      <c r="N245" s="13" t="n"/>
      <c r="O245" s="13" t="n"/>
      <c r="P245" s="13">
        <f>IF(E245="Under review",COUNTIFS($E:$E,"Under review",$F:$F,"&lt;"&amp;F245)+COUNTIFS($E$1:E245,"Under review",$F$1:F245,F245),"")</f>
        <v/>
      </c>
      <c r="Q245" s="13">
        <f>IF(B245="","",A245&amp;"|"&amp;E245)</f>
        <v/>
      </c>
    </row>
    <row r="246">
      <c r="A246" s="13" t="n"/>
      <c r="B246" s="13" t="n"/>
      <c r="C246" s="13">
        <f>IF(B246="","",IFERROR(VLOOKUP(B246,Journals!$A:$B,2,FALSE),IFERROR(VLOOKUP(B246,'ABDC list'!$A:$B,2,FALSE),"")))</f>
        <v/>
      </c>
      <c r="D246" s="13" t="n"/>
      <c r="E246" s="13" t="n"/>
      <c r="F246" s="14" t="n"/>
      <c r="G246" s="14" t="n"/>
      <c r="H246" s="13">
        <f>IF(OR(F246="",E246="Planned"),"",IF(G246&lt;&gt;"",G246-F246,TODAY()-F246))</f>
        <v/>
      </c>
      <c r="I246" s="11" t="n"/>
      <c r="J246" s="11" t="n"/>
      <c r="K246" s="13" t="n"/>
      <c r="L246" s="11" t="n"/>
      <c r="M246" s="14" t="n"/>
      <c r="N246" s="13" t="n"/>
      <c r="O246" s="13" t="n"/>
      <c r="P246" s="13">
        <f>IF(E246="Under review",COUNTIFS($E:$E,"Under review",$F:$F,"&lt;"&amp;F246)+COUNTIFS($E$1:E246,"Under review",$F$1:F246,F246),"")</f>
        <v/>
      </c>
      <c r="Q246" s="13">
        <f>IF(B246="","",A246&amp;"|"&amp;E246)</f>
        <v/>
      </c>
    </row>
    <row r="247">
      <c r="A247" s="13" t="n"/>
      <c r="B247" s="13" t="n"/>
      <c r="C247" s="13">
        <f>IF(B247="","",IFERROR(VLOOKUP(B247,Journals!$A:$B,2,FALSE),IFERROR(VLOOKUP(B247,'ABDC list'!$A:$B,2,FALSE),"")))</f>
        <v/>
      </c>
      <c r="D247" s="13" t="n"/>
      <c r="E247" s="13" t="n"/>
      <c r="F247" s="14" t="n"/>
      <c r="G247" s="14" t="n"/>
      <c r="H247" s="13">
        <f>IF(OR(F247="",E247="Planned"),"",IF(G247&lt;&gt;"",G247-F247,TODAY()-F247))</f>
        <v/>
      </c>
      <c r="I247" s="11" t="n"/>
      <c r="J247" s="11" t="n"/>
      <c r="K247" s="13" t="n"/>
      <c r="L247" s="11" t="n"/>
      <c r="M247" s="14" t="n"/>
      <c r="N247" s="13" t="n"/>
      <c r="O247" s="13" t="n"/>
      <c r="P247" s="13">
        <f>IF(E247="Under review",COUNTIFS($E:$E,"Under review",$F:$F,"&lt;"&amp;F247)+COUNTIFS($E$1:E247,"Under review",$F$1:F247,F247),"")</f>
        <v/>
      </c>
      <c r="Q247" s="13">
        <f>IF(B247="","",A247&amp;"|"&amp;E247)</f>
        <v/>
      </c>
    </row>
    <row r="248">
      <c r="A248" s="13" t="n"/>
      <c r="B248" s="13" t="n"/>
      <c r="C248" s="13">
        <f>IF(B248="","",IFERROR(VLOOKUP(B248,Journals!$A:$B,2,FALSE),IFERROR(VLOOKUP(B248,'ABDC list'!$A:$B,2,FALSE),"")))</f>
        <v/>
      </c>
      <c r="D248" s="13" t="n"/>
      <c r="E248" s="13" t="n"/>
      <c r="F248" s="14" t="n"/>
      <c r="G248" s="14" t="n"/>
      <c r="H248" s="13">
        <f>IF(OR(F248="",E248="Planned"),"",IF(G248&lt;&gt;"",G248-F248,TODAY()-F248))</f>
        <v/>
      </c>
      <c r="I248" s="11" t="n"/>
      <c r="J248" s="11" t="n"/>
      <c r="K248" s="13" t="n"/>
      <c r="L248" s="11" t="n"/>
      <c r="M248" s="14" t="n"/>
      <c r="N248" s="13" t="n"/>
      <c r="O248" s="13" t="n"/>
      <c r="P248" s="13">
        <f>IF(E248="Under review",COUNTIFS($E:$E,"Under review",$F:$F,"&lt;"&amp;F248)+COUNTIFS($E$1:E248,"Under review",$F$1:F248,F248),"")</f>
        <v/>
      </c>
      <c r="Q248" s="13">
        <f>IF(B248="","",A248&amp;"|"&amp;E248)</f>
        <v/>
      </c>
    </row>
    <row r="249">
      <c r="A249" s="13" t="n"/>
      <c r="B249" s="13" t="n"/>
      <c r="C249" s="13">
        <f>IF(B249="","",IFERROR(VLOOKUP(B249,Journals!$A:$B,2,FALSE),IFERROR(VLOOKUP(B249,'ABDC list'!$A:$B,2,FALSE),"")))</f>
        <v/>
      </c>
      <c r="D249" s="13" t="n"/>
      <c r="E249" s="13" t="n"/>
      <c r="F249" s="14" t="n"/>
      <c r="G249" s="14" t="n"/>
      <c r="H249" s="13">
        <f>IF(OR(F249="",E249="Planned"),"",IF(G249&lt;&gt;"",G249-F249,TODAY()-F249))</f>
        <v/>
      </c>
      <c r="I249" s="11" t="n"/>
      <c r="J249" s="11" t="n"/>
      <c r="K249" s="13" t="n"/>
      <c r="L249" s="11" t="n"/>
      <c r="M249" s="14" t="n"/>
      <c r="N249" s="13" t="n"/>
      <c r="O249" s="13" t="n"/>
      <c r="P249" s="13">
        <f>IF(E249="Under review",COUNTIFS($E:$E,"Under review",$F:$F,"&lt;"&amp;F249)+COUNTIFS($E$1:E249,"Under review",$F$1:F249,F249),"")</f>
        <v/>
      </c>
      <c r="Q249" s="13">
        <f>IF(B249="","",A249&amp;"|"&amp;E249)</f>
        <v/>
      </c>
    </row>
    <row r="250">
      <c r="A250" s="13" t="n"/>
      <c r="B250" s="13" t="n"/>
      <c r="C250" s="13">
        <f>IF(B250="","",IFERROR(VLOOKUP(B250,Journals!$A:$B,2,FALSE),IFERROR(VLOOKUP(B250,'ABDC list'!$A:$B,2,FALSE),"")))</f>
        <v/>
      </c>
      <c r="D250" s="13" t="n"/>
      <c r="E250" s="13" t="n"/>
      <c r="F250" s="14" t="n"/>
      <c r="G250" s="14" t="n"/>
      <c r="H250" s="13">
        <f>IF(OR(F250="",E250="Planned"),"",IF(G250&lt;&gt;"",G250-F250,TODAY()-F250))</f>
        <v/>
      </c>
      <c r="I250" s="11" t="n"/>
      <c r="J250" s="11" t="n"/>
      <c r="K250" s="13" t="n"/>
      <c r="L250" s="11" t="n"/>
      <c r="M250" s="14" t="n"/>
      <c r="N250" s="13" t="n"/>
      <c r="O250" s="13" t="n"/>
      <c r="P250" s="13">
        <f>IF(E250="Under review",COUNTIFS($E:$E,"Under review",$F:$F,"&lt;"&amp;F250)+COUNTIFS($E$1:E250,"Under review",$F$1:F250,F250),"")</f>
        <v/>
      </c>
      <c r="Q250" s="13">
        <f>IF(B250="","",A250&amp;"|"&amp;E250)</f>
        <v/>
      </c>
    </row>
    <row r="251">
      <c r="A251" s="13" t="n"/>
      <c r="B251" s="13" t="n"/>
      <c r="C251" s="13">
        <f>IF(B251="","",IFERROR(VLOOKUP(B251,Journals!$A:$B,2,FALSE),IFERROR(VLOOKUP(B251,'ABDC list'!$A:$B,2,FALSE),"")))</f>
        <v/>
      </c>
      <c r="D251" s="13" t="n"/>
      <c r="E251" s="13" t="n"/>
      <c r="F251" s="14" t="n"/>
      <c r="G251" s="14" t="n"/>
      <c r="H251" s="13">
        <f>IF(OR(F251="",E251="Planned"),"",IF(G251&lt;&gt;"",G251-F251,TODAY()-F251))</f>
        <v/>
      </c>
      <c r="I251" s="11" t="n"/>
      <c r="J251" s="11" t="n"/>
      <c r="K251" s="13" t="n"/>
      <c r="L251" s="11" t="n"/>
      <c r="M251" s="14" t="n"/>
      <c r="N251" s="13" t="n"/>
      <c r="O251" s="13" t="n"/>
      <c r="P251" s="13">
        <f>IF(E251="Under review",COUNTIFS($E:$E,"Under review",$F:$F,"&lt;"&amp;F251)+COUNTIFS($E$1:E251,"Under review",$F$1:F251,F251),"")</f>
        <v/>
      </c>
      <c r="Q251" s="13">
        <f>IF(B251="","",A251&amp;"|"&amp;E251)</f>
        <v/>
      </c>
    </row>
    <row r="252">
      <c r="A252" s="13" t="n"/>
      <c r="B252" s="13" t="n"/>
      <c r="C252" s="13">
        <f>IF(B252="","",IFERROR(VLOOKUP(B252,Journals!$A:$B,2,FALSE),IFERROR(VLOOKUP(B252,'ABDC list'!$A:$B,2,FALSE),"")))</f>
        <v/>
      </c>
      <c r="D252" s="13" t="n"/>
      <c r="E252" s="13" t="n"/>
      <c r="F252" s="14" t="n"/>
      <c r="G252" s="14" t="n"/>
      <c r="H252" s="13">
        <f>IF(OR(F252="",E252="Planned"),"",IF(G252&lt;&gt;"",G252-F252,TODAY()-F252))</f>
        <v/>
      </c>
      <c r="I252" s="11" t="n"/>
      <c r="J252" s="11" t="n"/>
      <c r="K252" s="13" t="n"/>
      <c r="L252" s="11" t="n"/>
      <c r="M252" s="14" t="n"/>
      <c r="N252" s="13" t="n"/>
      <c r="O252" s="13" t="n"/>
      <c r="P252" s="13">
        <f>IF(E252="Under review",COUNTIFS($E:$E,"Under review",$F:$F,"&lt;"&amp;F252)+COUNTIFS($E$1:E252,"Under review",$F$1:F252,F252),"")</f>
        <v/>
      </c>
      <c r="Q252" s="13">
        <f>IF(B252="","",A252&amp;"|"&amp;E252)</f>
        <v/>
      </c>
    </row>
    <row r="253">
      <c r="A253" s="13" t="n"/>
      <c r="B253" s="13" t="n"/>
      <c r="C253" s="13">
        <f>IF(B253="","",IFERROR(VLOOKUP(B253,Journals!$A:$B,2,FALSE),IFERROR(VLOOKUP(B253,'ABDC list'!$A:$B,2,FALSE),"")))</f>
        <v/>
      </c>
      <c r="D253" s="13" t="n"/>
      <c r="E253" s="13" t="n"/>
      <c r="F253" s="14" t="n"/>
      <c r="G253" s="14" t="n"/>
      <c r="H253" s="13">
        <f>IF(OR(F253="",E253="Planned"),"",IF(G253&lt;&gt;"",G253-F253,TODAY()-F253))</f>
        <v/>
      </c>
      <c r="I253" s="11" t="n"/>
      <c r="J253" s="11" t="n"/>
      <c r="K253" s="13" t="n"/>
      <c r="L253" s="11" t="n"/>
      <c r="M253" s="14" t="n"/>
      <c r="N253" s="13" t="n"/>
      <c r="O253" s="13" t="n"/>
      <c r="P253" s="13">
        <f>IF(E253="Under review",COUNTIFS($E:$E,"Under review",$F:$F,"&lt;"&amp;F253)+COUNTIFS($E$1:E253,"Under review",$F$1:F253,F253),"")</f>
        <v/>
      </c>
      <c r="Q253" s="13">
        <f>IF(B253="","",A253&amp;"|"&amp;E253)</f>
        <v/>
      </c>
    </row>
    <row r="254">
      <c r="A254" s="13" t="n"/>
      <c r="B254" s="13" t="n"/>
      <c r="C254" s="13">
        <f>IF(B254="","",IFERROR(VLOOKUP(B254,Journals!$A:$B,2,FALSE),IFERROR(VLOOKUP(B254,'ABDC list'!$A:$B,2,FALSE),"")))</f>
        <v/>
      </c>
      <c r="D254" s="13" t="n"/>
      <c r="E254" s="13" t="n"/>
      <c r="F254" s="14" t="n"/>
      <c r="G254" s="14" t="n"/>
      <c r="H254" s="13">
        <f>IF(OR(F254="",E254="Planned"),"",IF(G254&lt;&gt;"",G254-F254,TODAY()-F254))</f>
        <v/>
      </c>
      <c r="I254" s="11" t="n"/>
      <c r="J254" s="11" t="n"/>
      <c r="K254" s="13" t="n"/>
      <c r="L254" s="11" t="n"/>
      <c r="M254" s="14" t="n"/>
      <c r="N254" s="13" t="n"/>
      <c r="O254" s="13" t="n"/>
      <c r="P254" s="13">
        <f>IF(E254="Under review",COUNTIFS($E:$E,"Under review",$F:$F,"&lt;"&amp;F254)+COUNTIFS($E$1:E254,"Under review",$F$1:F254,F254),"")</f>
        <v/>
      </c>
      <c r="Q254" s="13">
        <f>IF(B254="","",A254&amp;"|"&amp;E254)</f>
        <v/>
      </c>
    </row>
    <row r="255">
      <c r="A255" s="13" t="n"/>
      <c r="B255" s="13" t="n"/>
      <c r="C255" s="13">
        <f>IF(B255="","",IFERROR(VLOOKUP(B255,Journals!$A:$B,2,FALSE),IFERROR(VLOOKUP(B255,'ABDC list'!$A:$B,2,FALSE),"")))</f>
        <v/>
      </c>
      <c r="D255" s="13" t="n"/>
      <c r="E255" s="13" t="n"/>
      <c r="F255" s="14" t="n"/>
      <c r="G255" s="14" t="n"/>
      <c r="H255" s="13">
        <f>IF(OR(F255="",E255="Planned"),"",IF(G255&lt;&gt;"",G255-F255,TODAY()-F255))</f>
        <v/>
      </c>
      <c r="I255" s="11" t="n"/>
      <c r="J255" s="11" t="n"/>
      <c r="K255" s="13" t="n"/>
      <c r="L255" s="11" t="n"/>
      <c r="M255" s="14" t="n"/>
      <c r="N255" s="13" t="n"/>
      <c r="O255" s="13" t="n"/>
      <c r="P255" s="13">
        <f>IF(E255="Under review",COUNTIFS($E:$E,"Under review",$F:$F,"&lt;"&amp;F255)+COUNTIFS($E$1:E255,"Under review",$F$1:F255,F255),"")</f>
        <v/>
      </c>
      <c r="Q255" s="13">
        <f>IF(B255="","",A255&amp;"|"&amp;E255)</f>
        <v/>
      </c>
    </row>
    <row r="256">
      <c r="A256" s="13" t="n"/>
      <c r="B256" s="13" t="n"/>
      <c r="C256" s="13">
        <f>IF(B256="","",IFERROR(VLOOKUP(B256,Journals!$A:$B,2,FALSE),IFERROR(VLOOKUP(B256,'ABDC list'!$A:$B,2,FALSE),"")))</f>
        <v/>
      </c>
      <c r="D256" s="13" t="n"/>
      <c r="E256" s="13" t="n"/>
      <c r="F256" s="14" t="n"/>
      <c r="G256" s="14" t="n"/>
      <c r="H256" s="13">
        <f>IF(OR(F256="",E256="Planned"),"",IF(G256&lt;&gt;"",G256-F256,TODAY()-F256))</f>
        <v/>
      </c>
      <c r="I256" s="11" t="n"/>
      <c r="J256" s="11" t="n"/>
      <c r="K256" s="13" t="n"/>
      <c r="L256" s="11" t="n"/>
      <c r="M256" s="14" t="n"/>
      <c r="N256" s="13" t="n"/>
      <c r="O256" s="13" t="n"/>
      <c r="P256" s="13">
        <f>IF(E256="Under review",COUNTIFS($E:$E,"Under review",$F:$F,"&lt;"&amp;F256)+COUNTIFS($E$1:E256,"Under review",$F$1:F256,F256),"")</f>
        <v/>
      </c>
      <c r="Q256" s="13">
        <f>IF(B256="","",A256&amp;"|"&amp;E256)</f>
        <v/>
      </c>
    </row>
    <row r="257">
      <c r="A257" s="13" t="n"/>
      <c r="B257" s="13" t="n"/>
      <c r="C257" s="13">
        <f>IF(B257="","",IFERROR(VLOOKUP(B257,Journals!$A:$B,2,FALSE),IFERROR(VLOOKUP(B257,'ABDC list'!$A:$B,2,FALSE),"")))</f>
        <v/>
      </c>
      <c r="D257" s="13" t="n"/>
      <c r="E257" s="13" t="n"/>
      <c r="F257" s="14" t="n"/>
      <c r="G257" s="14" t="n"/>
      <c r="H257" s="13">
        <f>IF(OR(F257="",E257="Planned"),"",IF(G257&lt;&gt;"",G257-F257,TODAY()-F257))</f>
        <v/>
      </c>
      <c r="I257" s="11" t="n"/>
      <c r="J257" s="11" t="n"/>
      <c r="K257" s="13" t="n"/>
      <c r="L257" s="11" t="n"/>
      <c r="M257" s="14" t="n"/>
      <c r="N257" s="13" t="n"/>
      <c r="O257" s="13" t="n"/>
      <c r="P257" s="13">
        <f>IF(E257="Under review",COUNTIFS($E:$E,"Under review",$F:$F,"&lt;"&amp;F257)+COUNTIFS($E$1:E257,"Under review",$F$1:F257,F257),"")</f>
        <v/>
      </c>
      <c r="Q257" s="13">
        <f>IF(B257="","",A257&amp;"|"&amp;E257)</f>
        <v/>
      </c>
    </row>
    <row r="258">
      <c r="A258" s="13" t="n"/>
      <c r="B258" s="13" t="n"/>
      <c r="C258" s="13">
        <f>IF(B258="","",IFERROR(VLOOKUP(B258,Journals!$A:$B,2,FALSE),IFERROR(VLOOKUP(B258,'ABDC list'!$A:$B,2,FALSE),"")))</f>
        <v/>
      </c>
      <c r="D258" s="13" t="n"/>
      <c r="E258" s="13" t="n"/>
      <c r="F258" s="14" t="n"/>
      <c r="G258" s="14" t="n"/>
      <c r="H258" s="13">
        <f>IF(OR(F258="",E258="Planned"),"",IF(G258&lt;&gt;"",G258-F258,TODAY()-F258))</f>
        <v/>
      </c>
      <c r="I258" s="11" t="n"/>
      <c r="J258" s="11" t="n"/>
      <c r="K258" s="13" t="n"/>
      <c r="L258" s="11" t="n"/>
      <c r="M258" s="14" t="n"/>
      <c r="N258" s="13" t="n"/>
      <c r="O258" s="13" t="n"/>
      <c r="P258" s="13">
        <f>IF(E258="Under review",COUNTIFS($E:$E,"Under review",$F:$F,"&lt;"&amp;F258)+COUNTIFS($E$1:E258,"Under review",$F$1:F258,F258),"")</f>
        <v/>
      </c>
      <c r="Q258" s="13">
        <f>IF(B258="","",A258&amp;"|"&amp;E258)</f>
        <v/>
      </c>
    </row>
    <row r="259">
      <c r="A259" s="13" t="n"/>
      <c r="B259" s="13" t="n"/>
      <c r="C259" s="13">
        <f>IF(B259="","",IFERROR(VLOOKUP(B259,Journals!$A:$B,2,FALSE),IFERROR(VLOOKUP(B259,'ABDC list'!$A:$B,2,FALSE),"")))</f>
        <v/>
      </c>
      <c r="D259" s="13" t="n"/>
      <c r="E259" s="13" t="n"/>
      <c r="F259" s="14" t="n"/>
      <c r="G259" s="14" t="n"/>
      <c r="H259" s="13">
        <f>IF(OR(F259="",E259="Planned"),"",IF(G259&lt;&gt;"",G259-F259,TODAY()-F259))</f>
        <v/>
      </c>
      <c r="I259" s="11" t="n"/>
      <c r="J259" s="11" t="n"/>
      <c r="K259" s="13" t="n"/>
      <c r="L259" s="11" t="n"/>
      <c r="M259" s="14" t="n"/>
      <c r="N259" s="13" t="n"/>
      <c r="O259" s="13" t="n"/>
      <c r="P259" s="13">
        <f>IF(E259="Under review",COUNTIFS($E:$E,"Under review",$F:$F,"&lt;"&amp;F259)+COUNTIFS($E$1:E259,"Under review",$F$1:F259,F259),"")</f>
        <v/>
      </c>
      <c r="Q259" s="13">
        <f>IF(B259="","",A259&amp;"|"&amp;E259)</f>
        <v/>
      </c>
    </row>
    <row r="260">
      <c r="A260" s="13" t="n"/>
      <c r="B260" s="13" t="n"/>
      <c r="C260" s="13">
        <f>IF(B260="","",IFERROR(VLOOKUP(B260,Journals!$A:$B,2,FALSE),IFERROR(VLOOKUP(B260,'ABDC list'!$A:$B,2,FALSE),"")))</f>
        <v/>
      </c>
      <c r="D260" s="13" t="n"/>
      <c r="E260" s="13" t="n"/>
      <c r="F260" s="14" t="n"/>
      <c r="G260" s="14" t="n"/>
      <c r="H260" s="13">
        <f>IF(OR(F260="",E260="Planned"),"",IF(G260&lt;&gt;"",G260-F260,TODAY()-F260))</f>
        <v/>
      </c>
      <c r="I260" s="11" t="n"/>
      <c r="J260" s="11" t="n"/>
      <c r="K260" s="13" t="n"/>
      <c r="L260" s="11" t="n"/>
      <c r="M260" s="14" t="n"/>
      <c r="N260" s="13" t="n"/>
      <c r="O260" s="13" t="n"/>
      <c r="P260" s="13">
        <f>IF(E260="Under review",COUNTIFS($E:$E,"Under review",$F:$F,"&lt;"&amp;F260)+COUNTIFS($E$1:E260,"Under review",$F$1:F260,F260),"")</f>
        <v/>
      </c>
      <c r="Q260" s="13">
        <f>IF(B260="","",A260&amp;"|"&amp;E260)</f>
        <v/>
      </c>
    </row>
    <row r="261">
      <c r="A261" s="13" t="n"/>
      <c r="B261" s="13" t="n"/>
      <c r="C261" s="13">
        <f>IF(B261="","",IFERROR(VLOOKUP(B261,Journals!$A:$B,2,FALSE),IFERROR(VLOOKUP(B261,'ABDC list'!$A:$B,2,FALSE),"")))</f>
        <v/>
      </c>
      <c r="D261" s="13" t="n"/>
      <c r="E261" s="13" t="n"/>
      <c r="F261" s="14" t="n"/>
      <c r="G261" s="14" t="n"/>
      <c r="H261" s="13">
        <f>IF(OR(F261="",E261="Planned"),"",IF(G261&lt;&gt;"",G261-F261,TODAY()-F261))</f>
        <v/>
      </c>
      <c r="I261" s="11" t="n"/>
      <c r="J261" s="11" t="n"/>
      <c r="K261" s="13" t="n"/>
      <c r="L261" s="11" t="n"/>
      <c r="M261" s="14" t="n"/>
      <c r="N261" s="13" t="n"/>
      <c r="O261" s="13" t="n"/>
      <c r="P261" s="13">
        <f>IF(E261="Under review",COUNTIFS($E:$E,"Under review",$F:$F,"&lt;"&amp;F261)+COUNTIFS($E$1:E261,"Under review",$F$1:F261,F261),"")</f>
        <v/>
      </c>
      <c r="Q261" s="13">
        <f>IF(B261="","",A261&amp;"|"&amp;E261)</f>
        <v/>
      </c>
    </row>
    <row r="262">
      <c r="A262" s="13" t="n"/>
      <c r="B262" s="13" t="n"/>
      <c r="C262" s="13">
        <f>IF(B262="","",IFERROR(VLOOKUP(B262,Journals!$A:$B,2,FALSE),IFERROR(VLOOKUP(B262,'ABDC list'!$A:$B,2,FALSE),"")))</f>
        <v/>
      </c>
      <c r="D262" s="13" t="n"/>
      <c r="E262" s="13" t="n"/>
      <c r="F262" s="14" t="n"/>
      <c r="G262" s="14" t="n"/>
      <c r="H262" s="13">
        <f>IF(OR(F262="",E262="Planned"),"",IF(G262&lt;&gt;"",G262-F262,TODAY()-F262))</f>
        <v/>
      </c>
      <c r="I262" s="11" t="n"/>
      <c r="J262" s="11" t="n"/>
      <c r="K262" s="13" t="n"/>
      <c r="L262" s="11" t="n"/>
      <c r="M262" s="14" t="n"/>
      <c r="N262" s="13" t="n"/>
      <c r="O262" s="13" t="n"/>
      <c r="P262" s="13">
        <f>IF(E262="Under review",COUNTIFS($E:$E,"Under review",$F:$F,"&lt;"&amp;F262)+COUNTIFS($E$1:E262,"Under review",$F$1:F262,F262),"")</f>
        <v/>
      </c>
      <c r="Q262" s="13">
        <f>IF(B262="","",A262&amp;"|"&amp;E262)</f>
        <v/>
      </c>
    </row>
    <row r="263">
      <c r="A263" s="13" t="n"/>
      <c r="B263" s="13" t="n"/>
      <c r="C263" s="13">
        <f>IF(B263="","",IFERROR(VLOOKUP(B263,Journals!$A:$B,2,FALSE),IFERROR(VLOOKUP(B263,'ABDC list'!$A:$B,2,FALSE),"")))</f>
        <v/>
      </c>
      <c r="D263" s="13" t="n"/>
      <c r="E263" s="13" t="n"/>
      <c r="F263" s="14" t="n"/>
      <c r="G263" s="14" t="n"/>
      <c r="H263" s="13">
        <f>IF(OR(F263="",E263="Planned"),"",IF(G263&lt;&gt;"",G263-F263,TODAY()-F263))</f>
        <v/>
      </c>
      <c r="I263" s="11" t="n"/>
      <c r="J263" s="11" t="n"/>
      <c r="K263" s="13" t="n"/>
      <c r="L263" s="11" t="n"/>
      <c r="M263" s="14" t="n"/>
      <c r="N263" s="13" t="n"/>
      <c r="O263" s="13" t="n"/>
      <c r="P263" s="13">
        <f>IF(E263="Under review",COUNTIFS($E:$E,"Under review",$F:$F,"&lt;"&amp;F263)+COUNTIFS($E$1:E263,"Under review",$F$1:F263,F263),"")</f>
        <v/>
      </c>
      <c r="Q263" s="13">
        <f>IF(B263="","",A263&amp;"|"&amp;E263)</f>
        <v/>
      </c>
    </row>
    <row r="264">
      <c r="A264" s="13" t="n"/>
      <c r="B264" s="13" t="n"/>
      <c r="C264" s="13">
        <f>IF(B264="","",IFERROR(VLOOKUP(B264,Journals!$A:$B,2,FALSE),IFERROR(VLOOKUP(B264,'ABDC list'!$A:$B,2,FALSE),"")))</f>
        <v/>
      </c>
      <c r="D264" s="13" t="n"/>
      <c r="E264" s="13" t="n"/>
      <c r="F264" s="14" t="n"/>
      <c r="G264" s="14" t="n"/>
      <c r="H264" s="13">
        <f>IF(OR(F264="",E264="Planned"),"",IF(G264&lt;&gt;"",G264-F264,TODAY()-F264))</f>
        <v/>
      </c>
      <c r="I264" s="11" t="n"/>
      <c r="J264" s="11" t="n"/>
      <c r="K264" s="13" t="n"/>
      <c r="L264" s="11" t="n"/>
      <c r="M264" s="14" t="n"/>
      <c r="N264" s="13" t="n"/>
      <c r="O264" s="13" t="n"/>
      <c r="P264" s="13">
        <f>IF(E264="Under review",COUNTIFS($E:$E,"Under review",$F:$F,"&lt;"&amp;F264)+COUNTIFS($E$1:E264,"Under review",$F$1:F264,F264),"")</f>
        <v/>
      </c>
      <c r="Q264" s="13">
        <f>IF(B264="","",A264&amp;"|"&amp;E264)</f>
        <v/>
      </c>
    </row>
    <row r="265">
      <c r="A265" s="13" t="n"/>
      <c r="B265" s="13" t="n"/>
      <c r="C265" s="13">
        <f>IF(B265="","",IFERROR(VLOOKUP(B265,Journals!$A:$B,2,FALSE),IFERROR(VLOOKUP(B265,'ABDC list'!$A:$B,2,FALSE),"")))</f>
        <v/>
      </c>
      <c r="D265" s="13" t="n"/>
      <c r="E265" s="13" t="n"/>
      <c r="F265" s="14" t="n"/>
      <c r="G265" s="14" t="n"/>
      <c r="H265" s="13">
        <f>IF(OR(F265="",E265="Planned"),"",IF(G265&lt;&gt;"",G265-F265,TODAY()-F265))</f>
        <v/>
      </c>
      <c r="I265" s="11" t="n"/>
      <c r="J265" s="11" t="n"/>
      <c r="K265" s="13" t="n"/>
      <c r="L265" s="11" t="n"/>
      <c r="M265" s="14" t="n"/>
      <c r="N265" s="13" t="n"/>
      <c r="O265" s="13" t="n"/>
      <c r="P265" s="13">
        <f>IF(E265="Under review",COUNTIFS($E:$E,"Under review",$F:$F,"&lt;"&amp;F265)+COUNTIFS($E$1:E265,"Under review",$F$1:F265,F265),"")</f>
        <v/>
      </c>
      <c r="Q265" s="13">
        <f>IF(B265="","",A265&amp;"|"&amp;E265)</f>
        <v/>
      </c>
    </row>
    <row r="266">
      <c r="A266" s="13" t="n"/>
      <c r="B266" s="13" t="n"/>
      <c r="C266" s="13">
        <f>IF(B266="","",IFERROR(VLOOKUP(B266,Journals!$A:$B,2,FALSE),IFERROR(VLOOKUP(B266,'ABDC list'!$A:$B,2,FALSE),"")))</f>
        <v/>
      </c>
      <c r="D266" s="13" t="n"/>
      <c r="E266" s="13" t="n"/>
      <c r="F266" s="14" t="n"/>
      <c r="G266" s="14" t="n"/>
      <c r="H266" s="13">
        <f>IF(OR(F266="",E266="Planned"),"",IF(G266&lt;&gt;"",G266-F266,TODAY()-F266))</f>
        <v/>
      </c>
      <c r="I266" s="11" t="n"/>
      <c r="J266" s="11" t="n"/>
      <c r="K266" s="13" t="n"/>
      <c r="L266" s="11" t="n"/>
      <c r="M266" s="14" t="n"/>
      <c r="N266" s="13" t="n"/>
      <c r="O266" s="13" t="n"/>
      <c r="P266" s="13">
        <f>IF(E266="Under review",COUNTIFS($E:$E,"Under review",$F:$F,"&lt;"&amp;F266)+COUNTIFS($E$1:E266,"Under review",$F$1:F266,F266),"")</f>
        <v/>
      </c>
      <c r="Q266" s="13">
        <f>IF(B266="","",A266&amp;"|"&amp;E266)</f>
        <v/>
      </c>
    </row>
    <row r="267">
      <c r="A267" s="13" t="n"/>
      <c r="B267" s="13" t="n"/>
      <c r="C267" s="13">
        <f>IF(B267="","",IFERROR(VLOOKUP(B267,Journals!$A:$B,2,FALSE),IFERROR(VLOOKUP(B267,'ABDC list'!$A:$B,2,FALSE),"")))</f>
        <v/>
      </c>
      <c r="D267" s="13" t="n"/>
      <c r="E267" s="13" t="n"/>
      <c r="F267" s="14" t="n"/>
      <c r="G267" s="14" t="n"/>
      <c r="H267" s="13">
        <f>IF(OR(F267="",E267="Planned"),"",IF(G267&lt;&gt;"",G267-F267,TODAY()-F267))</f>
        <v/>
      </c>
      <c r="I267" s="11" t="n"/>
      <c r="J267" s="11" t="n"/>
      <c r="K267" s="13" t="n"/>
      <c r="L267" s="11" t="n"/>
      <c r="M267" s="14" t="n"/>
      <c r="N267" s="13" t="n"/>
      <c r="O267" s="13" t="n"/>
      <c r="P267" s="13">
        <f>IF(E267="Under review",COUNTIFS($E:$E,"Under review",$F:$F,"&lt;"&amp;F267)+COUNTIFS($E$1:E267,"Under review",$F$1:F267,F267),"")</f>
        <v/>
      </c>
      <c r="Q267" s="13">
        <f>IF(B267="","",A267&amp;"|"&amp;E267)</f>
        <v/>
      </c>
    </row>
    <row r="268">
      <c r="A268" s="13" t="n"/>
      <c r="B268" s="13" t="n"/>
      <c r="C268" s="13">
        <f>IF(B268="","",IFERROR(VLOOKUP(B268,Journals!$A:$B,2,FALSE),IFERROR(VLOOKUP(B268,'ABDC list'!$A:$B,2,FALSE),"")))</f>
        <v/>
      </c>
      <c r="D268" s="13" t="n"/>
      <c r="E268" s="13" t="n"/>
      <c r="F268" s="14" t="n"/>
      <c r="G268" s="14" t="n"/>
      <c r="H268" s="13">
        <f>IF(OR(F268="",E268="Planned"),"",IF(G268&lt;&gt;"",G268-F268,TODAY()-F268))</f>
        <v/>
      </c>
      <c r="I268" s="11" t="n"/>
      <c r="J268" s="11" t="n"/>
      <c r="K268" s="13" t="n"/>
      <c r="L268" s="11" t="n"/>
      <c r="M268" s="14" t="n"/>
      <c r="N268" s="13" t="n"/>
      <c r="O268" s="13" t="n"/>
      <c r="P268" s="13">
        <f>IF(E268="Under review",COUNTIFS($E:$E,"Under review",$F:$F,"&lt;"&amp;F268)+COUNTIFS($E$1:E268,"Under review",$F$1:F268,F268),"")</f>
        <v/>
      </c>
      <c r="Q268" s="13">
        <f>IF(B268="","",A268&amp;"|"&amp;E268)</f>
        <v/>
      </c>
    </row>
    <row r="269">
      <c r="A269" s="13" t="n"/>
      <c r="B269" s="13" t="n"/>
      <c r="C269" s="13">
        <f>IF(B269="","",IFERROR(VLOOKUP(B269,Journals!$A:$B,2,FALSE),IFERROR(VLOOKUP(B269,'ABDC list'!$A:$B,2,FALSE),"")))</f>
        <v/>
      </c>
      <c r="D269" s="13" t="n"/>
      <c r="E269" s="13" t="n"/>
      <c r="F269" s="14" t="n"/>
      <c r="G269" s="14" t="n"/>
      <c r="H269" s="13">
        <f>IF(OR(F269="",E269="Planned"),"",IF(G269&lt;&gt;"",G269-F269,TODAY()-F269))</f>
        <v/>
      </c>
      <c r="I269" s="11" t="n"/>
      <c r="J269" s="11" t="n"/>
      <c r="K269" s="13" t="n"/>
      <c r="L269" s="11" t="n"/>
      <c r="M269" s="14" t="n"/>
      <c r="N269" s="13" t="n"/>
      <c r="O269" s="13" t="n"/>
      <c r="P269" s="13">
        <f>IF(E269="Under review",COUNTIFS($E:$E,"Under review",$F:$F,"&lt;"&amp;F269)+COUNTIFS($E$1:E269,"Under review",$F$1:F269,F269),"")</f>
        <v/>
      </c>
      <c r="Q269" s="13">
        <f>IF(B269="","",A269&amp;"|"&amp;E269)</f>
        <v/>
      </c>
    </row>
    <row r="270">
      <c r="A270" s="13" t="n"/>
      <c r="B270" s="13" t="n"/>
      <c r="C270" s="13">
        <f>IF(B270="","",IFERROR(VLOOKUP(B270,Journals!$A:$B,2,FALSE),IFERROR(VLOOKUP(B270,'ABDC list'!$A:$B,2,FALSE),"")))</f>
        <v/>
      </c>
      <c r="D270" s="13" t="n"/>
      <c r="E270" s="13" t="n"/>
      <c r="F270" s="14" t="n"/>
      <c r="G270" s="14" t="n"/>
      <c r="H270" s="13">
        <f>IF(OR(F270="",E270="Planned"),"",IF(G270&lt;&gt;"",G270-F270,TODAY()-F270))</f>
        <v/>
      </c>
      <c r="I270" s="11" t="n"/>
      <c r="J270" s="11" t="n"/>
      <c r="K270" s="13" t="n"/>
      <c r="L270" s="11" t="n"/>
      <c r="M270" s="14" t="n"/>
      <c r="N270" s="13" t="n"/>
      <c r="O270" s="13" t="n"/>
      <c r="P270" s="13">
        <f>IF(E270="Under review",COUNTIFS($E:$E,"Under review",$F:$F,"&lt;"&amp;F270)+COUNTIFS($E$1:E270,"Under review",$F$1:F270,F270),"")</f>
        <v/>
      </c>
      <c r="Q270" s="13">
        <f>IF(B270="","",A270&amp;"|"&amp;E270)</f>
        <v/>
      </c>
    </row>
    <row r="271">
      <c r="A271" s="13" t="n"/>
      <c r="B271" s="13" t="n"/>
      <c r="C271" s="13">
        <f>IF(B271="","",IFERROR(VLOOKUP(B271,Journals!$A:$B,2,FALSE),IFERROR(VLOOKUP(B271,'ABDC list'!$A:$B,2,FALSE),"")))</f>
        <v/>
      </c>
      <c r="D271" s="13" t="n"/>
      <c r="E271" s="13" t="n"/>
      <c r="F271" s="14" t="n"/>
      <c r="G271" s="14" t="n"/>
      <c r="H271" s="13">
        <f>IF(OR(F271="",E271="Planned"),"",IF(G271&lt;&gt;"",G271-F271,TODAY()-F271))</f>
        <v/>
      </c>
      <c r="I271" s="11" t="n"/>
      <c r="J271" s="11" t="n"/>
      <c r="K271" s="13" t="n"/>
      <c r="L271" s="11" t="n"/>
      <c r="M271" s="14" t="n"/>
      <c r="N271" s="13" t="n"/>
      <c r="O271" s="13" t="n"/>
      <c r="P271" s="13">
        <f>IF(E271="Under review",COUNTIFS($E:$E,"Under review",$F:$F,"&lt;"&amp;F271)+COUNTIFS($E$1:E271,"Under review",$F$1:F271,F271),"")</f>
        <v/>
      </c>
      <c r="Q271" s="13">
        <f>IF(B271="","",A271&amp;"|"&amp;E271)</f>
        <v/>
      </c>
    </row>
    <row r="272">
      <c r="A272" s="13" t="n"/>
      <c r="B272" s="13" t="n"/>
      <c r="C272" s="13">
        <f>IF(B272="","",IFERROR(VLOOKUP(B272,Journals!$A:$B,2,FALSE),IFERROR(VLOOKUP(B272,'ABDC list'!$A:$B,2,FALSE),"")))</f>
        <v/>
      </c>
      <c r="D272" s="13" t="n"/>
      <c r="E272" s="13" t="n"/>
      <c r="F272" s="14" t="n"/>
      <c r="G272" s="14" t="n"/>
      <c r="H272" s="13">
        <f>IF(OR(F272="",E272="Planned"),"",IF(G272&lt;&gt;"",G272-F272,TODAY()-F272))</f>
        <v/>
      </c>
      <c r="I272" s="11" t="n"/>
      <c r="J272" s="11" t="n"/>
      <c r="K272" s="13" t="n"/>
      <c r="L272" s="11" t="n"/>
      <c r="M272" s="14" t="n"/>
      <c r="N272" s="13" t="n"/>
      <c r="O272" s="13" t="n"/>
      <c r="P272" s="13">
        <f>IF(E272="Under review",COUNTIFS($E:$E,"Under review",$F:$F,"&lt;"&amp;F272)+COUNTIFS($E$1:E272,"Under review",$F$1:F272,F272),"")</f>
        <v/>
      </c>
      <c r="Q272" s="13">
        <f>IF(B272="","",A272&amp;"|"&amp;E272)</f>
        <v/>
      </c>
    </row>
    <row r="273">
      <c r="A273" s="13" t="n"/>
      <c r="B273" s="13" t="n"/>
      <c r="C273" s="13">
        <f>IF(B273="","",IFERROR(VLOOKUP(B273,Journals!$A:$B,2,FALSE),IFERROR(VLOOKUP(B273,'ABDC list'!$A:$B,2,FALSE),"")))</f>
        <v/>
      </c>
      <c r="D273" s="13" t="n"/>
      <c r="E273" s="13" t="n"/>
      <c r="F273" s="14" t="n"/>
      <c r="G273" s="14" t="n"/>
      <c r="H273" s="13">
        <f>IF(OR(F273="",E273="Planned"),"",IF(G273&lt;&gt;"",G273-F273,TODAY()-F273))</f>
        <v/>
      </c>
      <c r="I273" s="11" t="n"/>
      <c r="J273" s="11" t="n"/>
      <c r="K273" s="13" t="n"/>
      <c r="L273" s="11" t="n"/>
      <c r="M273" s="14" t="n"/>
      <c r="N273" s="13" t="n"/>
      <c r="O273" s="13" t="n"/>
      <c r="P273" s="13">
        <f>IF(E273="Under review",COUNTIFS($E:$E,"Under review",$F:$F,"&lt;"&amp;F273)+COUNTIFS($E$1:E273,"Under review",$F$1:F273,F273),"")</f>
        <v/>
      </c>
      <c r="Q273" s="13">
        <f>IF(B273="","",A273&amp;"|"&amp;E273)</f>
        <v/>
      </c>
    </row>
    <row r="274">
      <c r="A274" s="13" t="n"/>
      <c r="B274" s="13" t="n"/>
      <c r="C274" s="13">
        <f>IF(B274="","",IFERROR(VLOOKUP(B274,Journals!$A:$B,2,FALSE),IFERROR(VLOOKUP(B274,'ABDC list'!$A:$B,2,FALSE),"")))</f>
        <v/>
      </c>
      <c r="D274" s="13" t="n"/>
      <c r="E274" s="13" t="n"/>
      <c r="F274" s="14" t="n"/>
      <c r="G274" s="14" t="n"/>
      <c r="H274" s="13">
        <f>IF(OR(F274="",E274="Planned"),"",IF(G274&lt;&gt;"",G274-F274,TODAY()-F274))</f>
        <v/>
      </c>
      <c r="I274" s="11" t="n"/>
      <c r="J274" s="11" t="n"/>
      <c r="K274" s="13" t="n"/>
      <c r="L274" s="11" t="n"/>
      <c r="M274" s="14" t="n"/>
      <c r="N274" s="13" t="n"/>
      <c r="O274" s="13" t="n"/>
      <c r="P274" s="13">
        <f>IF(E274="Under review",COUNTIFS($E:$E,"Under review",$F:$F,"&lt;"&amp;F274)+COUNTIFS($E$1:E274,"Under review",$F$1:F274,F274),"")</f>
        <v/>
      </c>
      <c r="Q274" s="13">
        <f>IF(B274="","",A274&amp;"|"&amp;E274)</f>
        <v/>
      </c>
    </row>
    <row r="275">
      <c r="A275" s="13" t="n"/>
      <c r="B275" s="13" t="n"/>
      <c r="C275" s="13">
        <f>IF(B275="","",IFERROR(VLOOKUP(B275,Journals!$A:$B,2,FALSE),IFERROR(VLOOKUP(B275,'ABDC list'!$A:$B,2,FALSE),"")))</f>
        <v/>
      </c>
      <c r="D275" s="13" t="n"/>
      <c r="E275" s="13" t="n"/>
      <c r="F275" s="14" t="n"/>
      <c r="G275" s="14" t="n"/>
      <c r="H275" s="13">
        <f>IF(OR(F275="",E275="Planned"),"",IF(G275&lt;&gt;"",G275-F275,TODAY()-F275))</f>
        <v/>
      </c>
      <c r="I275" s="11" t="n"/>
      <c r="J275" s="11" t="n"/>
      <c r="K275" s="13" t="n"/>
      <c r="L275" s="11" t="n"/>
      <c r="M275" s="14" t="n"/>
      <c r="N275" s="13" t="n"/>
      <c r="O275" s="13" t="n"/>
      <c r="P275" s="13">
        <f>IF(E275="Under review",COUNTIFS($E:$E,"Under review",$F:$F,"&lt;"&amp;F275)+COUNTIFS($E$1:E275,"Under review",$F$1:F275,F275),"")</f>
        <v/>
      </c>
      <c r="Q275" s="13">
        <f>IF(B275="","",A275&amp;"|"&amp;E275)</f>
        <v/>
      </c>
    </row>
    <row r="276">
      <c r="A276" s="13" t="n"/>
      <c r="B276" s="13" t="n"/>
      <c r="C276" s="13">
        <f>IF(B276="","",IFERROR(VLOOKUP(B276,Journals!$A:$B,2,FALSE),IFERROR(VLOOKUP(B276,'ABDC list'!$A:$B,2,FALSE),"")))</f>
        <v/>
      </c>
      <c r="D276" s="13" t="n"/>
      <c r="E276" s="13" t="n"/>
      <c r="F276" s="14" t="n"/>
      <c r="G276" s="14" t="n"/>
      <c r="H276" s="13">
        <f>IF(OR(F276="",E276="Planned"),"",IF(G276&lt;&gt;"",G276-F276,TODAY()-F276))</f>
        <v/>
      </c>
      <c r="I276" s="11" t="n"/>
      <c r="J276" s="11" t="n"/>
      <c r="K276" s="13" t="n"/>
      <c r="L276" s="11" t="n"/>
      <c r="M276" s="14" t="n"/>
      <c r="N276" s="13" t="n"/>
      <c r="O276" s="13" t="n"/>
      <c r="P276" s="13">
        <f>IF(E276="Under review",COUNTIFS($E:$E,"Under review",$F:$F,"&lt;"&amp;F276)+COUNTIFS($E$1:E276,"Under review",$F$1:F276,F276),"")</f>
        <v/>
      </c>
      <c r="Q276" s="13">
        <f>IF(B276="","",A276&amp;"|"&amp;E276)</f>
        <v/>
      </c>
    </row>
    <row r="277">
      <c r="A277" s="13" t="n"/>
      <c r="B277" s="13" t="n"/>
      <c r="C277" s="13">
        <f>IF(B277="","",IFERROR(VLOOKUP(B277,Journals!$A:$B,2,FALSE),IFERROR(VLOOKUP(B277,'ABDC list'!$A:$B,2,FALSE),"")))</f>
        <v/>
      </c>
      <c r="D277" s="13" t="n"/>
      <c r="E277" s="13" t="n"/>
      <c r="F277" s="14" t="n"/>
      <c r="G277" s="14" t="n"/>
      <c r="H277" s="13">
        <f>IF(OR(F277="",E277="Planned"),"",IF(G277&lt;&gt;"",G277-F277,TODAY()-F277))</f>
        <v/>
      </c>
      <c r="I277" s="11" t="n"/>
      <c r="J277" s="11" t="n"/>
      <c r="K277" s="13" t="n"/>
      <c r="L277" s="11" t="n"/>
      <c r="M277" s="14" t="n"/>
      <c r="N277" s="13" t="n"/>
      <c r="O277" s="13" t="n"/>
      <c r="P277" s="13">
        <f>IF(E277="Under review",COUNTIFS($E:$E,"Under review",$F:$F,"&lt;"&amp;F277)+COUNTIFS($E$1:E277,"Under review",$F$1:F277,F277),"")</f>
        <v/>
      </c>
      <c r="Q277" s="13">
        <f>IF(B277="","",A277&amp;"|"&amp;E277)</f>
        <v/>
      </c>
    </row>
    <row r="278">
      <c r="A278" s="13" t="n"/>
      <c r="B278" s="13" t="n"/>
      <c r="C278" s="13">
        <f>IF(B278="","",IFERROR(VLOOKUP(B278,Journals!$A:$B,2,FALSE),IFERROR(VLOOKUP(B278,'ABDC list'!$A:$B,2,FALSE),"")))</f>
        <v/>
      </c>
      <c r="D278" s="13" t="n"/>
      <c r="E278" s="13" t="n"/>
      <c r="F278" s="14" t="n"/>
      <c r="G278" s="14" t="n"/>
      <c r="H278" s="13">
        <f>IF(OR(F278="",E278="Planned"),"",IF(G278&lt;&gt;"",G278-F278,TODAY()-F278))</f>
        <v/>
      </c>
      <c r="I278" s="11" t="n"/>
      <c r="J278" s="11" t="n"/>
      <c r="K278" s="13" t="n"/>
      <c r="L278" s="11" t="n"/>
      <c r="M278" s="14" t="n"/>
      <c r="N278" s="13" t="n"/>
      <c r="O278" s="13" t="n"/>
      <c r="P278" s="13">
        <f>IF(E278="Under review",COUNTIFS($E:$E,"Under review",$F:$F,"&lt;"&amp;F278)+COUNTIFS($E$1:E278,"Under review",$F$1:F278,F278),"")</f>
        <v/>
      </c>
      <c r="Q278" s="13">
        <f>IF(B278="","",A278&amp;"|"&amp;E278)</f>
        <v/>
      </c>
    </row>
    <row r="279">
      <c r="A279" s="13" t="n"/>
      <c r="B279" s="13" t="n"/>
      <c r="C279" s="13">
        <f>IF(B279="","",IFERROR(VLOOKUP(B279,Journals!$A:$B,2,FALSE),IFERROR(VLOOKUP(B279,'ABDC list'!$A:$B,2,FALSE),"")))</f>
        <v/>
      </c>
      <c r="D279" s="13" t="n"/>
      <c r="E279" s="13" t="n"/>
      <c r="F279" s="14" t="n"/>
      <c r="G279" s="14" t="n"/>
      <c r="H279" s="13">
        <f>IF(OR(F279="",E279="Planned"),"",IF(G279&lt;&gt;"",G279-F279,TODAY()-F279))</f>
        <v/>
      </c>
      <c r="I279" s="11" t="n"/>
      <c r="J279" s="11" t="n"/>
      <c r="K279" s="13" t="n"/>
      <c r="L279" s="11" t="n"/>
      <c r="M279" s="14" t="n"/>
      <c r="N279" s="13" t="n"/>
      <c r="O279" s="13" t="n"/>
      <c r="P279" s="13">
        <f>IF(E279="Under review",COUNTIFS($E:$E,"Under review",$F:$F,"&lt;"&amp;F279)+COUNTIFS($E$1:E279,"Under review",$F$1:F279,F279),"")</f>
        <v/>
      </c>
      <c r="Q279" s="13">
        <f>IF(B279="","",A279&amp;"|"&amp;E279)</f>
        <v/>
      </c>
    </row>
    <row r="280">
      <c r="A280" s="13" t="n"/>
      <c r="B280" s="13" t="n"/>
      <c r="C280" s="13">
        <f>IF(B280="","",IFERROR(VLOOKUP(B280,Journals!$A:$B,2,FALSE),IFERROR(VLOOKUP(B280,'ABDC list'!$A:$B,2,FALSE),"")))</f>
        <v/>
      </c>
      <c r="D280" s="13" t="n"/>
      <c r="E280" s="13" t="n"/>
      <c r="F280" s="14" t="n"/>
      <c r="G280" s="14" t="n"/>
      <c r="H280" s="13">
        <f>IF(OR(F280="",E280="Planned"),"",IF(G280&lt;&gt;"",G280-F280,TODAY()-F280))</f>
        <v/>
      </c>
      <c r="I280" s="11" t="n"/>
      <c r="J280" s="11" t="n"/>
      <c r="K280" s="13" t="n"/>
      <c r="L280" s="11" t="n"/>
      <c r="M280" s="14" t="n"/>
      <c r="N280" s="13" t="n"/>
      <c r="O280" s="13" t="n"/>
      <c r="P280" s="13">
        <f>IF(E280="Under review",COUNTIFS($E:$E,"Under review",$F:$F,"&lt;"&amp;F280)+COUNTIFS($E$1:E280,"Under review",$F$1:F280,F280),"")</f>
        <v/>
      </c>
      <c r="Q280" s="13">
        <f>IF(B280="","",A280&amp;"|"&amp;E280)</f>
        <v/>
      </c>
    </row>
    <row r="281">
      <c r="A281" s="13" t="n"/>
      <c r="B281" s="13" t="n"/>
      <c r="C281" s="13">
        <f>IF(B281="","",IFERROR(VLOOKUP(B281,Journals!$A:$B,2,FALSE),IFERROR(VLOOKUP(B281,'ABDC list'!$A:$B,2,FALSE),"")))</f>
        <v/>
      </c>
      <c r="D281" s="13" t="n"/>
      <c r="E281" s="13" t="n"/>
      <c r="F281" s="14" t="n"/>
      <c r="G281" s="14" t="n"/>
      <c r="H281" s="13">
        <f>IF(OR(F281="",E281="Planned"),"",IF(G281&lt;&gt;"",G281-F281,TODAY()-F281))</f>
        <v/>
      </c>
      <c r="I281" s="11" t="n"/>
      <c r="J281" s="11" t="n"/>
      <c r="K281" s="13" t="n"/>
      <c r="L281" s="11" t="n"/>
      <c r="M281" s="14" t="n"/>
      <c r="N281" s="13" t="n"/>
      <c r="O281" s="13" t="n"/>
      <c r="P281" s="13">
        <f>IF(E281="Under review",COUNTIFS($E:$E,"Under review",$F:$F,"&lt;"&amp;F281)+COUNTIFS($E$1:E281,"Under review",$F$1:F281,F281),"")</f>
        <v/>
      </c>
      <c r="Q281" s="13">
        <f>IF(B281="","",A281&amp;"|"&amp;E281)</f>
        <v/>
      </c>
    </row>
    <row r="282">
      <c r="A282" s="13" t="n"/>
      <c r="B282" s="13" t="n"/>
      <c r="C282" s="13">
        <f>IF(B282="","",IFERROR(VLOOKUP(B282,Journals!$A:$B,2,FALSE),IFERROR(VLOOKUP(B282,'ABDC list'!$A:$B,2,FALSE),"")))</f>
        <v/>
      </c>
      <c r="D282" s="13" t="n"/>
      <c r="E282" s="13" t="n"/>
      <c r="F282" s="14" t="n"/>
      <c r="G282" s="14" t="n"/>
      <c r="H282" s="13">
        <f>IF(OR(F282="",E282="Planned"),"",IF(G282&lt;&gt;"",G282-F282,TODAY()-F282))</f>
        <v/>
      </c>
      <c r="I282" s="11" t="n"/>
      <c r="J282" s="11" t="n"/>
      <c r="K282" s="13" t="n"/>
      <c r="L282" s="11" t="n"/>
      <c r="M282" s="14" t="n"/>
      <c r="N282" s="13" t="n"/>
      <c r="O282" s="13" t="n"/>
      <c r="P282" s="13">
        <f>IF(E282="Under review",COUNTIFS($E:$E,"Under review",$F:$F,"&lt;"&amp;F282)+COUNTIFS($E$1:E282,"Under review",$F$1:F282,F282),"")</f>
        <v/>
      </c>
      <c r="Q282" s="13">
        <f>IF(B282="","",A282&amp;"|"&amp;E282)</f>
        <v/>
      </c>
    </row>
    <row r="283">
      <c r="A283" s="13" t="n"/>
      <c r="B283" s="13" t="n"/>
      <c r="C283" s="13">
        <f>IF(B283="","",IFERROR(VLOOKUP(B283,Journals!$A:$B,2,FALSE),IFERROR(VLOOKUP(B283,'ABDC list'!$A:$B,2,FALSE),"")))</f>
        <v/>
      </c>
      <c r="D283" s="13" t="n"/>
      <c r="E283" s="13" t="n"/>
      <c r="F283" s="14" t="n"/>
      <c r="G283" s="14" t="n"/>
      <c r="H283" s="13">
        <f>IF(OR(F283="",E283="Planned"),"",IF(G283&lt;&gt;"",G283-F283,TODAY()-F283))</f>
        <v/>
      </c>
      <c r="I283" s="11" t="n"/>
      <c r="J283" s="11" t="n"/>
      <c r="K283" s="13" t="n"/>
      <c r="L283" s="11" t="n"/>
      <c r="M283" s="14" t="n"/>
      <c r="N283" s="13" t="n"/>
      <c r="O283" s="13" t="n"/>
      <c r="P283" s="13">
        <f>IF(E283="Under review",COUNTIFS($E:$E,"Under review",$F:$F,"&lt;"&amp;F283)+COUNTIFS($E$1:E283,"Under review",$F$1:F283,F283),"")</f>
        <v/>
      </c>
      <c r="Q283" s="13">
        <f>IF(B283="","",A283&amp;"|"&amp;E283)</f>
        <v/>
      </c>
    </row>
    <row r="284">
      <c r="A284" s="13" t="n"/>
      <c r="B284" s="13" t="n"/>
      <c r="C284" s="13">
        <f>IF(B284="","",IFERROR(VLOOKUP(B284,Journals!$A:$B,2,FALSE),IFERROR(VLOOKUP(B284,'ABDC list'!$A:$B,2,FALSE),"")))</f>
        <v/>
      </c>
      <c r="D284" s="13" t="n"/>
      <c r="E284" s="13" t="n"/>
      <c r="F284" s="14" t="n"/>
      <c r="G284" s="14" t="n"/>
      <c r="H284" s="13">
        <f>IF(OR(F284="",E284="Planned"),"",IF(G284&lt;&gt;"",G284-F284,TODAY()-F284))</f>
        <v/>
      </c>
      <c r="I284" s="11" t="n"/>
      <c r="J284" s="11" t="n"/>
      <c r="K284" s="13" t="n"/>
      <c r="L284" s="11" t="n"/>
      <c r="M284" s="14" t="n"/>
      <c r="N284" s="13" t="n"/>
      <c r="O284" s="13" t="n"/>
      <c r="P284" s="13">
        <f>IF(E284="Under review",COUNTIFS($E:$E,"Under review",$F:$F,"&lt;"&amp;F284)+COUNTIFS($E$1:E284,"Under review",$F$1:F284,F284),"")</f>
        <v/>
      </c>
      <c r="Q284" s="13">
        <f>IF(B284="","",A284&amp;"|"&amp;E284)</f>
        <v/>
      </c>
    </row>
    <row r="285">
      <c r="A285" s="13" t="n"/>
      <c r="B285" s="13" t="n"/>
      <c r="C285" s="13">
        <f>IF(B285="","",IFERROR(VLOOKUP(B285,Journals!$A:$B,2,FALSE),IFERROR(VLOOKUP(B285,'ABDC list'!$A:$B,2,FALSE),"")))</f>
        <v/>
      </c>
      <c r="D285" s="13" t="n"/>
      <c r="E285" s="13" t="n"/>
      <c r="F285" s="14" t="n"/>
      <c r="G285" s="14" t="n"/>
      <c r="H285" s="13">
        <f>IF(OR(F285="",E285="Planned"),"",IF(G285&lt;&gt;"",G285-F285,TODAY()-F285))</f>
        <v/>
      </c>
      <c r="I285" s="11" t="n"/>
      <c r="J285" s="11" t="n"/>
      <c r="K285" s="13" t="n"/>
      <c r="L285" s="11" t="n"/>
      <c r="M285" s="14" t="n"/>
      <c r="N285" s="13" t="n"/>
      <c r="O285" s="13" t="n"/>
      <c r="P285" s="13">
        <f>IF(E285="Under review",COUNTIFS($E:$E,"Under review",$F:$F,"&lt;"&amp;F285)+COUNTIFS($E$1:E285,"Under review",$F$1:F285,F285),"")</f>
        <v/>
      </c>
      <c r="Q285" s="13">
        <f>IF(B285="","",A285&amp;"|"&amp;E285)</f>
        <v/>
      </c>
    </row>
    <row r="286">
      <c r="A286" s="13" t="n"/>
      <c r="B286" s="13" t="n"/>
      <c r="C286" s="13">
        <f>IF(B286="","",IFERROR(VLOOKUP(B286,Journals!$A:$B,2,FALSE),IFERROR(VLOOKUP(B286,'ABDC list'!$A:$B,2,FALSE),"")))</f>
        <v/>
      </c>
      <c r="D286" s="13" t="n"/>
      <c r="E286" s="13" t="n"/>
      <c r="F286" s="14" t="n"/>
      <c r="G286" s="14" t="n"/>
      <c r="H286" s="13">
        <f>IF(OR(F286="",E286="Planned"),"",IF(G286&lt;&gt;"",G286-F286,TODAY()-F286))</f>
        <v/>
      </c>
      <c r="I286" s="11" t="n"/>
      <c r="J286" s="11" t="n"/>
      <c r="K286" s="13" t="n"/>
      <c r="L286" s="11" t="n"/>
      <c r="M286" s="14" t="n"/>
      <c r="N286" s="13" t="n"/>
      <c r="O286" s="13" t="n"/>
      <c r="P286" s="13">
        <f>IF(E286="Under review",COUNTIFS($E:$E,"Under review",$F:$F,"&lt;"&amp;F286)+COUNTIFS($E$1:E286,"Under review",$F$1:F286,F286),"")</f>
        <v/>
      </c>
      <c r="Q286" s="13">
        <f>IF(B286="","",A286&amp;"|"&amp;E286)</f>
        <v/>
      </c>
    </row>
    <row r="287">
      <c r="A287" s="13" t="n"/>
      <c r="B287" s="13" t="n"/>
      <c r="C287" s="13">
        <f>IF(B287="","",IFERROR(VLOOKUP(B287,Journals!$A:$B,2,FALSE),IFERROR(VLOOKUP(B287,'ABDC list'!$A:$B,2,FALSE),"")))</f>
        <v/>
      </c>
      <c r="D287" s="13" t="n"/>
      <c r="E287" s="13" t="n"/>
      <c r="F287" s="14" t="n"/>
      <c r="G287" s="14" t="n"/>
      <c r="H287" s="13">
        <f>IF(OR(F287="",E287="Planned"),"",IF(G287&lt;&gt;"",G287-F287,TODAY()-F287))</f>
        <v/>
      </c>
      <c r="I287" s="11" t="n"/>
      <c r="J287" s="11" t="n"/>
      <c r="K287" s="13" t="n"/>
      <c r="L287" s="11" t="n"/>
      <c r="M287" s="14" t="n"/>
      <c r="N287" s="13" t="n"/>
      <c r="O287" s="13" t="n"/>
      <c r="P287" s="13">
        <f>IF(E287="Under review",COUNTIFS($E:$E,"Under review",$F:$F,"&lt;"&amp;F287)+COUNTIFS($E$1:E287,"Under review",$F$1:F287,F287),"")</f>
        <v/>
      </c>
      <c r="Q287" s="13">
        <f>IF(B287="","",A287&amp;"|"&amp;E287)</f>
        <v/>
      </c>
    </row>
    <row r="288">
      <c r="A288" s="13" t="n"/>
      <c r="B288" s="13" t="n"/>
      <c r="C288" s="13">
        <f>IF(B288="","",IFERROR(VLOOKUP(B288,Journals!$A:$B,2,FALSE),IFERROR(VLOOKUP(B288,'ABDC list'!$A:$B,2,FALSE),"")))</f>
        <v/>
      </c>
      <c r="D288" s="13" t="n"/>
      <c r="E288" s="13" t="n"/>
      <c r="F288" s="14" t="n"/>
      <c r="G288" s="14" t="n"/>
      <c r="H288" s="13">
        <f>IF(OR(F288="",E288="Planned"),"",IF(G288&lt;&gt;"",G288-F288,TODAY()-F288))</f>
        <v/>
      </c>
      <c r="I288" s="11" t="n"/>
      <c r="J288" s="11" t="n"/>
      <c r="K288" s="13" t="n"/>
      <c r="L288" s="11" t="n"/>
      <c r="M288" s="14" t="n"/>
      <c r="N288" s="13" t="n"/>
      <c r="O288" s="13" t="n"/>
      <c r="P288" s="13">
        <f>IF(E288="Under review",COUNTIFS($E:$E,"Under review",$F:$F,"&lt;"&amp;F288)+COUNTIFS($E$1:E288,"Under review",$F$1:F288,F288),"")</f>
        <v/>
      </c>
      <c r="Q288" s="13">
        <f>IF(B288="","",A288&amp;"|"&amp;E288)</f>
        <v/>
      </c>
    </row>
    <row r="289">
      <c r="A289" s="13" t="n"/>
      <c r="B289" s="13" t="n"/>
      <c r="C289" s="13">
        <f>IF(B289="","",IFERROR(VLOOKUP(B289,Journals!$A:$B,2,FALSE),IFERROR(VLOOKUP(B289,'ABDC list'!$A:$B,2,FALSE),"")))</f>
        <v/>
      </c>
      <c r="D289" s="13" t="n"/>
      <c r="E289" s="13" t="n"/>
      <c r="F289" s="14" t="n"/>
      <c r="G289" s="14" t="n"/>
      <c r="H289" s="13">
        <f>IF(OR(F289="",E289="Planned"),"",IF(G289&lt;&gt;"",G289-F289,TODAY()-F289))</f>
        <v/>
      </c>
      <c r="I289" s="11" t="n"/>
      <c r="J289" s="11" t="n"/>
      <c r="K289" s="13" t="n"/>
      <c r="L289" s="11" t="n"/>
      <c r="M289" s="14" t="n"/>
      <c r="N289" s="13" t="n"/>
      <c r="O289" s="13" t="n"/>
      <c r="P289" s="13">
        <f>IF(E289="Under review",COUNTIFS($E:$E,"Under review",$F:$F,"&lt;"&amp;F289)+COUNTIFS($E$1:E289,"Under review",$F$1:F289,F289),"")</f>
        <v/>
      </c>
      <c r="Q289" s="13">
        <f>IF(B289="","",A289&amp;"|"&amp;E289)</f>
        <v/>
      </c>
    </row>
    <row r="290">
      <c r="A290" s="13" t="n"/>
      <c r="B290" s="13" t="n"/>
      <c r="C290" s="13">
        <f>IF(B290="","",IFERROR(VLOOKUP(B290,Journals!$A:$B,2,FALSE),IFERROR(VLOOKUP(B290,'ABDC list'!$A:$B,2,FALSE),"")))</f>
        <v/>
      </c>
      <c r="D290" s="13" t="n"/>
      <c r="E290" s="13" t="n"/>
      <c r="F290" s="14" t="n"/>
      <c r="G290" s="14" t="n"/>
      <c r="H290" s="13">
        <f>IF(OR(F290="",E290="Planned"),"",IF(G290&lt;&gt;"",G290-F290,TODAY()-F290))</f>
        <v/>
      </c>
      <c r="I290" s="11" t="n"/>
      <c r="J290" s="11" t="n"/>
      <c r="K290" s="13" t="n"/>
      <c r="L290" s="11" t="n"/>
      <c r="M290" s="14" t="n"/>
      <c r="N290" s="13" t="n"/>
      <c r="O290" s="13" t="n"/>
      <c r="P290" s="13">
        <f>IF(E290="Under review",COUNTIFS($E:$E,"Under review",$F:$F,"&lt;"&amp;F290)+COUNTIFS($E$1:E290,"Under review",$F$1:F290,F290),"")</f>
        <v/>
      </c>
      <c r="Q290" s="13">
        <f>IF(B290="","",A290&amp;"|"&amp;E290)</f>
        <v/>
      </c>
    </row>
    <row r="291">
      <c r="A291" s="13" t="n"/>
      <c r="B291" s="13" t="n"/>
      <c r="C291" s="13">
        <f>IF(B291="","",IFERROR(VLOOKUP(B291,Journals!$A:$B,2,FALSE),IFERROR(VLOOKUP(B291,'ABDC list'!$A:$B,2,FALSE),"")))</f>
        <v/>
      </c>
      <c r="D291" s="13" t="n"/>
      <c r="E291" s="13" t="n"/>
      <c r="F291" s="14" t="n"/>
      <c r="G291" s="14" t="n"/>
      <c r="H291" s="13">
        <f>IF(OR(F291="",E291="Planned"),"",IF(G291&lt;&gt;"",G291-F291,TODAY()-F291))</f>
        <v/>
      </c>
      <c r="I291" s="11" t="n"/>
      <c r="J291" s="11" t="n"/>
      <c r="K291" s="13" t="n"/>
      <c r="L291" s="11" t="n"/>
      <c r="M291" s="14" t="n"/>
      <c r="N291" s="13" t="n"/>
      <c r="O291" s="13" t="n"/>
      <c r="P291" s="13">
        <f>IF(E291="Under review",COUNTIFS($E:$E,"Under review",$F:$F,"&lt;"&amp;F291)+COUNTIFS($E$1:E291,"Under review",$F$1:F291,F291),"")</f>
        <v/>
      </c>
      <c r="Q291" s="13">
        <f>IF(B291="","",A291&amp;"|"&amp;E291)</f>
        <v/>
      </c>
    </row>
    <row r="292">
      <c r="A292" s="13" t="n"/>
      <c r="B292" s="13" t="n"/>
      <c r="C292" s="13">
        <f>IF(B292="","",IFERROR(VLOOKUP(B292,Journals!$A:$B,2,FALSE),IFERROR(VLOOKUP(B292,'ABDC list'!$A:$B,2,FALSE),"")))</f>
        <v/>
      </c>
      <c r="D292" s="13" t="n"/>
      <c r="E292" s="13" t="n"/>
      <c r="F292" s="14" t="n"/>
      <c r="G292" s="14" t="n"/>
      <c r="H292" s="13">
        <f>IF(OR(F292="",E292="Planned"),"",IF(G292&lt;&gt;"",G292-F292,TODAY()-F292))</f>
        <v/>
      </c>
      <c r="I292" s="11" t="n"/>
      <c r="J292" s="11" t="n"/>
      <c r="K292" s="13" t="n"/>
      <c r="L292" s="11" t="n"/>
      <c r="M292" s="14" t="n"/>
      <c r="N292" s="13" t="n"/>
      <c r="O292" s="13" t="n"/>
      <c r="P292" s="13">
        <f>IF(E292="Under review",COUNTIFS($E:$E,"Under review",$F:$F,"&lt;"&amp;F292)+COUNTIFS($E$1:E292,"Under review",$F$1:F292,F292),"")</f>
        <v/>
      </c>
      <c r="Q292" s="13">
        <f>IF(B292="","",A292&amp;"|"&amp;E292)</f>
        <v/>
      </c>
    </row>
    <row r="293">
      <c r="A293" s="13" t="n"/>
      <c r="B293" s="13" t="n"/>
      <c r="C293" s="13">
        <f>IF(B293="","",IFERROR(VLOOKUP(B293,Journals!$A:$B,2,FALSE),IFERROR(VLOOKUP(B293,'ABDC list'!$A:$B,2,FALSE),"")))</f>
        <v/>
      </c>
      <c r="D293" s="13" t="n"/>
      <c r="E293" s="13" t="n"/>
      <c r="F293" s="14" t="n"/>
      <c r="G293" s="14" t="n"/>
      <c r="H293" s="13">
        <f>IF(OR(F293="",E293="Planned"),"",IF(G293&lt;&gt;"",G293-F293,TODAY()-F293))</f>
        <v/>
      </c>
      <c r="I293" s="11" t="n"/>
      <c r="J293" s="11" t="n"/>
      <c r="K293" s="13" t="n"/>
      <c r="L293" s="11" t="n"/>
      <c r="M293" s="14" t="n"/>
      <c r="N293" s="13" t="n"/>
      <c r="O293" s="13" t="n"/>
      <c r="P293" s="13">
        <f>IF(E293="Under review",COUNTIFS($E:$E,"Under review",$F:$F,"&lt;"&amp;F293)+COUNTIFS($E$1:E293,"Under review",$F$1:F293,F293),"")</f>
        <v/>
      </c>
      <c r="Q293" s="13">
        <f>IF(B293="","",A293&amp;"|"&amp;E293)</f>
        <v/>
      </c>
    </row>
    <row r="294">
      <c r="A294" s="13" t="n"/>
      <c r="B294" s="13" t="n"/>
      <c r="C294" s="13">
        <f>IF(B294="","",IFERROR(VLOOKUP(B294,Journals!$A:$B,2,FALSE),IFERROR(VLOOKUP(B294,'ABDC list'!$A:$B,2,FALSE),"")))</f>
        <v/>
      </c>
      <c r="D294" s="13" t="n"/>
      <c r="E294" s="13" t="n"/>
      <c r="F294" s="14" t="n"/>
      <c r="G294" s="14" t="n"/>
      <c r="H294" s="13">
        <f>IF(OR(F294="",E294="Planned"),"",IF(G294&lt;&gt;"",G294-F294,TODAY()-F294))</f>
        <v/>
      </c>
      <c r="I294" s="11" t="n"/>
      <c r="J294" s="11" t="n"/>
      <c r="K294" s="13" t="n"/>
      <c r="L294" s="11" t="n"/>
      <c r="M294" s="14" t="n"/>
      <c r="N294" s="13" t="n"/>
      <c r="O294" s="13" t="n"/>
      <c r="P294" s="13">
        <f>IF(E294="Under review",COUNTIFS($E:$E,"Under review",$F:$F,"&lt;"&amp;F294)+COUNTIFS($E$1:E294,"Under review",$F$1:F294,F294),"")</f>
        <v/>
      </c>
      <c r="Q294" s="13">
        <f>IF(B294="","",A294&amp;"|"&amp;E294)</f>
        <v/>
      </c>
    </row>
    <row r="295">
      <c r="A295" s="13" t="n"/>
      <c r="B295" s="13" t="n"/>
      <c r="C295" s="13">
        <f>IF(B295="","",IFERROR(VLOOKUP(B295,Journals!$A:$B,2,FALSE),IFERROR(VLOOKUP(B295,'ABDC list'!$A:$B,2,FALSE),"")))</f>
        <v/>
      </c>
      <c r="D295" s="13" t="n"/>
      <c r="E295" s="13" t="n"/>
      <c r="F295" s="14" t="n"/>
      <c r="G295" s="14" t="n"/>
      <c r="H295" s="13">
        <f>IF(OR(F295="",E295="Planned"),"",IF(G295&lt;&gt;"",G295-F295,TODAY()-F295))</f>
        <v/>
      </c>
      <c r="I295" s="11" t="n"/>
      <c r="J295" s="11" t="n"/>
      <c r="K295" s="13" t="n"/>
      <c r="L295" s="11" t="n"/>
      <c r="M295" s="14" t="n"/>
      <c r="N295" s="13" t="n"/>
      <c r="O295" s="13" t="n"/>
      <c r="P295" s="13">
        <f>IF(E295="Under review",COUNTIFS($E:$E,"Under review",$F:$F,"&lt;"&amp;F295)+COUNTIFS($E$1:E295,"Under review",$F$1:F295,F295),"")</f>
        <v/>
      </c>
      <c r="Q295" s="13">
        <f>IF(B295="","",A295&amp;"|"&amp;E295)</f>
        <v/>
      </c>
    </row>
    <row r="296">
      <c r="A296" s="13" t="n"/>
      <c r="B296" s="13" t="n"/>
      <c r="C296" s="13">
        <f>IF(B296="","",IFERROR(VLOOKUP(B296,Journals!$A:$B,2,FALSE),IFERROR(VLOOKUP(B296,'ABDC list'!$A:$B,2,FALSE),"")))</f>
        <v/>
      </c>
      <c r="D296" s="13" t="n"/>
      <c r="E296" s="13" t="n"/>
      <c r="F296" s="14" t="n"/>
      <c r="G296" s="14" t="n"/>
      <c r="H296" s="13">
        <f>IF(OR(F296="",E296="Planned"),"",IF(G296&lt;&gt;"",G296-F296,TODAY()-F296))</f>
        <v/>
      </c>
      <c r="I296" s="11" t="n"/>
      <c r="J296" s="11" t="n"/>
      <c r="K296" s="13" t="n"/>
      <c r="L296" s="11" t="n"/>
      <c r="M296" s="14" t="n"/>
      <c r="N296" s="13" t="n"/>
      <c r="O296" s="13" t="n"/>
      <c r="P296" s="13">
        <f>IF(E296="Under review",COUNTIFS($E:$E,"Under review",$F:$F,"&lt;"&amp;F296)+COUNTIFS($E$1:E296,"Under review",$F$1:F296,F296),"")</f>
        <v/>
      </c>
      <c r="Q296" s="13">
        <f>IF(B296="","",A296&amp;"|"&amp;E296)</f>
        <v/>
      </c>
    </row>
    <row r="297">
      <c r="A297" s="13" t="n"/>
      <c r="B297" s="13" t="n"/>
      <c r="C297" s="13">
        <f>IF(B297="","",IFERROR(VLOOKUP(B297,Journals!$A:$B,2,FALSE),IFERROR(VLOOKUP(B297,'ABDC list'!$A:$B,2,FALSE),"")))</f>
        <v/>
      </c>
      <c r="D297" s="13" t="n"/>
      <c r="E297" s="13" t="n"/>
      <c r="F297" s="14" t="n"/>
      <c r="G297" s="14" t="n"/>
      <c r="H297" s="13">
        <f>IF(OR(F297="",E297="Planned"),"",IF(G297&lt;&gt;"",G297-F297,TODAY()-F297))</f>
        <v/>
      </c>
      <c r="I297" s="11" t="n"/>
      <c r="J297" s="11" t="n"/>
      <c r="K297" s="13" t="n"/>
      <c r="L297" s="11" t="n"/>
      <c r="M297" s="14" t="n"/>
      <c r="N297" s="13" t="n"/>
      <c r="O297" s="13" t="n"/>
      <c r="P297" s="13">
        <f>IF(E297="Under review",COUNTIFS($E:$E,"Under review",$F:$F,"&lt;"&amp;F297)+COUNTIFS($E$1:E297,"Under review",$F$1:F297,F297),"")</f>
        <v/>
      </c>
      <c r="Q297" s="13">
        <f>IF(B297="","",A297&amp;"|"&amp;E297)</f>
        <v/>
      </c>
    </row>
    <row r="298">
      <c r="A298" s="13" t="n"/>
      <c r="B298" s="13" t="n"/>
      <c r="C298" s="13">
        <f>IF(B298="","",IFERROR(VLOOKUP(B298,Journals!$A:$B,2,FALSE),IFERROR(VLOOKUP(B298,'ABDC list'!$A:$B,2,FALSE),"")))</f>
        <v/>
      </c>
      <c r="D298" s="13" t="n"/>
      <c r="E298" s="13" t="n"/>
      <c r="F298" s="14" t="n"/>
      <c r="G298" s="14" t="n"/>
      <c r="H298" s="13">
        <f>IF(OR(F298="",E298="Planned"),"",IF(G298&lt;&gt;"",G298-F298,TODAY()-F298))</f>
        <v/>
      </c>
      <c r="I298" s="11" t="n"/>
      <c r="J298" s="11" t="n"/>
      <c r="K298" s="13" t="n"/>
      <c r="L298" s="11" t="n"/>
      <c r="M298" s="14" t="n"/>
      <c r="N298" s="13" t="n"/>
      <c r="O298" s="13" t="n"/>
      <c r="P298" s="13">
        <f>IF(E298="Under review",COUNTIFS($E:$E,"Under review",$F:$F,"&lt;"&amp;F298)+COUNTIFS($E$1:E298,"Under review",$F$1:F298,F298),"")</f>
        <v/>
      </c>
      <c r="Q298" s="13">
        <f>IF(B298="","",A298&amp;"|"&amp;E298)</f>
        <v/>
      </c>
    </row>
    <row r="299">
      <c r="A299" s="13" t="n"/>
      <c r="B299" s="13" t="n"/>
      <c r="C299" s="13">
        <f>IF(B299="","",IFERROR(VLOOKUP(B299,Journals!$A:$B,2,FALSE),IFERROR(VLOOKUP(B299,'ABDC list'!$A:$B,2,FALSE),"")))</f>
        <v/>
      </c>
      <c r="D299" s="13" t="n"/>
      <c r="E299" s="13" t="n"/>
      <c r="F299" s="14" t="n"/>
      <c r="G299" s="14" t="n"/>
      <c r="H299" s="13">
        <f>IF(OR(F299="",E299="Planned"),"",IF(G299&lt;&gt;"",G299-F299,TODAY()-F299))</f>
        <v/>
      </c>
      <c r="I299" s="11" t="n"/>
      <c r="J299" s="11" t="n"/>
      <c r="K299" s="13" t="n"/>
      <c r="L299" s="11" t="n"/>
      <c r="M299" s="14" t="n"/>
      <c r="N299" s="13" t="n"/>
      <c r="O299" s="13" t="n"/>
      <c r="P299" s="13">
        <f>IF(E299="Under review",COUNTIFS($E:$E,"Under review",$F:$F,"&lt;"&amp;F299)+COUNTIFS($E$1:E299,"Under review",$F$1:F299,F299),"")</f>
        <v/>
      </c>
      <c r="Q299" s="13">
        <f>IF(B299="","",A299&amp;"|"&amp;E299)</f>
        <v/>
      </c>
    </row>
    <row r="300">
      <c r="A300" s="13" t="n"/>
      <c r="B300" s="13" t="n"/>
      <c r="C300" s="13">
        <f>IF(B300="","",IFERROR(VLOOKUP(B300,Journals!$A:$B,2,FALSE),IFERROR(VLOOKUP(B300,'ABDC list'!$A:$B,2,FALSE),"")))</f>
        <v/>
      </c>
      <c r="D300" s="13" t="n"/>
      <c r="E300" s="13" t="n"/>
      <c r="F300" s="14" t="n"/>
      <c r="G300" s="14" t="n"/>
      <c r="H300" s="13">
        <f>IF(OR(F300="",E300="Planned"),"",IF(G300&lt;&gt;"",G300-F300,TODAY()-F300))</f>
        <v/>
      </c>
      <c r="I300" s="11" t="n"/>
      <c r="J300" s="11" t="n"/>
      <c r="K300" s="13" t="n"/>
      <c r="L300" s="11" t="n"/>
      <c r="M300" s="14" t="n"/>
      <c r="N300" s="13" t="n"/>
      <c r="O300" s="13" t="n"/>
      <c r="P300" s="13">
        <f>IF(E300="Under review",COUNTIFS($E:$E,"Under review",$F:$F,"&lt;"&amp;F300)+COUNTIFS($E$1:E300,"Under review",$F$1:F300,F300),"")</f>
        <v/>
      </c>
      <c r="Q300" s="13">
        <f>IF(B300="","",A300&amp;"|"&amp;E300)</f>
        <v/>
      </c>
    </row>
    <row r="301">
      <c r="A301" s="13" t="n"/>
      <c r="B301" s="13" t="n"/>
      <c r="C301" s="13">
        <f>IF(B301="","",IFERROR(VLOOKUP(B301,Journals!$A:$B,2,FALSE),IFERROR(VLOOKUP(B301,'ABDC list'!$A:$B,2,FALSE),"")))</f>
        <v/>
      </c>
      <c r="D301" s="13" t="n"/>
      <c r="E301" s="13" t="n"/>
      <c r="F301" s="14" t="n"/>
      <c r="G301" s="14" t="n"/>
      <c r="H301" s="13">
        <f>IF(OR(F301="",E301="Planned"),"",IF(G301&lt;&gt;"",G301-F301,TODAY()-F301))</f>
        <v/>
      </c>
      <c r="I301" s="11" t="n"/>
      <c r="J301" s="11" t="n"/>
      <c r="K301" s="13" t="n"/>
      <c r="L301" s="11" t="n"/>
      <c r="M301" s="14" t="n"/>
      <c r="N301" s="13" t="n"/>
      <c r="O301" s="13" t="n"/>
      <c r="P301" s="13">
        <f>IF(E301="Under review",COUNTIFS($E:$E,"Under review",$F:$F,"&lt;"&amp;F301)+COUNTIFS($E$1:E301,"Under review",$F$1:F301,F301),"")</f>
        <v/>
      </c>
      <c r="Q301" s="13">
        <f>IF(B301="","",A301&amp;"|"&amp;E301)</f>
        <v/>
      </c>
    </row>
    <row r="302">
      <c r="A302" s="13" t="n"/>
      <c r="B302" s="13" t="n"/>
      <c r="C302" s="13">
        <f>IF(B302="","",IFERROR(VLOOKUP(B302,Journals!$A:$B,2,FALSE),IFERROR(VLOOKUP(B302,'ABDC list'!$A:$B,2,FALSE),"")))</f>
        <v/>
      </c>
      <c r="D302" s="13" t="n"/>
      <c r="E302" s="13" t="n"/>
      <c r="F302" s="14" t="n"/>
      <c r="G302" s="14" t="n"/>
      <c r="H302" s="13">
        <f>IF(OR(F302="",E302="Planned"),"",IF(G302&lt;&gt;"",G302-F302,TODAY()-F302))</f>
        <v/>
      </c>
      <c r="I302" s="11" t="n"/>
      <c r="J302" s="11" t="n"/>
      <c r="K302" s="13" t="n"/>
      <c r="L302" s="11" t="n"/>
      <c r="M302" s="14" t="n"/>
      <c r="N302" s="13" t="n"/>
      <c r="O302" s="13" t="n"/>
      <c r="P302" s="13">
        <f>IF(E302="Under review",COUNTIFS($E:$E,"Under review",$F:$F,"&lt;"&amp;F302)+COUNTIFS($E$1:E302,"Under review",$F$1:F302,F302),"")</f>
        <v/>
      </c>
      <c r="Q302" s="13">
        <f>IF(B302="","",A302&amp;"|"&amp;E302)</f>
        <v/>
      </c>
    </row>
    <row r="303">
      <c r="A303" s="13" t="n"/>
      <c r="B303" s="13" t="n"/>
      <c r="C303" s="13">
        <f>IF(B303="","",IFERROR(VLOOKUP(B303,Journals!$A:$B,2,FALSE),IFERROR(VLOOKUP(B303,'ABDC list'!$A:$B,2,FALSE),"")))</f>
        <v/>
      </c>
      <c r="D303" s="13" t="n"/>
      <c r="E303" s="13" t="n"/>
      <c r="F303" s="14" t="n"/>
      <c r="G303" s="14" t="n"/>
      <c r="H303" s="13">
        <f>IF(OR(F303="",E303="Planned"),"",IF(G303&lt;&gt;"",G303-F303,TODAY()-F303))</f>
        <v/>
      </c>
      <c r="I303" s="11" t="n"/>
      <c r="J303" s="11" t="n"/>
      <c r="K303" s="13" t="n"/>
      <c r="L303" s="11" t="n"/>
      <c r="M303" s="14" t="n"/>
      <c r="N303" s="13" t="n"/>
      <c r="O303" s="13" t="n"/>
      <c r="P303" s="13">
        <f>IF(E303="Under review",COUNTIFS($E:$E,"Under review",$F:$F,"&lt;"&amp;F303)+COUNTIFS($E$1:E303,"Under review",$F$1:F303,F303),"")</f>
        <v/>
      </c>
      <c r="Q303" s="13">
        <f>IF(B303="","",A303&amp;"|"&amp;E303)</f>
        <v/>
      </c>
    </row>
    <row r="304">
      <c r="A304" s="13" t="n"/>
      <c r="B304" s="13" t="n"/>
      <c r="C304" s="13">
        <f>IF(B304="","",IFERROR(VLOOKUP(B304,Journals!$A:$B,2,FALSE),IFERROR(VLOOKUP(B304,'ABDC list'!$A:$B,2,FALSE),"")))</f>
        <v/>
      </c>
      <c r="D304" s="13" t="n"/>
      <c r="E304" s="13" t="n"/>
      <c r="F304" s="14" t="n"/>
      <c r="G304" s="14" t="n"/>
      <c r="H304" s="13">
        <f>IF(OR(F304="",E304="Planned"),"",IF(G304&lt;&gt;"",G304-F304,TODAY()-F304))</f>
        <v/>
      </c>
      <c r="I304" s="11" t="n"/>
      <c r="J304" s="11" t="n"/>
      <c r="K304" s="13" t="n"/>
      <c r="L304" s="11" t="n"/>
      <c r="M304" s="14" t="n"/>
      <c r="N304" s="13" t="n"/>
      <c r="O304" s="13" t="n"/>
      <c r="P304" s="13">
        <f>IF(E304="Under review",COUNTIFS($E:$E,"Under review",$F:$F,"&lt;"&amp;F304)+COUNTIFS($E$1:E304,"Under review",$F$1:F304,F304),"")</f>
        <v/>
      </c>
      <c r="Q304" s="13">
        <f>IF(B304="","",A304&amp;"|"&amp;E304)</f>
        <v/>
      </c>
    </row>
    <row r="305">
      <c r="A305" s="13" t="n"/>
      <c r="B305" s="13" t="n"/>
      <c r="C305" s="13">
        <f>IF(B305="","",IFERROR(VLOOKUP(B305,Journals!$A:$B,2,FALSE),IFERROR(VLOOKUP(B305,'ABDC list'!$A:$B,2,FALSE),"")))</f>
        <v/>
      </c>
      <c r="D305" s="13" t="n"/>
      <c r="E305" s="13" t="n"/>
      <c r="F305" s="14" t="n"/>
      <c r="G305" s="14" t="n"/>
      <c r="H305" s="13">
        <f>IF(OR(F305="",E305="Planned"),"",IF(G305&lt;&gt;"",G305-F305,TODAY()-F305))</f>
        <v/>
      </c>
      <c r="I305" s="11" t="n"/>
      <c r="J305" s="11" t="n"/>
      <c r="K305" s="13" t="n"/>
      <c r="L305" s="11" t="n"/>
      <c r="M305" s="14" t="n"/>
      <c r="N305" s="13" t="n"/>
      <c r="O305" s="13" t="n"/>
      <c r="P305" s="13">
        <f>IF(E305="Under review",COUNTIFS($E:$E,"Under review",$F:$F,"&lt;"&amp;F305)+COUNTIFS($E$1:E305,"Under review",$F$1:F305,F305),"")</f>
        <v/>
      </c>
      <c r="Q305" s="13">
        <f>IF(B305="","",A305&amp;"|"&amp;E305)</f>
        <v/>
      </c>
    </row>
    <row r="306">
      <c r="A306" s="13" t="n"/>
      <c r="B306" s="13" t="n"/>
      <c r="C306" s="13">
        <f>IF(B306="","",IFERROR(VLOOKUP(B306,Journals!$A:$B,2,FALSE),IFERROR(VLOOKUP(B306,'ABDC list'!$A:$B,2,FALSE),"")))</f>
        <v/>
      </c>
      <c r="D306" s="13" t="n"/>
      <c r="E306" s="13" t="n"/>
      <c r="F306" s="14" t="n"/>
      <c r="G306" s="14" t="n"/>
      <c r="H306" s="13">
        <f>IF(OR(F306="",E306="Planned"),"",IF(G306&lt;&gt;"",G306-F306,TODAY()-F306))</f>
        <v/>
      </c>
      <c r="I306" s="11" t="n"/>
      <c r="J306" s="11" t="n"/>
      <c r="K306" s="13" t="n"/>
      <c r="L306" s="11" t="n"/>
      <c r="M306" s="14" t="n"/>
      <c r="N306" s="13" t="n"/>
      <c r="O306" s="13" t="n"/>
      <c r="P306" s="13">
        <f>IF(E306="Under review",COUNTIFS($E:$E,"Under review",$F:$F,"&lt;"&amp;F306)+COUNTIFS($E$1:E306,"Under review",$F$1:F306,F306),"")</f>
        <v/>
      </c>
      <c r="Q306" s="13">
        <f>IF(B306="","",A306&amp;"|"&amp;E306)</f>
        <v/>
      </c>
    </row>
    <row r="307">
      <c r="A307" s="13" t="n"/>
      <c r="B307" s="13" t="n"/>
      <c r="C307" s="13">
        <f>IF(B307="","",IFERROR(VLOOKUP(B307,Journals!$A:$B,2,FALSE),IFERROR(VLOOKUP(B307,'ABDC list'!$A:$B,2,FALSE),"")))</f>
        <v/>
      </c>
      <c r="D307" s="13" t="n"/>
      <c r="E307" s="13" t="n"/>
      <c r="F307" s="14" t="n"/>
      <c r="G307" s="14" t="n"/>
      <c r="H307" s="13">
        <f>IF(OR(F307="",E307="Planned"),"",IF(G307&lt;&gt;"",G307-F307,TODAY()-F307))</f>
        <v/>
      </c>
      <c r="I307" s="11" t="n"/>
      <c r="J307" s="11" t="n"/>
      <c r="K307" s="13" t="n"/>
      <c r="L307" s="11" t="n"/>
      <c r="M307" s="14" t="n"/>
      <c r="N307" s="13" t="n"/>
      <c r="O307" s="13" t="n"/>
      <c r="P307" s="13">
        <f>IF(E307="Under review",COUNTIFS($E:$E,"Under review",$F:$F,"&lt;"&amp;F307)+COUNTIFS($E$1:E307,"Under review",$F$1:F307,F307),"")</f>
        <v/>
      </c>
      <c r="Q307" s="13">
        <f>IF(B307="","",A307&amp;"|"&amp;E307)</f>
        <v/>
      </c>
    </row>
    <row r="308">
      <c r="A308" s="13" t="n"/>
      <c r="B308" s="13" t="n"/>
      <c r="C308" s="13">
        <f>IF(B308="","",IFERROR(VLOOKUP(B308,Journals!$A:$B,2,FALSE),IFERROR(VLOOKUP(B308,'ABDC list'!$A:$B,2,FALSE),"")))</f>
        <v/>
      </c>
      <c r="D308" s="13" t="n"/>
      <c r="E308" s="13" t="n"/>
      <c r="F308" s="14" t="n"/>
      <c r="G308" s="14" t="n"/>
      <c r="H308" s="13">
        <f>IF(OR(F308="",E308="Planned"),"",IF(G308&lt;&gt;"",G308-F308,TODAY()-F308))</f>
        <v/>
      </c>
      <c r="I308" s="11" t="n"/>
      <c r="J308" s="11" t="n"/>
      <c r="K308" s="13" t="n"/>
      <c r="L308" s="11" t="n"/>
      <c r="M308" s="14" t="n"/>
      <c r="N308" s="13" t="n"/>
      <c r="O308" s="13" t="n"/>
      <c r="P308" s="13">
        <f>IF(E308="Under review",COUNTIFS($E:$E,"Under review",$F:$F,"&lt;"&amp;F308)+COUNTIFS($E$1:E308,"Under review",$F$1:F308,F308),"")</f>
        <v/>
      </c>
      <c r="Q308" s="13">
        <f>IF(B308="","",A308&amp;"|"&amp;E308)</f>
        <v/>
      </c>
    </row>
    <row r="309">
      <c r="A309" s="13" t="n"/>
      <c r="B309" s="13" t="n"/>
      <c r="C309" s="13">
        <f>IF(B309="","",IFERROR(VLOOKUP(B309,Journals!$A:$B,2,FALSE),IFERROR(VLOOKUP(B309,'ABDC list'!$A:$B,2,FALSE),"")))</f>
        <v/>
      </c>
      <c r="D309" s="13" t="n"/>
      <c r="E309" s="13" t="n"/>
      <c r="F309" s="14" t="n"/>
      <c r="G309" s="14" t="n"/>
      <c r="H309" s="13">
        <f>IF(OR(F309="",E309="Planned"),"",IF(G309&lt;&gt;"",G309-F309,TODAY()-F309))</f>
        <v/>
      </c>
      <c r="I309" s="11" t="n"/>
      <c r="J309" s="11" t="n"/>
      <c r="K309" s="13" t="n"/>
      <c r="L309" s="11" t="n"/>
      <c r="M309" s="14" t="n"/>
      <c r="N309" s="13" t="n"/>
      <c r="O309" s="13" t="n"/>
      <c r="P309" s="13">
        <f>IF(E309="Under review",COUNTIFS($E:$E,"Under review",$F:$F,"&lt;"&amp;F309)+COUNTIFS($E$1:E309,"Under review",$F$1:F309,F309),"")</f>
        <v/>
      </c>
      <c r="Q309" s="13">
        <f>IF(B309="","",A309&amp;"|"&amp;E309)</f>
        <v/>
      </c>
    </row>
    <row r="310">
      <c r="A310" s="13" t="n"/>
      <c r="B310" s="13" t="n"/>
      <c r="C310" s="13">
        <f>IF(B310="","",IFERROR(VLOOKUP(B310,Journals!$A:$B,2,FALSE),IFERROR(VLOOKUP(B310,'ABDC list'!$A:$B,2,FALSE),"")))</f>
        <v/>
      </c>
      <c r="D310" s="13" t="n"/>
      <c r="E310" s="13" t="n"/>
      <c r="F310" s="14" t="n"/>
      <c r="G310" s="14" t="n"/>
      <c r="H310" s="13">
        <f>IF(OR(F310="",E310="Planned"),"",IF(G310&lt;&gt;"",G310-F310,TODAY()-F310))</f>
        <v/>
      </c>
      <c r="I310" s="11" t="n"/>
      <c r="J310" s="11" t="n"/>
      <c r="K310" s="13" t="n"/>
      <c r="L310" s="11" t="n"/>
      <c r="M310" s="14" t="n"/>
      <c r="N310" s="13" t="n"/>
      <c r="O310" s="13" t="n"/>
      <c r="P310" s="13">
        <f>IF(E310="Under review",COUNTIFS($E:$E,"Under review",$F:$F,"&lt;"&amp;F310)+COUNTIFS($E$1:E310,"Under review",$F$1:F310,F310),"")</f>
        <v/>
      </c>
      <c r="Q310" s="13">
        <f>IF(B310="","",A310&amp;"|"&amp;E310)</f>
        <v/>
      </c>
    </row>
    <row r="311">
      <c r="A311" s="13" t="n"/>
      <c r="B311" s="13" t="n"/>
      <c r="C311" s="13">
        <f>IF(B311="","",IFERROR(VLOOKUP(B311,Journals!$A:$B,2,FALSE),IFERROR(VLOOKUP(B311,'ABDC list'!$A:$B,2,FALSE),"")))</f>
        <v/>
      </c>
      <c r="D311" s="13" t="n"/>
      <c r="E311" s="13" t="n"/>
      <c r="F311" s="14" t="n"/>
      <c r="G311" s="14" t="n"/>
      <c r="H311" s="13">
        <f>IF(OR(F311="",E311="Planned"),"",IF(G311&lt;&gt;"",G311-F311,TODAY()-F311))</f>
        <v/>
      </c>
      <c r="I311" s="11" t="n"/>
      <c r="J311" s="11" t="n"/>
      <c r="K311" s="13" t="n"/>
      <c r="L311" s="11" t="n"/>
      <c r="M311" s="14" t="n"/>
      <c r="N311" s="13" t="n"/>
      <c r="O311" s="13" t="n"/>
      <c r="P311" s="13">
        <f>IF(E311="Under review",COUNTIFS($E:$E,"Under review",$F:$F,"&lt;"&amp;F311)+COUNTIFS($E$1:E311,"Under review",$F$1:F311,F311),"")</f>
        <v/>
      </c>
      <c r="Q311" s="13">
        <f>IF(B311="","",A311&amp;"|"&amp;E311)</f>
        <v/>
      </c>
    </row>
    <row r="312">
      <c r="A312" s="13" t="n"/>
      <c r="B312" s="13" t="n"/>
      <c r="C312" s="13">
        <f>IF(B312="","",IFERROR(VLOOKUP(B312,Journals!$A:$B,2,FALSE),IFERROR(VLOOKUP(B312,'ABDC list'!$A:$B,2,FALSE),"")))</f>
        <v/>
      </c>
      <c r="D312" s="13" t="n"/>
      <c r="E312" s="13" t="n"/>
      <c r="F312" s="14" t="n"/>
      <c r="G312" s="14" t="n"/>
      <c r="H312" s="13">
        <f>IF(OR(F312="",E312="Planned"),"",IF(G312&lt;&gt;"",G312-F312,TODAY()-F312))</f>
        <v/>
      </c>
      <c r="I312" s="11" t="n"/>
      <c r="J312" s="11" t="n"/>
      <c r="K312" s="13" t="n"/>
      <c r="L312" s="11" t="n"/>
      <c r="M312" s="14" t="n"/>
      <c r="N312" s="13" t="n"/>
      <c r="O312" s="13" t="n"/>
      <c r="P312" s="13">
        <f>IF(E312="Under review",COUNTIFS($E:$E,"Under review",$F:$F,"&lt;"&amp;F312)+COUNTIFS($E$1:E312,"Under review",$F$1:F312,F312),"")</f>
        <v/>
      </c>
      <c r="Q312" s="13">
        <f>IF(B312="","",A312&amp;"|"&amp;E312)</f>
        <v/>
      </c>
    </row>
    <row r="313">
      <c r="A313" s="13" t="n"/>
      <c r="B313" s="13" t="n"/>
      <c r="C313" s="13">
        <f>IF(B313="","",IFERROR(VLOOKUP(B313,Journals!$A:$B,2,FALSE),IFERROR(VLOOKUP(B313,'ABDC list'!$A:$B,2,FALSE),"")))</f>
        <v/>
      </c>
      <c r="D313" s="13" t="n"/>
      <c r="E313" s="13" t="n"/>
      <c r="F313" s="14" t="n"/>
      <c r="G313" s="14" t="n"/>
      <c r="H313" s="13">
        <f>IF(OR(F313="",E313="Planned"),"",IF(G313&lt;&gt;"",G313-F313,TODAY()-F313))</f>
        <v/>
      </c>
      <c r="I313" s="11" t="n"/>
      <c r="J313" s="11" t="n"/>
      <c r="K313" s="13" t="n"/>
      <c r="L313" s="11" t="n"/>
      <c r="M313" s="14" t="n"/>
      <c r="N313" s="13" t="n"/>
      <c r="O313" s="13" t="n"/>
      <c r="P313" s="13">
        <f>IF(E313="Under review",COUNTIFS($E:$E,"Under review",$F:$F,"&lt;"&amp;F313)+COUNTIFS($E$1:E313,"Under review",$F$1:F313,F313),"")</f>
        <v/>
      </c>
      <c r="Q313" s="13">
        <f>IF(B313="","",A313&amp;"|"&amp;E313)</f>
        <v/>
      </c>
    </row>
    <row r="314">
      <c r="A314" s="13" t="n"/>
      <c r="B314" s="13" t="n"/>
      <c r="C314" s="13">
        <f>IF(B314="","",IFERROR(VLOOKUP(B314,Journals!$A:$B,2,FALSE),IFERROR(VLOOKUP(B314,'ABDC list'!$A:$B,2,FALSE),"")))</f>
        <v/>
      </c>
      <c r="D314" s="13" t="n"/>
      <c r="E314" s="13" t="n"/>
      <c r="F314" s="14" t="n"/>
      <c r="G314" s="14" t="n"/>
      <c r="H314" s="13">
        <f>IF(OR(F314="",E314="Planned"),"",IF(G314&lt;&gt;"",G314-F314,TODAY()-F314))</f>
        <v/>
      </c>
      <c r="I314" s="11" t="n"/>
      <c r="J314" s="11" t="n"/>
      <c r="K314" s="13" t="n"/>
      <c r="L314" s="11" t="n"/>
      <c r="M314" s="14" t="n"/>
      <c r="N314" s="13" t="n"/>
      <c r="O314" s="13" t="n"/>
      <c r="P314" s="13">
        <f>IF(E314="Under review",COUNTIFS($E:$E,"Under review",$F:$F,"&lt;"&amp;F314)+COUNTIFS($E$1:E314,"Under review",$F$1:F314,F314),"")</f>
        <v/>
      </c>
      <c r="Q314" s="13">
        <f>IF(B314="","",A314&amp;"|"&amp;E314)</f>
        <v/>
      </c>
    </row>
    <row r="315">
      <c r="A315" s="13" t="n"/>
      <c r="B315" s="13" t="n"/>
      <c r="C315" s="13">
        <f>IF(B315="","",IFERROR(VLOOKUP(B315,Journals!$A:$B,2,FALSE),IFERROR(VLOOKUP(B315,'ABDC list'!$A:$B,2,FALSE),"")))</f>
        <v/>
      </c>
      <c r="D315" s="13" t="n"/>
      <c r="E315" s="13" t="n"/>
      <c r="F315" s="14" t="n"/>
      <c r="G315" s="14" t="n"/>
      <c r="H315" s="13">
        <f>IF(OR(F315="",E315="Planned"),"",IF(G315&lt;&gt;"",G315-F315,TODAY()-F315))</f>
        <v/>
      </c>
      <c r="I315" s="11" t="n"/>
      <c r="J315" s="11" t="n"/>
      <c r="K315" s="13" t="n"/>
      <c r="L315" s="11" t="n"/>
      <c r="M315" s="14" t="n"/>
      <c r="N315" s="13" t="n"/>
      <c r="O315" s="13" t="n"/>
      <c r="P315" s="13">
        <f>IF(E315="Under review",COUNTIFS($E:$E,"Under review",$F:$F,"&lt;"&amp;F315)+COUNTIFS($E$1:E315,"Under review",$F$1:F315,F315),"")</f>
        <v/>
      </c>
      <c r="Q315" s="13">
        <f>IF(B315="","",A315&amp;"|"&amp;E315)</f>
        <v/>
      </c>
    </row>
    <row r="316">
      <c r="A316" s="13" t="n"/>
      <c r="B316" s="13" t="n"/>
      <c r="C316" s="13">
        <f>IF(B316="","",IFERROR(VLOOKUP(B316,Journals!$A:$B,2,FALSE),IFERROR(VLOOKUP(B316,'ABDC list'!$A:$B,2,FALSE),"")))</f>
        <v/>
      </c>
      <c r="D316" s="13" t="n"/>
      <c r="E316" s="13" t="n"/>
      <c r="F316" s="14" t="n"/>
      <c r="G316" s="14" t="n"/>
      <c r="H316" s="13">
        <f>IF(OR(F316="",E316="Planned"),"",IF(G316&lt;&gt;"",G316-F316,TODAY()-F316))</f>
        <v/>
      </c>
      <c r="I316" s="11" t="n"/>
      <c r="J316" s="11" t="n"/>
      <c r="K316" s="13" t="n"/>
      <c r="L316" s="11" t="n"/>
      <c r="M316" s="14" t="n"/>
      <c r="N316" s="13" t="n"/>
      <c r="O316" s="13" t="n"/>
      <c r="P316" s="13">
        <f>IF(E316="Under review",COUNTIFS($E:$E,"Under review",$F:$F,"&lt;"&amp;F316)+COUNTIFS($E$1:E316,"Under review",$F$1:F316,F316),"")</f>
        <v/>
      </c>
      <c r="Q316" s="13">
        <f>IF(B316="","",A316&amp;"|"&amp;E316)</f>
        <v/>
      </c>
    </row>
    <row r="317">
      <c r="A317" s="13" t="n"/>
      <c r="B317" s="13" t="n"/>
      <c r="C317" s="13">
        <f>IF(B317="","",IFERROR(VLOOKUP(B317,Journals!$A:$B,2,FALSE),IFERROR(VLOOKUP(B317,'ABDC list'!$A:$B,2,FALSE),"")))</f>
        <v/>
      </c>
      <c r="D317" s="13" t="n"/>
      <c r="E317" s="13" t="n"/>
      <c r="F317" s="14" t="n"/>
      <c r="G317" s="14" t="n"/>
      <c r="H317" s="13">
        <f>IF(OR(F317="",E317="Planned"),"",IF(G317&lt;&gt;"",G317-F317,TODAY()-F317))</f>
        <v/>
      </c>
      <c r="I317" s="11" t="n"/>
      <c r="J317" s="11" t="n"/>
      <c r="K317" s="13" t="n"/>
      <c r="L317" s="11" t="n"/>
      <c r="M317" s="14" t="n"/>
      <c r="N317" s="13" t="n"/>
      <c r="O317" s="13" t="n"/>
      <c r="P317" s="13">
        <f>IF(E317="Under review",COUNTIFS($E:$E,"Under review",$F:$F,"&lt;"&amp;F317)+COUNTIFS($E$1:E317,"Under review",$F$1:F317,F317),"")</f>
        <v/>
      </c>
      <c r="Q317" s="13">
        <f>IF(B317="","",A317&amp;"|"&amp;E317)</f>
        <v/>
      </c>
    </row>
    <row r="318">
      <c r="A318" s="13" t="n"/>
      <c r="B318" s="13" t="n"/>
      <c r="C318" s="13">
        <f>IF(B318="","",IFERROR(VLOOKUP(B318,Journals!$A:$B,2,FALSE),IFERROR(VLOOKUP(B318,'ABDC list'!$A:$B,2,FALSE),"")))</f>
        <v/>
      </c>
      <c r="D318" s="13" t="n"/>
      <c r="E318" s="13" t="n"/>
      <c r="F318" s="14" t="n"/>
      <c r="G318" s="14" t="n"/>
      <c r="H318" s="13">
        <f>IF(OR(F318="",E318="Planned"),"",IF(G318&lt;&gt;"",G318-F318,TODAY()-F318))</f>
        <v/>
      </c>
      <c r="I318" s="11" t="n"/>
      <c r="J318" s="11" t="n"/>
      <c r="K318" s="13" t="n"/>
      <c r="L318" s="11" t="n"/>
      <c r="M318" s="14" t="n"/>
      <c r="N318" s="13" t="n"/>
      <c r="O318" s="13" t="n"/>
      <c r="P318" s="13">
        <f>IF(E318="Under review",COUNTIFS($E:$E,"Under review",$F:$F,"&lt;"&amp;F318)+COUNTIFS($E$1:E318,"Under review",$F$1:F318,F318),"")</f>
        <v/>
      </c>
      <c r="Q318" s="13">
        <f>IF(B318="","",A318&amp;"|"&amp;E318)</f>
        <v/>
      </c>
    </row>
    <row r="319">
      <c r="A319" s="13" t="n"/>
      <c r="B319" s="13" t="n"/>
      <c r="C319" s="13">
        <f>IF(B319="","",IFERROR(VLOOKUP(B319,Journals!$A:$B,2,FALSE),IFERROR(VLOOKUP(B319,'ABDC list'!$A:$B,2,FALSE),"")))</f>
        <v/>
      </c>
      <c r="D319" s="13" t="n"/>
      <c r="E319" s="13" t="n"/>
      <c r="F319" s="14" t="n"/>
      <c r="G319" s="14" t="n"/>
      <c r="H319" s="13">
        <f>IF(OR(F319="",E319="Planned"),"",IF(G319&lt;&gt;"",G319-F319,TODAY()-F319))</f>
        <v/>
      </c>
      <c r="I319" s="11" t="n"/>
      <c r="J319" s="11" t="n"/>
      <c r="K319" s="13" t="n"/>
      <c r="L319" s="11" t="n"/>
      <c r="M319" s="14" t="n"/>
      <c r="N319" s="13" t="n"/>
      <c r="O319" s="13" t="n"/>
      <c r="P319" s="13">
        <f>IF(E319="Under review",COUNTIFS($E:$E,"Under review",$F:$F,"&lt;"&amp;F319)+COUNTIFS($E$1:E319,"Under review",$F$1:F319,F319),"")</f>
        <v/>
      </c>
      <c r="Q319" s="13">
        <f>IF(B319="","",A319&amp;"|"&amp;E319)</f>
        <v/>
      </c>
    </row>
    <row r="320">
      <c r="A320" s="13" t="n"/>
      <c r="B320" s="13" t="n"/>
      <c r="C320" s="13">
        <f>IF(B320="","",IFERROR(VLOOKUP(B320,Journals!$A:$B,2,FALSE),IFERROR(VLOOKUP(B320,'ABDC list'!$A:$B,2,FALSE),"")))</f>
        <v/>
      </c>
      <c r="D320" s="13" t="n"/>
      <c r="E320" s="13" t="n"/>
      <c r="F320" s="14" t="n"/>
      <c r="G320" s="14" t="n"/>
      <c r="H320" s="13">
        <f>IF(OR(F320="",E320="Planned"),"",IF(G320&lt;&gt;"",G320-F320,TODAY()-F320))</f>
        <v/>
      </c>
      <c r="I320" s="11" t="n"/>
      <c r="J320" s="11" t="n"/>
      <c r="K320" s="13" t="n"/>
      <c r="L320" s="11" t="n"/>
      <c r="M320" s="14" t="n"/>
      <c r="N320" s="13" t="n"/>
      <c r="O320" s="13" t="n"/>
      <c r="P320" s="13">
        <f>IF(E320="Under review",COUNTIFS($E:$E,"Under review",$F:$F,"&lt;"&amp;F320)+COUNTIFS($E$1:E320,"Under review",$F$1:F320,F320),"")</f>
        <v/>
      </c>
      <c r="Q320" s="13">
        <f>IF(B320="","",A320&amp;"|"&amp;E320)</f>
        <v/>
      </c>
    </row>
    <row r="321">
      <c r="A321" s="13" t="n"/>
      <c r="B321" s="13" t="n"/>
      <c r="C321" s="13">
        <f>IF(B321="","",IFERROR(VLOOKUP(B321,Journals!$A:$B,2,FALSE),IFERROR(VLOOKUP(B321,'ABDC list'!$A:$B,2,FALSE),"")))</f>
        <v/>
      </c>
      <c r="D321" s="13" t="n"/>
      <c r="E321" s="13" t="n"/>
      <c r="F321" s="14" t="n"/>
      <c r="G321" s="14" t="n"/>
      <c r="H321" s="13">
        <f>IF(OR(F321="",E321="Planned"),"",IF(G321&lt;&gt;"",G321-F321,TODAY()-F321))</f>
        <v/>
      </c>
      <c r="I321" s="11" t="n"/>
      <c r="J321" s="11" t="n"/>
      <c r="K321" s="13" t="n"/>
      <c r="L321" s="11" t="n"/>
      <c r="M321" s="14" t="n"/>
      <c r="N321" s="13" t="n"/>
      <c r="O321" s="13" t="n"/>
      <c r="P321" s="13">
        <f>IF(E321="Under review",COUNTIFS($E:$E,"Under review",$F:$F,"&lt;"&amp;F321)+COUNTIFS($E$1:E321,"Under review",$F$1:F321,F321),"")</f>
        <v/>
      </c>
      <c r="Q321" s="13">
        <f>IF(B321="","",A321&amp;"|"&amp;E321)</f>
        <v/>
      </c>
    </row>
    <row r="322">
      <c r="A322" s="13" t="n"/>
      <c r="B322" s="13" t="n"/>
      <c r="C322" s="13">
        <f>IF(B322="","",IFERROR(VLOOKUP(B322,Journals!$A:$B,2,FALSE),IFERROR(VLOOKUP(B322,'ABDC list'!$A:$B,2,FALSE),"")))</f>
        <v/>
      </c>
      <c r="D322" s="13" t="n"/>
      <c r="E322" s="13" t="n"/>
      <c r="F322" s="14" t="n"/>
      <c r="G322" s="14" t="n"/>
      <c r="H322" s="13">
        <f>IF(OR(F322="",E322="Planned"),"",IF(G322&lt;&gt;"",G322-F322,TODAY()-F322))</f>
        <v/>
      </c>
      <c r="I322" s="11" t="n"/>
      <c r="J322" s="11" t="n"/>
      <c r="K322" s="13" t="n"/>
      <c r="L322" s="11" t="n"/>
      <c r="M322" s="14" t="n"/>
      <c r="N322" s="13" t="n"/>
      <c r="O322" s="13" t="n"/>
      <c r="P322" s="13">
        <f>IF(E322="Under review",COUNTIFS($E:$E,"Under review",$F:$F,"&lt;"&amp;F322)+COUNTIFS($E$1:E322,"Under review",$F$1:F322,F322),"")</f>
        <v/>
      </c>
      <c r="Q322" s="13">
        <f>IF(B322="","",A322&amp;"|"&amp;E322)</f>
        <v/>
      </c>
    </row>
    <row r="323">
      <c r="A323" s="13" t="n"/>
      <c r="B323" s="13" t="n"/>
      <c r="C323" s="13">
        <f>IF(B323="","",IFERROR(VLOOKUP(B323,Journals!$A:$B,2,FALSE),IFERROR(VLOOKUP(B323,'ABDC list'!$A:$B,2,FALSE),"")))</f>
        <v/>
      </c>
      <c r="D323" s="13" t="n"/>
      <c r="E323" s="13" t="n"/>
      <c r="F323" s="14" t="n"/>
      <c r="G323" s="14" t="n"/>
      <c r="H323" s="13">
        <f>IF(OR(F323="",E323="Planned"),"",IF(G323&lt;&gt;"",G323-F323,TODAY()-F323))</f>
        <v/>
      </c>
      <c r="I323" s="11" t="n"/>
      <c r="J323" s="11" t="n"/>
      <c r="K323" s="13" t="n"/>
      <c r="L323" s="11" t="n"/>
      <c r="M323" s="14" t="n"/>
      <c r="N323" s="13" t="n"/>
      <c r="O323" s="13" t="n"/>
      <c r="P323" s="13">
        <f>IF(E323="Under review",COUNTIFS($E:$E,"Under review",$F:$F,"&lt;"&amp;F323)+COUNTIFS($E$1:E323,"Under review",$F$1:F323,F323),"")</f>
        <v/>
      </c>
      <c r="Q323" s="13">
        <f>IF(B323="","",A323&amp;"|"&amp;E323)</f>
        <v/>
      </c>
    </row>
    <row r="324">
      <c r="A324" s="13" t="n"/>
      <c r="B324" s="13" t="n"/>
      <c r="C324" s="13">
        <f>IF(B324="","",IFERROR(VLOOKUP(B324,Journals!$A:$B,2,FALSE),IFERROR(VLOOKUP(B324,'ABDC list'!$A:$B,2,FALSE),"")))</f>
        <v/>
      </c>
      <c r="D324" s="13" t="n"/>
      <c r="E324" s="13" t="n"/>
      <c r="F324" s="14" t="n"/>
      <c r="G324" s="14" t="n"/>
      <c r="H324" s="13">
        <f>IF(OR(F324="",E324="Planned"),"",IF(G324&lt;&gt;"",G324-F324,TODAY()-F324))</f>
        <v/>
      </c>
      <c r="I324" s="11" t="n"/>
      <c r="J324" s="11" t="n"/>
      <c r="K324" s="13" t="n"/>
      <c r="L324" s="11" t="n"/>
      <c r="M324" s="14" t="n"/>
      <c r="N324" s="13" t="n"/>
      <c r="O324" s="13" t="n"/>
      <c r="P324" s="13">
        <f>IF(E324="Under review",COUNTIFS($E:$E,"Under review",$F:$F,"&lt;"&amp;F324)+COUNTIFS($E$1:E324,"Under review",$F$1:F324,F324),"")</f>
        <v/>
      </c>
      <c r="Q324" s="13">
        <f>IF(B324="","",A324&amp;"|"&amp;E324)</f>
        <v/>
      </c>
    </row>
    <row r="325">
      <c r="A325" s="13" t="n"/>
      <c r="B325" s="13" t="n"/>
      <c r="C325" s="13">
        <f>IF(B325="","",IFERROR(VLOOKUP(B325,Journals!$A:$B,2,FALSE),IFERROR(VLOOKUP(B325,'ABDC list'!$A:$B,2,FALSE),"")))</f>
        <v/>
      </c>
      <c r="D325" s="13" t="n"/>
      <c r="E325" s="13" t="n"/>
      <c r="F325" s="14" t="n"/>
      <c r="G325" s="14" t="n"/>
      <c r="H325" s="13">
        <f>IF(OR(F325="",E325="Planned"),"",IF(G325&lt;&gt;"",G325-F325,TODAY()-F325))</f>
        <v/>
      </c>
      <c r="I325" s="11" t="n"/>
      <c r="J325" s="11" t="n"/>
      <c r="K325" s="13" t="n"/>
      <c r="L325" s="11" t="n"/>
      <c r="M325" s="14" t="n"/>
      <c r="N325" s="13" t="n"/>
      <c r="O325" s="13" t="n"/>
      <c r="P325" s="13">
        <f>IF(E325="Under review",COUNTIFS($E:$E,"Under review",$F:$F,"&lt;"&amp;F325)+COUNTIFS($E$1:E325,"Under review",$F$1:F325,F325),"")</f>
        <v/>
      </c>
      <c r="Q325" s="13">
        <f>IF(B325="","",A325&amp;"|"&amp;E325)</f>
        <v/>
      </c>
    </row>
    <row r="326">
      <c r="A326" s="13" t="n"/>
      <c r="B326" s="13" t="n"/>
      <c r="C326" s="13">
        <f>IF(B326="","",IFERROR(VLOOKUP(B326,Journals!$A:$B,2,FALSE),IFERROR(VLOOKUP(B326,'ABDC list'!$A:$B,2,FALSE),"")))</f>
        <v/>
      </c>
      <c r="D326" s="13" t="n"/>
      <c r="E326" s="13" t="n"/>
      <c r="F326" s="14" t="n"/>
      <c r="G326" s="14" t="n"/>
      <c r="H326" s="13">
        <f>IF(OR(F326="",E326="Planned"),"",IF(G326&lt;&gt;"",G326-F326,TODAY()-F326))</f>
        <v/>
      </c>
      <c r="I326" s="11" t="n"/>
      <c r="J326" s="11" t="n"/>
      <c r="K326" s="13" t="n"/>
      <c r="L326" s="11" t="n"/>
      <c r="M326" s="14" t="n"/>
      <c r="N326" s="13" t="n"/>
      <c r="O326" s="13" t="n"/>
      <c r="P326" s="13">
        <f>IF(E326="Under review",COUNTIFS($E:$E,"Under review",$F:$F,"&lt;"&amp;F326)+COUNTIFS($E$1:E326,"Under review",$F$1:F326,F326),"")</f>
        <v/>
      </c>
      <c r="Q326" s="13">
        <f>IF(B326="","",A326&amp;"|"&amp;E326)</f>
        <v/>
      </c>
    </row>
    <row r="327">
      <c r="A327" s="13" t="n"/>
      <c r="B327" s="13" t="n"/>
      <c r="C327" s="13">
        <f>IF(B327="","",IFERROR(VLOOKUP(B327,Journals!$A:$B,2,FALSE),IFERROR(VLOOKUP(B327,'ABDC list'!$A:$B,2,FALSE),"")))</f>
        <v/>
      </c>
      <c r="D327" s="13" t="n"/>
      <c r="E327" s="13" t="n"/>
      <c r="F327" s="14" t="n"/>
      <c r="G327" s="14" t="n"/>
      <c r="H327" s="13">
        <f>IF(OR(F327="",E327="Planned"),"",IF(G327&lt;&gt;"",G327-F327,TODAY()-F327))</f>
        <v/>
      </c>
      <c r="I327" s="11" t="n"/>
      <c r="J327" s="11" t="n"/>
      <c r="K327" s="13" t="n"/>
      <c r="L327" s="11" t="n"/>
      <c r="M327" s="14" t="n"/>
      <c r="N327" s="13" t="n"/>
      <c r="O327" s="13" t="n"/>
      <c r="P327" s="13">
        <f>IF(E327="Under review",COUNTIFS($E:$E,"Under review",$F:$F,"&lt;"&amp;F327)+COUNTIFS($E$1:E327,"Under review",$F$1:F327,F327),"")</f>
        <v/>
      </c>
      <c r="Q327" s="13">
        <f>IF(B327="","",A327&amp;"|"&amp;E327)</f>
        <v/>
      </c>
    </row>
    <row r="328">
      <c r="A328" s="13" t="n"/>
      <c r="B328" s="13" t="n"/>
      <c r="C328" s="13">
        <f>IF(B328="","",IFERROR(VLOOKUP(B328,Journals!$A:$B,2,FALSE),IFERROR(VLOOKUP(B328,'ABDC list'!$A:$B,2,FALSE),"")))</f>
        <v/>
      </c>
      <c r="D328" s="13" t="n"/>
      <c r="E328" s="13" t="n"/>
      <c r="F328" s="14" t="n"/>
      <c r="G328" s="14" t="n"/>
      <c r="H328" s="13">
        <f>IF(OR(F328="",E328="Planned"),"",IF(G328&lt;&gt;"",G328-F328,TODAY()-F328))</f>
        <v/>
      </c>
      <c r="I328" s="11" t="n"/>
      <c r="J328" s="11" t="n"/>
      <c r="K328" s="13" t="n"/>
      <c r="L328" s="11" t="n"/>
      <c r="M328" s="14" t="n"/>
      <c r="N328" s="13" t="n"/>
      <c r="O328" s="13" t="n"/>
      <c r="P328" s="13">
        <f>IF(E328="Under review",COUNTIFS($E:$E,"Under review",$F:$F,"&lt;"&amp;F328)+COUNTIFS($E$1:E328,"Under review",$F$1:F328,F328),"")</f>
        <v/>
      </c>
      <c r="Q328" s="13">
        <f>IF(B328="","",A328&amp;"|"&amp;E328)</f>
        <v/>
      </c>
    </row>
    <row r="329">
      <c r="A329" s="13" t="n"/>
      <c r="B329" s="13" t="n"/>
      <c r="C329" s="13">
        <f>IF(B329="","",IFERROR(VLOOKUP(B329,Journals!$A:$B,2,FALSE),IFERROR(VLOOKUP(B329,'ABDC list'!$A:$B,2,FALSE),"")))</f>
        <v/>
      </c>
      <c r="D329" s="13" t="n"/>
      <c r="E329" s="13" t="n"/>
      <c r="F329" s="14" t="n"/>
      <c r="G329" s="14" t="n"/>
      <c r="H329" s="13">
        <f>IF(OR(F329="",E329="Planned"),"",IF(G329&lt;&gt;"",G329-F329,TODAY()-F329))</f>
        <v/>
      </c>
      <c r="I329" s="11" t="n"/>
      <c r="J329" s="11" t="n"/>
      <c r="K329" s="13" t="n"/>
      <c r="L329" s="11" t="n"/>
      <c r="M329" s="14" t="n"/>
      <c r="N329" s="13" t="n"/>
      <c r="O329" s="13" t="n"/>
      <c r="P329" s="13">
        <f>IF(E329="Under review",COUNTIFS($E:$E,"Under review",$F:$F,"&lt;"&amp;F329)+COUNTIFS($E$1:E329,"Under review",$F$1:F329,F329),"")</f>
        <v/>
      </c>
      <c r="Q329" s="13">
        <f>IF(B329="","",A329&amp;"|"&amp;E329)</f>
        <v/>
      </c>
    </row>
    <row r="330">
      <c r="A330" s="13" t="n"/>
      <c r="B330" s="13" t="n"/>
      <c r="C330" s="13">
        <f>IF(B330="","",IFERROR(VLOOKUP(B330,Journals!$A:$B,2,FALSE),IFERROR(VLOOKUP(B330,'ABDC list'!$A:$B,2,FALSE),"")))</f>
        <v/>
      </c>
      <c r="D330" s="13" t="n"/>
      <c r="E330" s="13" t="n"/>
      <c r="F330" s="14" t="n"/>
      <c r="G330" s="14" t="n"/>
      <c r="H330" s="13">
        <f>IF(OR(F330="",E330="Planned"),"",IF(G330&lt;&gt;"",G330-F330,TODAY()-F330))</f>
        <v/>
      </c>
      <c r="I330" s="11" t="n"/>
      <c r="J330" s="11" t="n"/>
      <c r="K330" s="13" t="n"/>
      <c r="L330" s="11" t="n"/>
      <c r="M330" s="14" t="n"/>
      <c r="N330" s="13" t="n"/>
      <c r="O330" s="13" t="n"/>
      <c r="P330" s="13">
        <f>IF(E330="Under review",COUNTIFS($E:$E,"Under review",$F:$F,"&lt;"&amp;F330)+COUNTIFS($E$1:E330,"Under review",$F$1:F330,F330),"")</f>
        <v/>
      </c>
      <c r="Q330" s="13">
        <f>IF(B330="","",A330&amp;"|"&amp;E330)</f>
        <v/>
      </c>
    </row>
    <row r="331">
      <c r="A331" s="13" t="n"/>
      <c r="B331" s="13" t="n"/>
      <c r="C331" s="13">
        <f>IF(B331="","",IFERROR(VLOOKUP(B331,Journals!$A:$B,2,FALSE),IFERROR(VLOOKUP(B331,'ABDC list'!$A:$B,2,FALSE),"")))</f>
        <v/>
      </c>
      <c r="D331" s="13" t="n"/>
      <c r="E331" s="13" t="n"/>
      <c r="F331" s="14" t="n"/>
      <c r="G331" s="14" t="n"/>
      <c r="H331" s="13">
        <f>IF(OR(F331="",E331="Planned"),"",IF(G331&lt;&gt;"",G331-F331,TODAY()-F331))</f>
        <v/>
      </c>
      <c r="I331" s="11" t="n"/>
      <c r="J331" s="11" t="n"/>
      <c r="K331" s="13" t="n"/>
      <c r="L331" s="11" t="n"/>
      <c r="M331" s="14" t="n"/>
      <c r="N331" s="13" t="n"/>
      <c r="O331" s="13" t="n"/>
      <c r="P331" s="13">
        <f>IF(E331="Under review",COUNTIFS($E:$E,"Under review",$F:$F,"&lt;"&amp;F331)+COUNTIFS($E$1:E331,"Under review",$F$1:F331,F331),"")</f>
        <v/>
      </c>
      <c r="Q331" s="13">
        <f>IF(B331="","",A331&amp;"|"&amp;E331)</f>
        <v/>
      </c>
    </row>
    <row r="332">
      <c r="A332" s="13" t="n"/>
      <c r="B332" s="13" t="n"/>
      <c r="C332" s="13">
        <f>IF(B332="","",IFERROR(VLOOKUP(B332,Journals!$A:$B,2,FALSE),IFERROR(VLOOKUP(B332,'ABDC list'!$A:$B,2,FALSE),"")))</f>
        <v/>
      </c>
      <c r="D332" s="13" t="n"/>
      <c r="E332" s="13" t="n"/>
      <c r="F332" s="14" t="n"/>
      <c r="G332" s="14" t="n"/>
      <c r="H332" s="13">
        <f>IF(OR(F332="",E332="Planned"),"",IF(G332&lt;&gt;"",G332-F332,TODAY()-F332))</f>
        <v/>
      </c>
      <c r="I332" s="11" t="n"/>
      <c r="J332" s="11" t="n"/>
      <c r="K332" s="13" t="n"/>
      <c r="L332" s="11" t="n"/>
      <c r="M332" s="14" t="n"/>
      <c r="N332" s="13" t="n"/>
      <c r="O332" s="13" t="n"/>
      <c r="P332" s="13">
        <f>IF(E332="Under review",COUNTIFS($E:$E,"Under review",$F:$F,"&lt;"&amp;F332)+COUNTIFS($E$1:E332,"Under review",$F$1:F332,F332),"")</f>
        <v/>
      </c>
      <c r="Q332" s="13">
        <f>IF(B332="","",A332&amp;"|"&amp;E332)</f>
        <v/>
      </c>
    </row>
    <row r="333">
      <c r="A333" s="13" t="n"/>
      <c r="B333" s="13" t="n"/>
      <c r="C333" s="13">
        <f>IF(B333="","",IFERROR(VLOOKUP(B333,Journals!$A:$B,2,FALSE),IFERROR(VLOOKUP(B333,'ABDC list'!$A:$B,2,FALSE),"")))</f>
        <v/>
      </c>
      <c r="D333" s="13" t="n"/>
      <c r="E333" s="13" t="n"/>
      <c r="F333" s="14" t="n"/>
      <c r="G333" s="14" t="n"/>
      <c r="H333" s="13">
        <f>IF(OR(F333="",E333="Planned"),"",IF(G333&lt;&gt;"",G333-F333,TODAY()-F333))</f>
        <v/>
      </c>
      <c r="I333" s="11" t="n"/>
      <c r="J333" s="11" t="n"/>
      <c r="K333" s="13" t="n"/>
      <c r="L333" s="11" t="n"/>
      <c r="M333" s="14" t="n"/>
      <c r="N333" s="13" t="n"/>
      <c r="O333" s="13" t="n"/>
      <c r="P333" s="13">
        <f>IF(E333="Under review",COUNTIFS($E:$E,"Under review",$F:$F,"&lt;"&amp;F333)+COUNTIFS($E$1:E333,"Under review",$F$1:F333,F333),"")</f>
        <v/>
      </c>
      <c r="Q333" s="13">
        <f>IF(B333="","",A333&amp;"|"&amp;E333)</f>
        <v/>
      </c>
    </row>
    <row r="334">
      <c r="A334" s="13" t="n"/>
      <c r="B334" s="13" t="n"/>
      <c r="C334" s="13">
        <f>IF(B334="","",IFERROR(VLOOKUP(B334,Journals!$A:$B,2,FALSE),IFERROR(VLOOKUP(B334,'ABDC list'!$A:$B,2,FALSE),"")))</f>
        <v/>
      </c>
      <c r="D334" s="13" t="n"/>
      <c r="E334" s="13" t="n"/>
      <c r="F334" s="14" t="n"/>
      <c r="G334" s="14" t="n"/>
      <c r="H334" s="13">
        <f>IF(OR(F334="",E334="Planned"),"",IF(G334&lt;&gt;"",G334-F334,TODAY()-F334))</f>
        <v/>
      </c>
      <c r="I334" s="11" t="n"/>
      <c r="J334" s="11" t="n"/>
      <c r="K334" s="13" t="n"/>
      <c r="L334" s="11" t="n"/>
      <c r="M334" s="14" t="n"/>
      <c r="N334" s="13" t="n"/>
      <c r="O334" s="13" t="n"/>
      <c r="P334" s="13">
        <f>IF(E334="Under review",COUNTIFS($E:$E,"Under review",$F:$F,"&lt;"&amp;F334)+COUNTIFS($E$1:E334,"Under review",$F$1:F334,F334),"")</f>
        <v/>
      </c>
      <c r="Q334" s="13">
        <f>IF(B334="","",A334&amp;"|"&amp;E334)</f>
        <v/>
      </c>
    </row>
    <row r="335">
      <c r="A335" s="13" t="n"/>
      <c r="B335" s="13" t="n"/>
      <c r="C335" s="13">
        <f>IF(B335="","",IFERROR(VLOOKUP(B335,Journals!$A:$B,2,FALSE),IFERROR(VLOOKUP(B335,'ABDC list'!$A:$B,2,FALSE),"")))</f>
        <v/>
      </c>
      <c r="D335" s="13" t="n"/>
      <c r="E335" s="13" t="n"/>
      <c r="F335" s="14" t="n"/>
      <c r="G335" s="14" t="n"/>
      <c r="H335" s="13">
        <f>IF(OR(F335="",E335="Planned"),"",IF(G335&lt;&gt;"",G335-F335,TODAY()-F335))</f>
        <v/>
      </c>
      <c r="I335" s="11" t="n"/>
      <c r="J335" s="11" t="n"/>
      <c r="K335" s="13" t="n"/>
      <c r="L335" s="11" t="n"/>
      <c r="M335" s="14" t="n"/>
      <c r="N335" s="13" t="n"/>
      <c r="O335" s="13" t="n"/>
      <c r="P335" s="13">
        <f>IF(E335="Under review",COUNTIFS($E:$E,"Under review",$F:$F,"&lt;"&amp;F335)+COUNTIFS($E$1:E335,"Under review",$F$1:F335,F335),"")</f>
        <v/>
      </c>
      <c r="Q335" s="13">
        <f>IF(B335="","",A335&amp;"|"&amp;E335)</f>
        <v/>
      </c>
    </row>
    <row r="336">
      <c r="A336" s="13" t="n"/>
      <c r="B336" s="13" t="n"/>
      <c r="C336" s="13">
        <f>IF(B336="","",IFERROR(VLOOKUP(B336,Journals!$A:$B,2,FALSE),IFERROR(VLOOKUP(B336,'ABDC list'!$A:$B,2,FALSE),"")))</f>
        <v/>
      </c>
      <c r="D336" s="13" t="n"/>
      <c r="E336" s="13" t="n"/>
      <c r="F336" s="14" t="n"/>
      <c r="G336" s="14" t="n"/>
      <c r="H336" s="13">
        <f>IF(OR(F336="",E336="Planned"),"",IF(G336&lt;&gt;"",G336-F336,TODAY()-F336))</f>
        <v/>
      </c>
      <c r="I336" s="11" t="n"/>
      <c r="J336" s="11" t="n"/>
      <c r="K336" s="13" t="n"/>
      <c r="L336" s="11" t="n"/>
      <c r="M336" s="14" t="n"/>
      <c r="N336" s="13" t="n"/>
      <c r="O336" s="13" t="n"/>
      <c r="P336" s="13">
        <f>IF(E336="Under review",COUNTIFS($E:$E,"Under review",$F:$F,"&lt;"&amp;F336)+COUNTIFS($E$1:E336,"Under review",$F$1:F336,F336),"")</f>
        <v/>
      </c>
      <c r="Q336" s="13">
        <f>IF(B336="","",A336&amp;"|"&amp;E336)</f>
        <v/>
      </c>
    </row>
    <row r="337">
      <c r="A337" s="13" t="n"/>
      <c r="B337" s="13" t="n"/>
      <c r="C337" s="13">
        <f>IF(B337="","",IFERROR(VLOOKUP(B337,Journals!$A:$B,2,FALSE),IFERROR(VLOOKUP(B337,'ABDC list'!$A:$B,2,FALSE),"")))</f>
        <v/>
      </c>
      <c r="D337" s="13" t="n"/>
      <c r="E337" s="13" t="n"/>
      <c r="F337" s="14" t="n"/>
      <c r="G337" s="14" t="n"/>
      <c r="H337" s="13">
        <f>IF(OR(F337="",E337="Planned"),"",IF(G337&lt;&gt;"",G337-F337,TODAY()-F337))</f>
        <v/>
      </c>
      <c r="I337" s="11" t="n"/>
      <c r="J337" s="11" t="n"/>
      <c r="K337" s="13" t="n"/>
      <c r="L337" s="11" t="n"/>
      <c r="M337" s="14" t="n"/>
      <c r="N337" s="13" t="n"/>
      <c r="O337" s="13" t="n"/>
      <c r="P337" s="13">
        <f>IF(E337="Under review",COUNTIFS($E:$E,"Under review",$F:$F,"&lt;"&amp;F337)+COUNTIFS($E$1:E337,"Under review",$F$1:F337,F337),"")</f>
        <v/>
      </c>
      <c r="Q337" s="13">
        <f>IF(B337="","",A337&amp;"|"&amp;E337)</f>
        <v/>
      </c>
    </row>
    <row r="338">
      <c r="A338" s="13" t="n"/>
      <c r="B338" s="13" t="n"/>
      <c r="C338" s="13">
        <f>IF(B338="","",IFERROR(VLOOKUP(B338,Journals!$A:$B,2,FALSE),IFERROR(VLOOKUP(B338,'ABDC list'!$A:$B,2,FALSE),"")))</f>
        <v/>
      </c>
      <c r="D338" s="13" t="n"/>
      <c r="E338" s="13" t="n"/>
      <c r="F338" s="14" t="n"/>
      <c r="G338" s="14" t="n"/>
      <c r="H338" s="13">
        <f>IF(OR(F338="",E338="Planned"),"",IF(G338&lt;&gt;"",G338-F338,TODAY()-F338))</f>
        <v/>
      </c>
      <c r="I338" s="11" t="n"/>
      <c r="J338" s="11" t="n"/>
      <c r="K338" s="13" t="n"/>
      <c r="L338" s="11" t="n"/>
      <c r="M338" s="14" t="n"/>
      <c r="N338" s="13" t="n"/>
      <c r="O338" s="13" t="n"/>
      <c r="P338" s="13">
        <f>IF(E338="Under review",COUNTIFS($E:$E,"Under review",$F:$F,"&lt;"&amp;F338)+COUNTIFS($E$1:E338,"Under review",$F$1:F338,F338),"")</f>
        <v/>
      </c>
      <c r="Q338" s="13">
        <f>IF(B338="","",A338&amp;"|"&amp;E338)</f>
        <v/>
      </c>
    </row>
    <row r="339">
      <c r="A339" s="13" t="n"/>
      <c r="B339" s="13" t="n"/>
      <c r="C339" s="13">
        <f>IF(B339="","",IFERROR(VLOOKUP(B339,Journals!$A:$B,2,FALSE),IFERROR(VLOOKUP(B339,'ABDC list'!$A:$B,2,FALSE),"")))</f>
        <v/>
      </c>
      <c r="D339" s="13" t="n"/>
      <c r="E339" s="13" t="n"/>
      <c r="F339" s="14" t="n"/>
      <c r="G339" s="14" t="n"/>
      <c r="H339" s="13">
        <f>IF(OR(F339="",E339="Planned"),"",IF(G339&lt;&gt;"",G339-F339,TODAY()-F339))</f>
        <v/>
      </c>
      <c r="I339" s="11" t="n"/>
      <c r="J339" s="11" t="n"/>
      <c r="K339" s="13" t="n"/>
      <c r="L339" s="11" t="n"/>
      <c r="M339" s="14" t="n"/>
      <c r="N339" s="13" t="n"/>
      <c r="O339" s="13" t="n"/>
      <c r="P339" s="13">
        <f>IF(E339="Under review",COUNTIFS($E:$E,"Under review",$F:$F,"&lt;"&amp;F339)+COUNTIFS($E$1:E339,"Under review",$F$1:F339,F339),"")</f>
        <v/>
      </c>
      <c r="Q339" s="13">
        <f>IF(B339="","",A339&amp;"|"&amp;E339)</f>
        <v/>
      </c>
    </row>
    <row r="340">
      <c r="A340" s="13" t="n"/>
      <c r="B340" s="13" t="n"/>
      <c r="C340" s="13">
        <f>IF(B340="","",IFERROR(VLOOKUP(B340,Journals!$A:$B,2,FALSE),IFERROR(VLOOKUP(B340,'ABDC list'!$A:$B,2,FALSE),"")))</f>
        <v/>
      </c>
      <c r="D340" s="13" t="n"/>
      <c r="E340" s="13" t="n"/>
      <c r="F340" s="14" t="n"/>
      <c r="G340" s="14" t="n"/>
      <c r="H340" s="13">
        <f>IF(OR(F340="",E340="Planned"),"",IF(G340&lt;&gt;"",G340-F340,TODAY()-F340))</f>
        <v/>
      </c>
      <c r="I340" s="11" t="n"/>
      <c r="J340" s="11" t="n"/>
      <c r="K340" s="13" t="n"/>
      <c r="L340" s="11" t="n"/>
      <c r="M340" s="14" t="n"/>
      <c r="N340" s="13" t="n"/>
      <c r="O340" s="13" t="n"/>
      <c r="P340" s="13">
        <f>IF(E340="Under review",COUNTIFS($E:$E,"Under review",$F:$F,"&lt;"&amp;F340)+COUNTIFS($E$1:E340,"Under review",$F$1:F340,F340),"")</f>
        <v/>
      </c>
      <c r="Q340" s="13">
        <f>IF(B340="","",A340&amp;"|"&amp;E340)</f>
        <v/>
      </c>
    </row>
    <row r="341">
      <c r="A341" s="13" t="n"/>
      <c r="B341" s="13" t="n"/>
      <c r="C341" s="13">
        <f>IF(B341="","",IFERROR(VLOOKUP(B341,Journals!$A:$B,2,FALSE),IFERROR(VLOOKUP(B341,'ABDC list'!$A:$B,2,FALSE),"")))</f>
        <v/>
      </c>
      <c r="D341" s="13" t="n"/>
      <c r="E341" s="13" t="n"/>
      <c r="F341" s="14" t="n"/>
      <c r="G341" s="14" t="n"/>
      <c r="H341" s="13">
        <f>IF(OR(F341="",E341="Planned"),"",IF(G341&lt;&gt;"",G341-F341,TODAY()-F341))</f>
        <v/>
      </c>
      <c r="I341" s="11" t="n"/>
      <c r="J341" s="11" t="n"/>
      <c r="K341" s="13" t="n"/>
      <c r="L341" s="11" t="n"/>
      <c r="M341" s="14" t="n"/>
      <c r="N341" s="13" t="n"/>
      <c r="O341" s="13" t="n"/>
      <c r="P341" s="13">
        <f>IF(E341="Under review",COUNTIFS($E:$E,"Under review",$F:$F,"&lt;"&amp;F341)+COUNTIFS($E$1:E341,"Under review",$F$1:F341,F341),"")</f>
        <v/>
      </c>
      <c r="Q341" s="13">
        <f>IF(B341="","",A341&amp;"|"&amp;E341)</f>
        <v/>
      </c>
    </row>
    <row r="342">
      <c r="A342" s="13" t="n"/>
      <c r="B342" s="13" t="n"/>
      <c r="C342" s="13">
        <f>IF(B342="","",IFERROR(VLOOKUP(B342,Journals!$A:$B,2,FALSE),IFERROR(VLOOKUP(B342,'ABDC list'!$A:$B,2,FALSE),"")))</f>
        <v/>
      </c>
      <c r="D342" s="13" t="n"/>
      <c r="E342" s="13" t="n"/>
      <c r="F342" s="14" t="n"/>
      <c r="G342" s="14" t="n"/>
      <c r="H342" s="13">
        <f>IF(OR(F342="",E342="Planned"),"",IF(G342&lt;&gt;"",G342-F342,TODAY()-F342))</f>
        <v/>
      </c>
      <c r="I342" s="11" t="n"/>
      <c r="J342" s="11" t="n"/>
      <c r="K342" s="13" t="n"/>
      <c r="L342" s="11" t="n"/>
      <c r="M342" s="14" t="n"/>
      <c r="N342" s="13" t="n"/>
      <c r="O342" s="13" t="n"/>
      <c r="P342" s="13">
        <f>IF(E342="Under review",COUNTIFS($E:$E,"Under review",$F:$F,"&lt;"&amp;F342)+COUNTIFS($E$1:E342,"Under review",$F$1:F342,F342),"")</f>
        <v/>
      </c>
      <c r="Q342" s="13">
        <f>IF(B342="","",A342&amp;"|"&amp;E342)</f>
        <v/>
      </c>
    </row>
    <row r="343">
      <c r="A343" s="13" t="n"/>
      <c r="B343" s="13" t="n"/>
      <c r="C343" s="13">
        <f>IF(B343="","",IFERROR(VLOOKUP(B343,Journals!$A:$B,2,FALSE),IFERROR(VLOOKUP(B343,'ABDC list'!$A:$B,2,FALSE),"")))</f>
        <v/>
      </c>
      <c r="D343" s="13" t="n"/>
      <c r="E343" s="13" t="n"/>
      <c r="F343" s="14" t="n"/>
      <c r="G343" s="14" t="n"/>
      <c r="H343" s="13">
        <f>IF(OR(F343="",E343="Planned"),"",IF(G343&lt;&gt;"",G343-F343,TODAY()-F343))</f>
        <v/>
      </c>
      <c r="I343" s="11" t="n"/>
      <c r="J343" s="11" t="n"/>
      <c r="K343" s="13" t="n"/>
      <c r="L343" s="11" t="n"/>
      <c r="M343" s="14" t="n"/>
      <c r="N343" s="13" t="n"/>
      <c r="O343" s="13" t="n"/>
      <c r="P343" s="13">
        <f>IF(E343="Under review",COUNTIFS($E:$E,"Under review",$F:$F,"&lt;"&amp;F343)+COUNTIFS($E$1:E343,"Under review",$F$1:F343,F343),"")</f>
        <v/>
      </c>
      <c r="Q343" s="13">
        <f>IF(B343="","",A343&amp;"|"&amp;E343)</f>
        <v/>
      </c>
    </row>
    <row r="344">
      <c r="A344" s="13" t="n"/>
      <c r="B344" s="13" t="n"/>
      <c r="C344" s="13">
        <f>IF(B344="","",IFERROR(VLOOKUP(B344,Journals!$A:$B,2,FALSE),IFERROR(VLOOKUP(B344,'ABDC list'!$A:$B,2,FALSE),"")))</f>
        <v/>
      </c>
      <c r="D344" s="13" t="n"/>
      <c r="E344" s="13" t="n"/>
      <c r="F344" s="14" t="n"/>
      <c r="G344" s="14" t="n"/>
      <c r="H344" s="13">
        <f>IF(OR(F344="",E344="Planned"),"",IF(G344&lt;&gt;"",G344-F344,TODAY()-F344))</f>
        <v/>
      </c>
      <c r="I344" s="11" t="n"/>
      <c r="J344" s="11" t="n"/>
      <c r="K344" s="13" t="n"/>
      <c r="L344" s="11" t="n"/>
      <c r="M344" s="14" t="n"/>
      <c r="N344" s="13" t="n"/>
      <c r="O344" s="13" t="n"/>
      <c r="P344" s="13">
        <f>IF(E344="Under review",COUNTIFS($E:$E,"Under review",$F:$F,"&lt;"&amp;F344)+COUNTIFS($E$1:E344,"Under review",$F$1:F344,F344),"")</f>
        <v/>
      </c>
      <c r="Q344" s="13">
        <f>IF(B344="","",A344&amp;"|"&amp;E344)</f>
        <v/>
      </c>
    </row>
    <row r="345">
      <c r="A345" s="13" t="n"/>
      <c r="B345" s="13" t="n"/>
      <c r="C345" s="13">
        <f>IF(B345="","",IFERROR(VLOOKUP(B345,Journals!$A:$B,2,FALSE),IFERROR(VLOOKUP(B345,'ABDC list'!$A:$B,2,FALSE),"")))</f>
        <v/>
      </c>
      <c r="D345" s="13" t="n"/>
      <c r="E345" s="13" t="n"/>
      <c r="F345" s="14" t="n"/>
      <c r="G345" s="14" t="n"/>
      <c r="H345" s="13">
        <f>IF(OR(F345="",E345="Planned"),"",IF(G345&lt;&gt;"",G345-F345,TODAY()-F345))</f>
        <v/>
      </c>
      <c r="I345" s="11" t="n"/>
      <c r="J345" s="11" t="n"/>
      <c r="K345" s="13" t="n"/>
      <c r="L345" s="11" t="n"/>
      <c r="M345" s="14" t="n"/>
      <c r="N345" s="13" t="n"/>
      <c r="O345" s="13" t="n"/>
      <c r="P345" s="13">
        <f>IF(E345="Under review",COUNTIFS($E:$E,"Under review",$F:$F,"&lt;"&amp;F345)+COUNTIFS($E$1:E345,"Under review",$F$1:F345,F345),"")</f>
        <v/>
      </c>
      <c r="Q345" s="13">
        <f>IF(B345="","",A345&amp;"|"&amp;E345)</f>
        <v/>
      </c>
    </row>
    <row r="346">
      <c r="A346" s="13" t="n"/>
      <c r="B346" s="13" t="n"/>
      <c r="C346" s="13">
        <f>IF(B346="","",IFERROR(VLOOKUP(B346,Journals!$A:$B,2,FALSE),IFERROR(VLOOKUP(B346,'ABDC list'!$A:$B,2,FALSE),"")))</f>
        <v/>
      </c>
      <c r="D346" s="13" t="n"/>
      <c r="E346" s="13" t="n"/>
      <c r="F346" s="14" t="n"/>
      <c r="G346" s="14" t="n"/>
      <c r="H346" s="13">
        <f>IF(OR(F346="",E346="Planned"),"",IF(G346&lt;&gt;"",G346-F346,TODAY()-F346))</f>
        <v/>
      </c>
      <c r="I346" s="11" t="n"/>
      <c r="J346" s="11" t="n"/>
      <c r="K346" s="13" t="n"/>
      <c r="L346" s="11" t="n"/>
      <c r="M346" s="14" t="n"/>
      <c r="N346" s="13" t="n"/>
      <c r="O346" s="13" t="n"/>
      <c r="P346" s="13">
        <f>IF(E346="Under review",COUNTIFS($E:$E,"Under review",$F:$F,"&lt;"&amp;F346)+COUNTIFS($E$1:E346,"Under review",$F$1:F346,F346),"")</f>
        <v/>
      </c>
      <c r="Q346" s="13">
        <f>IF(B346="","",A346&amp;"|"&amp;E346)</f>
        <v/>
      </c>
    </row>
    <row r="347">
      <c r="A347" s="13" t="n"/>
      <c r="B347" s="13" t="n"/>
      <c r="C347" s="13">
        <f>IF(B347="","",IFERROR(VLOOKUP(B347,Journals!$A:$B,2,FALSE),IFERROR(VLOOKUP(B347,'ABDC list'!$A:$B,2,FALSE),"")))</f>
        <v/>
      </c>
      <c r="D347" s="13" t="n"/>
      <c r="E347" s="13" t="n"/>
      <c r="F347" s="14" t="n"/>
      <c r="G347" s="14" t="n"/>
      <c r="H347" s="13">
        <f>IF(OR(F347="",E347="Planned"),"",IF(G347&lt;&gt;"",G347-F347,TODAY()-F347))</f>
        <v/>
      </c>
      <c r="I347" s="11" t="n"/>
      <c r="J347" s="11" t="n"/>
      <c r="K347" s="13" t="n"/>
      <c r="L347" s="11" t="n"/>
      <c r="M347" s="14" t="n"/>
      <c r="N347" s="13" t="n"/>
      <c r="O347" s="13" t="n"/>
      <c r="P347" s="13">
        <f>IF(E347="Under review",COUNTIFS($E:$E,"Under review",$F:$F,"&lt;"&amp;F347)+COUNTIFS($E$1:E347,"Under review",$F$1:F347,F347),"")</f>
        <v/>
      </c>
      <c r="Q347" s="13">
        <f>IF(B347="","",A347&amp;"|"&amp;E347)</f>
        <v/>
      </c>
    </row>
    <row r="348">
      <c r="A348" s="13" t="n"/>
      <c r="B348" s="13" t="n"/>
      <c r="C348" s="13">
        <f>IF(B348="","",IFERROR(VLOOKUP(B348,Journals!$A:$B,2,FALSE),IFERROR(VLOOKUP(B348,'ABDC list'!$A:$B,2,FALSE),"")))</f>
        <v/>
      </c>
      <c r="D348" s="13" t="n"/>
      <c r="E348" s="13" t="n"/>
      <c r="F348" s="14" t="n"/>
      <c r="G348" s="14" t="n"/>
      <c r="H348" s="13">
        <f>IF(OR(F348="",E348="Planned"),"",IF(G348&lt;&gt;"",G348-F348,TODAY()-F348))</f>
        <v/>
      </c>
      <c r="I348" s="11" t="n"/>
      <c r="J348" s="11" t="n"/>
      <c r="K348" s="13" t="n"/>
      <c r="L348" s="11" t="n"/>
      <c r="M348" s="14" t="n"/>
      <c r="N348" s="13" t="n"/>
      <c r="O348" s="13" t="n"/>
      <c r="P348" s="13">
        <f>IF(E348="Under review",COUNTIFS($E:$E,"Under review",$F:$F,"&lt;"&amp;F348)+COUNTIFS($E$1:E348,"Under review",$F$1:F348,F348),"")</f>
        <v/>
      </c>
      <c r="Q348" s="13">
        <f>IF(B348="","",A348&amp;"|"&amp;E348)</f>
        <v/>
      </c>
    </row>
    <row r="349">
      <c r="A349" s="13" t="n"/>
      <c r="B349" s="13" t="n"/>
      <c r="C349" s="13">
        <f>IF(B349="","",IFERROR(VLOOKUP(B349,Journals!$A:$B,2,FALSE),IFERROR(VLOOKUP(B349,'ABDC list'!$A:$B,2,FALSE),"")))</f>
        <v/>
      </c>
      <c r="D349" s="13" t="n"/>
      <c r="E349" s="13" t="n"/>
      <c r="F349" s="14" t="n"/>
      <c r="G349" s="14" t="n"/>
      <c r="H349" s="13">
        <f>IF(OR(F349="",E349="Planned"),"",IF(G349&lt;&gt;"",G349-F349,TODAY()-F349))</f>
        <v/>
      </c>
      <c r="I349" s="11" t="n"/>
      <c r="J349" s="11" t="n"/>
      <c r="K349" s="13" t="n"/>
      <c r="L349" s="11" t="n"/>
      <c r="M349" s="14" t="n"/>
      <c r="N349" s="13" t="n"/>
      <c r="O349" s="13" t="n"/>
      <c r="P349" s="13">
        <f>IF(E349="Under review",COUNTIFS($E:$E,"Under review",$F:$F,"&lt;"&amp;F349)+COUNTIFS($E$1:E349,"Under review",$F$1:F349,F349),"")</f>
        <v/>
      </c>
      <c r="Q349" s="13">
        <f>IF(B349="","",A349&amp;"|"&amp;E349)</f>
        <v/>
      </c>
    </row>
    <row r="350">
      <c r="A350" s="13" t="n"/>
      <c r="B350" s="13" t="n"/>
      <c r="C350" s="13">
        <f>IF(B350="","",IFERROR(VLOOKUP(B350,Journals!$A:$B,2,FALSE),IFERROR(VLOOKUP(B350,'ABDC list'!$A:$B,2,FALSE),"")))</f>
        <v/>
      </c>
      <c r="D350" s="13" t="n"/>
      <c r="E350" s="13" t="n"/>
      <c r="F350" s="14" t="n"/>
      <c r="G350" s="14" t="n"/>
      <c r="H350" s="13">
        <f>IF(OR(F350="",E350="Planned"),"",IF(G350&lt;&gt;"",G350-F350,TODAY()-F350))</f>
        <v/>
      </c>
      <c r="I350" s="11" t="n"/>
      <c r="J350" s="11" t="n"/>
      <c r="K350" s="13" t="n"/>
      <c r="L350" s="11" t="n"/>
      <c r="M350" s="14" t="n"/>
      <c r="N350" s="13" t="n"/>
      <c r="O350" s="13" t="n"/>
      <c r="P350" s="13">
        <f>IF(E350="Under review",COUNTIFS($E:$E,"Under review",$F:$F,"&lt;"&amp;F350)+COUNTIFS($E$1:E350,"Under review",$F$1:F350,F350),"")</f>
        <v/>
      </c>
      <c r="Q350" s="13">
        <f>IF(B350="","",A350&amp;"|"&amp;E350)</f>
        <v/>
      </c>
    </row>
    <row r="351">
      <c r="A351" s="13" t="n"/>
      <c r="B351" s="13" t="n"/>
      <c r="C351" s="13">
        <f>IF(B351="","",IFERROR(VLOOKUP(B351,Journals!$A:$B,2,FALSE),IFERROR(VLOOKUP(B351,'ABDC list'!$A:$B,2,FALSE),"")))</f>
        <v/>
      </c>
      <c r="D351" s="13" t="n"/>
      <c r="E351" s="13" t="n"/>
      <c r="F351" s="14" t="n"/>
      <c r="G351" s="14" t="n"/>
      <c r="H351" s="13">
        <f>IF(OR(F351="",E351="Planned"),"",IF(G351&lt;&gt;"",G351-F351,TODAY()-F351))</f>
        <v/>
      </c>
      <c r="I351" s="11" t="n"/>
      <c r="J351" s="11" t="n"/>
      <c r="K351" s="13" t="n"/>
      <c r="L351" s="11" t="n"/>
      <c r="M351" s="14" t="n"/>
      <c r="N351" s="13" t="n"/>
      <c r="O351" s="13" t="n"/>
      <c r="P351" s="13">
        <f>IF(E351="Under review",COUNTIFS($E:$E,"Under review",$F:$F,"&lt;"&amp;F351)+COUNTIFS($E$1:E351,"Under review",$F$1:F351,F351),"")</f>
        <v/>
      </c>
      <c r="Q351" s="13">
        <f>IF(B351="","",A351&amp;"|"&amp;E351)</f>
        <v/>
      </c>
    </row>
    <row r="352">
      <c r="A352" s="13" t="n"/>
      <c r="B352" s="13" t="n"/>
      <c r="C352" s="13">
        <f>IF(B352="","",IFERROR(VLOOKUP(B352,Journals!$A:$B,2,FALSE),IFERROR(VLOOKUP(B352,'ABDC list'!$A:$B,2,FALSE),"")))</f>
        <v/>
      </c>
      <c r="D352" s="13" t="n"/>
      <c r="E352" s="13" t="n"/>
      <c r="F352" s="14" t="n"/>
      <c r="G352" s="14" t="n"/>
      <c r="H352" s="13">
        <f>IF(OR(F352="",E352="Planned"),"",IF(G352&lt;&gt;"",G352-F352,TODAY()-F352))</f>
        <v/>
      </c>
      <c r="I352" s="11" t="n"/>
      <c r="J352" s="11" t="n"/>
      <c r="K352" s="13" t="n"/>
      <c r="L352" s="11" t="n"/>
      <c r="M352" s="14" t="n"/>
      <c r="N352" s="13" t="n"/>
      <c r="O352" s="13" t="n"/>
      <c r="P352" s="13">
        <f>IF(E352="Under review",COUNTIFS($E:$E,"Under review",$F:$F,"&lt;"&amp;F352)+COUNTIFS($E$1:E352,"Under review",$F$1:F352,F352),"")</f>
        <v/>
      </c>
      <c r="Q352" s="13">
        <f>IF(B352="","",A352&amp;"|"&amp;E352)</f>
        <v/>
      </c>
    </row>
    <row r="353">
      <c r="A353" s="13" t="n"/>
      <c r="B353" s="13" t="n"/>
      <c r="C353" s="13">
        <f>IF(B353="","",IFERROR(VLOOKUP(B353,Journals!$A:$B,2,FALSE),IFERROR(VLOOKUP(B353,'ABDC list'!$A:$B,2,FALSE),"")))</f>
        <v/>
      </c>
      <c r="D353" s="13" t="n"/>
      <c r="E353" s="13" t="n"/>
      <c r="F353" s="14" t="n"/>
      <c r="G353" s="14" t="n"/>
      <c r="H353" s="13">
        <f>IF(OR(F353="",E353="Planned"),"",IF(G353&lt;&gt;"",G353-F353,TODAY()-F353))</f>
        <v/>
      </c>
      <c r="I353" s="11" t="n"/>
      <c r="J353" s="11" t="n"/>
      <c r="K353" s="13" t="n"/>
      <c r="L353" s="11" t="n"/>
      <c r="M353" s="14" t="n"/>
      <c r="N353" s="13" t="n"/>
      <c r="O353" s="13" t="n"/>
      <c r="P353" s="13">
        <f>IF(E353="Under review",COUNTIFS($E:$E,"Under review",$F:$F,"&lt;"&amp;F353)+COUNTIFS($E$1:E353,"Under review",$F$1:F353,F353),"")</f>
        <v/>
      </c>
      <c r="Q353" s="13">
        <f>IF(B353="","",A353&amp;"|"&amp;E353)</f>
        <v/>
      </c>
    </row>
    <row r="354">
      <c r="A354" s="13" t="n"/>
      <c r="B354" s="13" t="n"/>
      <c r="C354" s="13">
        <f>IF(B354="","",IFERROR(VLOOKUP(B354,Journals!$A:$B,2,FALSE),IFERROR(VLOOKUP(B354,'ABDC list'!$A:$B,2,FALSE),"")))</f>
        <v/>
      </c>
      <c r="D354" s="13" t="n"/>
      <c r="E354" s="13" t="n"/>
      <c r="F354" s="14" t="n"/>
      <c r="G354" s="14" t="n"/>
      <c r="H354" s="13">
        <f>IF(OR(F354="",E354="Planned"),"",IF(G354&lt;&gt;"",G354-F354,TODAY()-F354))</f>
        <v/>
      </c>
      <c r="I354" s="11" t="n"/>
      <c r="J354" s="11" t="n"/>
      <c r="K354" s="13" t="n"/>
      <c r="L354" s="11" t="n"/>
      <c r="M354" s="14" t="n"/>
      <c r="N354" s="13" t="n"/>
      <c r="O354" s="13" t="n"/>
      <c r="P354" s="13">
        <f>IF(E354="Under review",COUNTIFS($E:$E,"Under review",$F:$F,"&lt;"&amp;F354)+COUNTIFS($E$1:E354,"Under review",$F$1:F354,F354),"")</f>
        <v/>
      </c>
      <c r="Q354" s="13">
        <f>IF(B354="","",A354&amp;"|"&amp;E354)</f>
        <v/>
      </c>
    </row>
    <row r="355">
      <c r="A355" s="13" t="n"/>
      <c r="B355" s="13" t="n"/>
      <c r="C355" s="13">
        <f>IF(B355="","",IFERROR(VLOOKUP(B355,Journals!$A:$B,2,FALSE),IFERROR(VLOOKUP(B355,'ABDC list'!$A:$B,2,FALSE),"")))</f>
        <v/>
      </c>
      <c r="D355" s="13" t="n"/>
      <c r="E355" s="13" t="n"/>
      <c r="F355" s="14" t="n"/>
      <c r="G355" s="14" t="n"/>
      <c r="H355" s="13">
        <f>IF(OR(F355="",E355="Planned"),"",IF(G355&lt;&gt;"",G355-F355,TODAY()-F355))</f>
        <v/>
      </c>
      <c r="I355" s="11" t="n"/>
      <c r="J355" s="11" t="n"/>
      <c r="K355" s="13" t="n"/>
      <c r="L355" s="11" t="n"/>
      <c r="M355" s="14" t="n"/>
      <c r="N355" s="13" t="n"/>
      <c r="O355" s="13" t="n"/>
      <c r="P355" s="13">
        <f>IF(E355="Under review",COUNTIFS($E:$E,"Under review",$F:$F,"&lt;"&amp;F355)+COUNTIFS($E$1:E355,"Under review",$F$1:F355,F355),"")</f>
        <v/>
      </c>
      <c r="Q355" s="13">
        <f>IF(B355="","",A355&amp;"|"&amp;E355)</f>
        <v/>
      </c>
    </row>
    <row r="356">
      <c r="A356" s="13" t="n"/>
      <c r="B356" s="13" t="n"/>
      <c r="C356" s="13">
        <f>IF(B356="","",IFERROR(VLOOKUP(B356,Journals!$A:$B,2,FALSE),IFERROR(VLOOKUP(B356,'ABDC list'!$A:$B,2,FALSE),"")))</f>
        <v/>
      </c>
      <c r="D356" s="13" t="n"/>
      <c r="E356" s="13" t="n"/>
      <c r="F356" s="14" t="n"/>
      <c r="G356" s="14" t="n"/>
      <c r="H356" s="13">
        <f>IF(OR(F356="",E356="Planned"),"",IF(G356&lt;&gt;"",G356-F356,TODAY()-F356))</f>
        <v/>
      </c>
      <c r="I356" s="11" t="n"/>
      <c r="J356" s="11" t="n"/>
      <c r="K356" s="13" t="n"/>
      <c r="L356" s="11" t="n"/>
      <c r="M356" s="14" t="n"/>
      <c r="N356" s="13" t="n"/>
      <c r="O356" s="13" t="n"/>
      <c r="P356" s="13">
        <f>IF(E356="Under review",COUNTIFS($E:$E,"Under review",$F:$F,"&lt;"&amp;F356)+COUNTIFS($E$1:E356,"Under review",$F$1:F356,F356),"")</f>
        <v/>
      </c>
      <c r="Q356" s="13">
        <f>IF(B356="","",A356&amp;"|"&amp;E356)</f>
        <v/>
      </c>
    </row>
    <row r="357">
      <c r="A357" s="13" t="n"/>
      <c r="B357" s="13" t="n"/>
      <c r="C357" s="13">
        <f>IF(B357="","",IFERROR(VLOOKUP(B357,Journals!$A:$B,2,FALSE),IFERROR(VLOOKUP(B357,'ABDC list'!$A:$B,2,FALSE),"")))</f>
        <v/>
      </c>
      <c r="D357" s="13" t="n"/>
      <c r="E357" s="13" t="n"/>
      <c r="F357" s="14" t="n"/>
      <c r="G357" s="14" t="n"/>
      <c r="H357" s="13">
        <f>IF(OR(F357="",E357="Planned"),"",IF(G357&lt;&gt;"",G357-F357,TODAY()-F357))</f>
        <v/>
      </c>
      <c r="I357" s="11" t="n"/>
      <c r="J357" s="11" t="n"/>
      <c r="K357" s="13" t="n"/>
      <c r="L357" s="11" t="n"/>
      <c r="M357" s="14" t="n"/>
      <c r="N357" s="13" t="n"/>
      <c r="O357" s="13" t="n"/>
      <c r="P357" s="13">
        <f>IF(E357="Under review",COUNTIFS($E:$E,"Under review",$F:$F,"&lt;"&amp;F357)+COUNTIFS($E$1:E357,"Under review",$F$1:F357,F357),"")</f>
        <v/>
      </c>
      <c r="Q357" s="13">
        <f>IF(B357="","",A357&amp;"|"&amp;E357)</f>
        <v/>
      </c>
    </row>
    <row r="358">
      <c r="A358" s="13" t="n"/>
      <c r="B358" s="13" t="n"/>
      <c r="C358" s="13">
        <f>IF(B358="","",IFERROR(VLOOKUP(B358,Journals!$A:$B,2,FALSE),IFERROR(VLOOKUP(B358,'ABDC list'!$A:$B,2,FALSE),"")))</f>
        <v/>
      </c>
      <c r="D358" s="13" t="n"/>
      <c r="E358" s="13" t="n"/>
      <c r="F358" s="14" t="n"/>
      <c r="G358" s="14" t="n"/>
      <c r="H358" s="13">
        <f>IF(OR(F358="",E358="Planned"),"",IF(G358&lt;&gt;"",G358-F358,TODAY()-F358))</f>
        <v/>
      </c>
      <c r="I358" s="11" t="n"/>
      <c r="J358" s="11" t="n"/>
      <c r="K358" s="13" t="n"/>
      <c r="L358" s="11" t="n"/>
      <c r="M358" s="14" t="n"/>
      <c r="N358" s="13" t="n"/>
      <c r="O358" s="13" t="n"/>
      <c r="P358" s="13">
        <f>IF(E358="Under review",COUNTIFS($E:$E,"Under review",$F:$F,"&lt;"&amp;F358)+COUNTIFS($E$1:E358,"Under review",$F$1:F358,F358),"")</f>
        <v/>
      </c>
      <c r="Q358" s="13">
        <f>IF(B358="","",A358&amp;"|"&amp;E358)</f>
        <v/>
      </c>
    </row>
    <row r="359">
      <c r="A359" s="13" t="n"/>
      <c r="B359" s="13" t="n"/>
      <c r="C359" s="13">
        <f>IF(B359="","",IFERROR(VLOOKUP(B359,Journals!$A:$B,2,FALSE),IFERROR(VLOOKUP(B359,'ABDC list'!$A:$B,2,FALSE),"")))</f>
        <v/>
      </c>
      <c r="D359" s="13" t="n"/>
      <c r="E359" s="13" t="n"/>
      <c r="F359" s="14" t="n"/>
      <c r="G359" s="14" t="n"/>
      <c r="H359" s="13">
        <f>IF(OR(F359="",E359="Planned"),"",IF(G359&lt;&gt;"",G359-F359,TODAY()-F359))</f>
        <v/>
      </c>
      <c r="I359" s="11" t="n"/>
      <c r="J359" s="11" t="n"/>
      <c r="K359" s="13" t="n"/>
      <c r="L359" s="11" t="n"/>
      <c r="M359" s="14" t="n"/>
      <c r="N359" s="13" t="n"/>
      <c r="O359" s="13" t="n"/>
      <c r="P359" s="13">
        <f>IF(E359="Under review",COUNTIFS($E:$E,"Under review",$F:$F,"&lt;"&amp;F359)+COUNTIFS($E$1:E359,"Under review",$F$1:F359,F359),"")</f>
        <v/>
      </c>
      <c r="Q359" s="13">
        <f>IF(B359="","",A359&amp;"|"&amp;E359)</f>
        <v/>
      </c>
    </row>
    <row r="360">
      <c r="A360" s="13" t="n"/>
      <c r="B360" s="13" t="n"/>
      <c r="C360" s="13">
        <f>IF(B360="","",IFERROR(VLOOKUP(B360,Journals!$A:$B,2,FALSE),IFERROR(VLOOKUP(B360,'ABDC list'!$A:$B,2,FALSE),"")))</f>
        <v/>
      </c>
      <c r="D360" s="13" t="n"/>
      <c r="E360" s="13" t="n"/>
      <c r="F360" s="14" t="n"/>
      <c r="G360" s="14" t="n"/>
      <c r="H360" s="13">
        <f>IF(OR(F360="",E360="Planned"),"",IF(G360&lt;&gt;"",G360-F360,TODAY()-F360))</f>
        <v/>
      </c>
      <c r="I360" s="11" t="n"/>
      <c r="J360" s="11" t="n"/>
      <c r="K360" s="13" t="n"/>
      <c r="L360" s="11" t="n"/>
      <c r="M360" s="14" t="n"/>
      <c r="N360" s="13" t="n"/>
      <c r="O360" s="13" t="n"/>
      <c r="P360" s="13">
        <f>IF(E360="Under review",COUNTIFS($E:$E,"Under review",$F:$F,"&lt;"&amp;F360)+COUNTIFS($E$1:E360,"Under review",$F$1:F360,F360),"")</f>
        <v/>
      </c>
      <c r="Q360" s="13">
        <f>IF(B360="","",A360&amp;"|"&amp;E360)</f>
        <v/>
      </c>
    </row>
    <row r="361">
      <c r="A361" s="13" t="n"/>
      <c r="B361" s="13" t="n"/>
      <c r="C361" s="13">
        <f>IF(B361="","",IFERROR(VLOOKUP(B361,Journals!$A:$B,2,FALSE),IFERROR(VLOOKUP(B361,'ABDC list'!$A:$B,2,FALSE),"")))</f>
        <v/>
      </c>
      <c r="D361" s="13" t="n"/>
      <c r="E361" s="13" t="n"/>
      <c r="F361" s="14" t="n"/>
      <c r="G361" s="14" t="n"/>
      <c r="H361" s="13">
        <f>IF(OR(F361="",E361="Planned"),"",IF(G361&lt;&gt;"",G361-F361,TODAY()-F361))</f>
        <v/>
      </c>
      <c r="I361" s="11" t="n"/>
      <c r="J361" s="11" t="n"/>
      <c r="K361" s="13" t="n"/>
      <c r="L361" s="11" t="n"/>
      <c r="M361" s="14" t="n"/>
      <c r="N361" s="13" t="n"/>
      <c r="O361" s="13" t="n"/>
      <c r="P361" s="13">
        <f>IF(E361="Under review",COUNTIFS($E:$E,"Under review",$F:$F,"&lt;"&amp;F361)+COUNTIFS($E$1:E361,"Under review",$F$1:F361,F361),"")</f>
        <v/>
      </c>
      <c r="Q361" s="13">
        <f>IF(B361="","",A361&amp;"|"&amp;E361)</f>
        <v/>
      </c>
    </row>
    <row r="362">
      <c r="A362" s="13" t="n"/>
      <c r="B362" s="13" t="n"/>
      <c r="C362" s="13">
        <f>IF(B362="","",IFERROR(VLOOKUP(B362,Journals!$A:$B,2,FALSE),IFERROR(VLOOKUP(B362,'ABDC list'!$A:$B,2,FALSE),"")))</f>
        <v/>
      </c>
      <c r="D362" s="13" t="n"/>
      <c r="E362" s="13" t="n"/>
      <c r="F362" s="14" t="n"/>
      <c r="G362" s="14" t="n"/>
      <c r="H362" s="13">
        <f>IF(OR(F362="",E362="Planned"),"",IF(G362&lt;&gt;"",G362-F362,TODAY()-F362))</f>
        <v/>
      </c>
      <c r="I362" s="11" t="n"/>
      <c r="J362" s="11" t="n"/>
      <c r="K362" s="13" t="n"/>
      <c r="L362" s="11" t="n"/>
      <c r="M362" s="14" t="n"/>
      <c r="N362" s="13" t="n"/>
      <c r="O362" s="13" t="n"/>
      <c r="P362" s="13">
        <f>IF(E362="Under review",COUNTIFS($E:$E,"Under review",$F:$F,"&lt;"&amp;F362)+COUNTIFS($E$1:E362,"Under review",$F$1:F362,F362),"")</f>
        <v/>
      </c>
      <c r="Q362" s="13">
        <f>IF(B362="","",A362&amp;"|"&amp;E362)</f>
        <v/>
      </c>
    </row>
    <row r="363">
      <c r="A363" s="13" t="n"/>
      <c r="B363" s="13" t="n"/>
      <c r="C363" s="13">
        <f>IF(B363="","",IFERROR(VLOOKUP(B363,Journals!$A:$B,2,FALSE),IFERROR(VLOOKUP(B363,'ABDC list'!$A:$B,2,FALSE),"")))</f>
        <v/>
      </c>
      <c r="D363" s="13" t="n"/>
      <c r="E363" s="13" t="n"/>
      <c r="F363" s="14" t="n"/>
      <c r="G363" s="14" t="n"/>
      <c r="H363" s="13">
        <f>IF(OR(F363="",E363="Planned"),"",IF(G363&lt;&gt;"",G363-F363,TODAY()-F363))</f>
        <v/>
      </c>
      <c r="I363" s="11" t="n"/>
      <c r="J363" s="11" t="n"/>
      <c r="K363" s="13" t="n"/>
      <c r="L363" s="11" t="n"/>
      <c r="M363" s="14" t="n"/>
      <c r="N363" s="13" t="n"/>
      <c r="O363" s="13" t="n"/>
      <c r="P363" s="13">
        <f>IF(E363="Under review",COUNTIFS($E:$E,"Under review",$F:$F,"&lt;"&amp;F363)+COUNTIFS($E$1:E363,"Under review",$F$1:F363,F363),"")</f>
        <v/>
      </c>
      <c r="Q363" s="13">
        <f>IF(B363="","",A363&amp;"|"&amp;E363)</f>
        <v/>
      </c>
    </row>
    <row r="364">
      <c r="A364" s="13" t="n"/>
      <c r="B364" s="13" t="n"/>
      <c r="C364" s="13">
        <f>IF(B364="","",IFERROR(VLOOKUP(B364,Journals!$A:$B,2,FALSE),IFERROR(VLOOKUP(B364,'ABDC list'!$A:$B,2,FALSE),"")))</f>
        <v/>
      </c>
      <c r="D364" s="13" t="n"/>
      <c r="E364" s="13" t="n"/>
      <c r="F364" s="14" t="n"/>
      <c r="G364" s="14" t="n"/>
      <c r="H364" s="13">
        <f>IF(OR(F364="",E364="Planned"),"",IF(G364&lt;&gt;"",G364-F364,TODAY()-F364))</f>
        <v/>
      </c>
      <c r="I364" s="11" t="n"/>
      <c r="J364" s="11" t="n"/>
      <c r="K364" s="13" t="n"/>
      <c r="L364" s="11" t="n"/>
      <c r="M364" s="14" t="n"/>
      <c r="N364" s="13" t="n"/>
      <c r="O364" s="13" t="n"/>
      <c r="P364" s="13">
        <f>IF(E364="Under review",COUNTIFS($E:$E,"Under review",$F:$F,"&lt;"&amp;F364)+COUNTIFS($E$1:E364,"Under review",$F$1:F364,F364),"")</f>
        <v/>
      </c>
      <c r="Q364" s="13">
        <f>IF(B364="","",A364&amp;"|"&amp;E364)</f>
        <v/>
      </c>
    </row>
    <row r="365">
      <c r="A365" s="13" t="n"/>
      <c r="B365" s="13" t="n"/>
      <c r="C365" s="13">
        <f>IF(B365="","",IFERROR(VLOOKUP(B365,Journals!$A:$B,2,FALSE),IFERROR(VLOOKUP(B365,'ABDC list'!$A:$B,2,FALSE),"")))</f>
        <v/>
      </c>
      <c r="D365" s="13" t="n"/>
      <c r="E365" s="13" t="n"/>
      <c r="F365" s="14" t="n"/>
      <c r="G365" s="14" t="n"/>
      <c r="H365" s="13">
        <f>IF(OR(F365="",E365="Planned"),"",IF(G365&lt;&gt;"",G365-F365,TODAY()-F365))</f>
        <v/>
      </c>
      <c r="I365" s="11" t="n"/>
      <c r="J365" s="11" t="n"/>
      <c r="K365" s="13" t="n"/>
      <c r="L365" s="11" t="n"/>
      <c r="M365" s="14" t="n"/>
      <c r="N365" s="13" t="n"/>
      <c r="O365" s="13" t="n"/>
      <c r="P365" s="13">
        <f>IF(E365="Under review",COUNTIFS($E:$E,"Under review",$F:$F,"&lt;"&amp;F365)+COUNTIFS($E$1:E365,"Under review",$F$1:F365,F365),"")</f>
        <v/>
      </c>
      <c r="Q365" s="13">
        <f>IF(B365="","",A365&amp;"|"&amp;E365)</f>
        <v/>
      </c>
    </row>
    <row r="366">
      <c r="A366" s="13" t="n"/>
      <c r="B366" s="13" t="n"/>
      <c r="C366" s="13">
        <f>IF(B366="","",IFERROR(VLOOKUP(B366,Journals!$A:$B,2,FALSE),IFERROR(VLOOKUP(B366,'ABDC list'!$A:$B,2,FALSE),"")))</f>
        <v/>
      </c>
      <c r="D366" s="13" t="n"/>
      <c r="E366" s="13" t="n"/>
      <c r="F366" s="14" t="n"/>
      <c r="G366" s="14" t="n"/>
      <c r="H366" s="13">
        <f>IF(OR(F366="",E366="Planned"),"",IF(G366&lt;&gt;"",G366-F366,TODAY()-F366))</f>
        <v/>
      </c>
      <c r="I366" s="11" t="n"/>
      <c r="J366" s="11" t="n"/>
      <c r="K366" s="13" t="n"/>
      <c r="L366" s="11" t="n"/>
      <c r="M366" s="14" t="n"/>
      <c r="N366" s="13" t="n"/>
      <c r="O366" s="13" t="n"/>
      <c r="P366" s="13">
        <f>IF(E366="Under review",COUNTIFS($E:$E,"Under review",$F:$F,"&lt;"&amp;F366)+COUNTIFS($E$1:E366,"Under review",$F$1:F366,F366),"")</f>
        <v/>
      </c>
      <c r="Q366" s="13">
        <f>IF(B366="","",A366&amp;"|"&amp;E366)</f>
        <v/>
      </c>
    </row>
    <row r="367">
      <c r="A367" s="13" t="n"/>
      <c r="B367" s="13" t="n"/>
      <c r="C367" s="13">
        <f>IF(B367="","",IFERROR(VLOOKUP(B367,Journals!$A:$B,2,FALSE),IFERROR(VLOOKUP(B367,'ABDC list'!$A:$B,2,FALSE),"")))</f>
        <v/>
      </c>
      <c r="D367" s="13" t="n"/>
      <c r="E367" s="13" t="n"/>
      <c r="F367" s="14" t="n"/>
      <c r="G367" s="14" t="n"/>
      <c r="H367" s="13">
        <f>IF(OR(F367="",E367="Planned"),"",IF(G367&lt;&gt;"",G367-F367,TODAY()-F367))</f>
        <v/>
      </c>
      <c r="I367" s="11" t="n"/>
      <c r="J367" s="11" t="n"/>
      <c r="K367" s="13" t="n"/>
      <c r="L367" s="11" t="n"/>
      <c r="M367" s="14" t="n"/>
      <c r="N367" s="13" t="n"/>
      <c r="O367" s="13" t="n"/>
      <c r="P367" s="13">
        <f>IF(E367="Under review",COUNTIFS($E:$E,"Under review",$F:$F,"&lt;"&amp;F367)+COUNTIFS($E$1:E367,"Under review",$F$1:F367,F367),"")</f>
        <v/>
      </c>
      <c r="Q367" s="13">
        <f>IF(B367="","",A367&amp;"|"&amp;E367)</f>
        <v/>
      </c>
    </row>
    <row r="368">
      <c r="A368" s="13" t="n"/>
      <c r="B368" s="13" t="n"/>
      <c r="C368" s="13">
        <f>IF(B368="","",IFERROR(VLOOKUP(B368,Journals!$A:$B,2,FALSE),IFERROR(VLOOKUP(B368,'ABDC list'!$A:$B,2,FALSE),"")))</f>
        <v/>
      </c>
      <c r="D368" s="13" t="n"/>
      <c r="E368" s="13" t="n"/>
      <c r="F368" s="14" t="n"/>
      <c r="G368" s="14" t="n"/>
      <c r="H368" s="13">
        <f>IF(OR(F368="",E368="Planned"),"",IF(G368&lt;&gt;"",G368-F368,TODAY()-F368))</f>
        <v/>
      </c>
      <c r="I368" s="11" t="n"/>
      <c r="J368" s="11" t="n"/>
      <c r="K368" s="13" t="n"/>
      <c r="L368" s="11" t="n"/>
      <c r="M368" s="14" t="n"/>
      <c r="N368" s="13" t="n"/>
      <c r="O368" s="13" t="n"/>
      <c r="P368" s="13">
        <f>IF(E368="Under review",COUNTIFS($E:$E,"Under review",$F:$F,"&lt;"&amp;F368)+COUNTIFS($E$1:E368,"Under review",$F$1:F368,F368),"")</f>
        <v/>
      </c>
      <c r="Q368" s="13">
        <f>IF(B368="","",A368&amp;"|"&amp;E368)</f>
        <v/>
      </c>
    </row>
    <row r="369">
      <c r="A369" s="13" t="n"/>
      <c r="B369" s="13" t="n"/>
      <c r="C369" s="13">
        <f>IF(B369="","",IFERROR(VLOOKUP(B369,Journals!$A:$B,2,FALSE),IFERROR(VLOOKUP(B369,'ABDC list'!$A:$B,2,FALSE),"")))</f>
        <v/>
      </c>
      <c r="D369" s="13" t="n"/>
      <c r="E369" s="13" t="n"/>
      <c r="F369" s="14" t="n"/>
      <c r="G369" s="14" t="n"/>
      <c r="H369" s="13">
        <f>IF(OR(F369="",E369="Planned"),"",IF(G369&lt;&gt;"",G369-F369,TODAY()-F369))</f>
        <v/>
      </c>
      <c r="I369" s="11" t="n"/>
      <c r="J369" s="11" t="n"/>
      <c r="K369" s="13" t="n"/>
      <c r="L369" s="11" t="n"/>
      <c r="M369" s="14" t="n"/>
      <c r="N369" s="13" t="n"/>
      <c r="O369" s="13" t="n"/>
      <c r="P369" s="13">
        <f>IF(E369="Under review",COUNTIFS($E:$E,"Under review",$F:$F,"&lt;"&amp;F369)+COUNTIFS($E$1:E369,"Under review",$F$1:F369,F369),"")</f>
        <v/>
      </c>
      <c r="Q369" s="13">
        <f>IF(B369="","",A369&amp;"|"&amp;E369)</f>
        <v/>
      </c>
    </row>
    <row r="370">
      <c r="A370" s="13" t="n"/>
      <c r="B370" s="13" t="n"/>
      <c r="C370" s="13">
        <f>IF(B370="","",IFERROR(VLOOKUP(B370,Journals!$A:$B,2,FALSE),IFERROR(VLOOKUP(B370,'ABDC list'!$A:$B,2,FALSE),"")))</f>
        <v/>
      </c>
      <c r="D370" s="13" t="n"/>
      <c r="E370" s="13" t="n"/>
      <c r="F370" s="14" t="n"/>
      <c r="G370" s="14" t="n"/>
      <c r="H370" s="13">
        <f>IF(OR(F370="",E370="Planned"),"",IF(G370&lt;&gt;"",G370-F370,TODAY()-F370))</f>
        <v/>
      </c>
      <c r="I370" s="11" t="n"/>
      <c r="J370" s="11" t="n"/>
      <c r="K370" s="13" t="n"/>
      <c r="L370" s="11" t="n"/>
      <c r="M370" s="14" t="n"/>
      <c r="N370" s="13" t="n"/>
      <c r="O370" s="13" t="n"/>
      <c r="P370" s="13">
        <f>IF(E370="Under review",COUNTIFS($E:$E,"Under review",$F:$F,"&lt;"&amp;F370)+COUNTIFS($E$1:E370,"Under review",$F$1:F370,F370),"")</f>
        <v/>
      </c>
      <c r="Q370" s="13">
        <f>IF(B370="","",A370&amp;"|"&amp;E370)</f>
        <v/>
      </c>
    </row>
    <row r="371">
      <c r="A371" s="13" t="n"/>
      <c r="B371" s="13" t="n"/>
      <c r="C371" s="13">
        <f>IF(B371="","",IFERROR(VLOOKUP(B371,Journals!$A:$B,2,FALSE),IFERROR(VLOOKUP(B371,'ABDC list'!$A:$B,2,FALSE),"")))</f>
        <v/>
      </c>
      <c r="D371" s="13" t="n"/>
      <c r="E371" s="13" t="n"/>
      <c r="F371" s="14" t="n"/>
      <c r="G371" s="14" t="n"/>
      <c r="H371" s="13">
        <f>IF(OR(F371="",E371="Planned"),"",IF(G371&lt;&gt;"",G371-F371,TODAY()-F371))</f>
        <v/>
      </c>
      <c r="I371" s="11" t="n"/>
      <c r="J371" s="11" t="n"/>
      <c r="K371" s="13" t="n"/>
      <c r="L371" s="11" t="n"/>
      <c r="M371" s="14" t="n"/>
      <c r="N371" s="13" t="n"/>
      <c r="O371" s="13" t="n"/>
      <c r="P371" s="13">
        <f>IF(E371="Under review",COUNTIFS($E:$E,"Under review",$F:$F,"&lt;"&amp;F371)+COUNTIFS($E$1:E371,"Under review",$F$1:F371,F371),"")</f>
        <v/>
      </c>
      <c r="Q371" s="13">
        <f>IF(B371="","",A371&amp;"|"&amp;E371)</f>
        <v/>
      </c>
    </row>
    <row r="372">
      <c r="A372" s="13" t="n"/>
      <c r="B372" s="13" t="n"/>
      <c r="C372" s="13">
        <f>IF(B372="","",IFERROR(VLOOKUP(B372,Journals!$A:$B,2,FALSE),IFERROR(VLOOKUP(B372,'ABDC list'!$A:$B,2,FALSE),"")))</f>
        <v/>
      </c>
      <c r="D372" s="13" t="n"/>
      <c r="E372" s="13" t="n"/>
      <c r="F372" s="14" t="n"/>
      <c r="G372" s="14" t="n"/>
      <c r="H372" s="13">
        <f>IF(OR(F372="",E372="Planned"),"",IF(G372&lt;&gt;"",G372-F372,TODAY()-F372))</f>
        <v/>
      </c>
      <c r="I372" s="11" t="n"/>
      <c r="J372" s="11" t="n"/>
      <c r="K372" s="13" t="n"/>
      <c r="L372" s="11" t="n"/>
      <c r="M372" s="14" t="n"/>
      <c r="N372" s="13" t="n"/>
      <c r="O372" s="13" t="n"/>
      <c r="P372" s="13">
        <f>IF(E372="Under review",COUNTIFS($E:$E,"Under review",$F:$F,"&lt;"&amp;F372)+COUNTIFS($E$1:E372,"Under review",$F$1:F372,F372),"")</f>
        <v/>
      </c>
      <c r="Q372" s="13">
        <f>IF(B372="","",A372&amp;"|"&amp;E372)</f>
        <v/>
      </c>
    </row>
    <row r="373">
      <c r="A373" s="13" t="n"/>
      <c r="B373" s="13" t="n"/>
      <c r="C373" s="13">
        <f>IF(B373="","",IFERROR(VLOOKUP(B373,Journals!$A:$B,2,FALSE),IFERROR(VLOOKUP(B373,'ABDC list'!$A:$B,2,FALSE),"")))</f>
        <v/>
      </c>
      <c r="D373" s="13" t="n"/>
      <c r="E373" s="13" t="n"/>
      <c r="F373" s="14" t="n"/>
      <c r="G373" s="14" t="n"/>
      <c r="H373" s="13">
        <f>IF(OR(F373="",E373="Planned"),"",IF(G373&lt;&gt;"",G373-F373,TODAY()-F373))</f>
        <v/>
      </c>
      <c r="I373" s="11" t="n"/>
      <c r="J373" s="11" t="n"/>
      <c r="K373" s="13" t="n"/>
      <c r="L373" s="11" t="n"/>
      <c r="M373" s="14" t="n"/>
      <c r="N373" s="13" t="n"/>
      <c r="O373" s="13" t="n"/>
      <c r="P373" s="13">
        <f>IF(E373="Under review",COUNTIFS($E:$E,"Under review",$F:$F,"&lt;"&amp;F373)+COUNTIFS($E$1:E373,"Under review",$F$1:F373,F373),"")</f>
        <v/>
      </c>
      <c r="Q373" s="13">
        <f>IF(B373="","",A373&amp;"|"&amp;E373)</f>
        <v/>
      </c>
    </row>
    <row r="374">
      <c r="A374" s="13" t="n"/>
      <c r="B374" s="13" t="n"/>
      <c r="C374" s="13">
        <f>IF(B374="","",IFERROR(VLOOKUP(B374,Journals!$A:$B,2,FALSE),IFERROR(VLOOKUP(B374,'ABDC list'!$A:$B,2,FALSE),"")))</f>
        <v/>
      </c>
      <c r="D374" s="13" t="n"/>
      <c r="E374" s="13" t="n"/>
      <c r="F374" s="14" t="n"/>
      <c r="G374" s="14" t="n"/>
      <c r="H374" s="13">
        <f>IF(OR(F374="",E374="Planned"),"",IF(G374&lt;&gt;"",G374-F374,TODAY()-F374))</f>
        <v/>
      </c>
      <c r="I374" s="11" t="n"/>
      <c r="J374" s="11" t="n"/>
      <c r="K374" s="13" t="n"/>
      <c r="L374" s="11" t="n"/>
      <c r="M374" s="14" t="n"/>
      <c r="N374" s="13" t="n"/>
      <c r="O374" s="13" t="n"/>
      <c r="P374" s="13">
        <f>IF(E374="Under review",COUNTIFS($E:$E,"Under review",$F:$F,"&lt;"&amp;F374)+COUNTIFS($E$1:E374,"Under review",$F$1:F374,F374),"")</f>
        <v/>
      </c>
      <c r="Q374" s="13">
        <f>IF(B374="","",A374&amp;"|"&amp;E374)</f>
        <v/>
      </c>
    </row>
    <row r="375">
      <c r="A375" s="13" t="n"/>
      <c r="B375" s="13" t="n"/>
      <c r="C375" s="13">
        <f>IF(B375="","",IFERROR(VLOOKUP(B375,Journals!$A:$B,2,FALSE),IFERROR(VLOOKUP(B375,'ABDC list'!$A:$B,2,FALSE),"")))</f>
        <v/>
      </c>
      <c r="D375" s="13" t="n"/>
      <c r="E375" s="13" t="n"/>
      <c r="F375" s="14" t="n"/>
      <c r="G375" s="14" t="n"/>
      <c r="H375" s="13">
        <f>IF(OR(F375="",E375="Planned"),"",IF(G375&lt;&gt;"",G375-F375,TODAY()-F375))</f>
        <v/>
      </c>
      <c r="I375" s="11" t="n"/>
      <c r="J375" s="11" t="n"/>
      <c r="K375" s="13" t="n"/>
      <c r="L375" s="11" t="n"/>
      <c r="M375" s="14" t="n"/>
      <c r="N375" s="13" t="n"/>
      <c r="O375" s="13" t="n"/>
      <c r="P375" s="13">
        <f>IF(E375="Under review",COUNTIFS($E:$E,"Under review",$F:$F,"&lt;"&amp;F375)+COUNTIFS($E$1:E375,"Under review",$F$1:F375,F375),"")</f>
        <v/>
      </c>
      <c r="Q375" s="13">
        <f>IF(B375="","",A375&amp;"|"&amp;E375)</f>
        <v/>
      </c>
    </row>
    <row r="376">
      <c r="A376" s="13" t="n"/>
      <c r="B376" s="13" t="n"/>
      <c r="C376" s="13">
        <f>IF(B376="","",IFERROR(VLOOKUP(B376,Journals!$A:$B,2,FALSE),IFERROR(VLOOKUP(B376,'ABDC list'!$A:$B,2,FALSE),"")))</f>
        <v/>
      </c>
      <c r="D376" s="13" t="n"/>
      <c r="E376" s="13" t="n"/>
      <c r="F376" s="14" t="n"/>
      <c r="G376" s="14" t="n"/>
      <c r="H376" s="13">
        <f>IF(OR(F376="",E376="Planned"),"",IF(G376&lt;&gt;"",G376-F376,TODAY()-F376))</f>
        <v/>
      </c>
      <c r="I376" s="11" t="n"/>
      <c r="J376" s="11" t="n"/>
      <c r="K376" s="13" t="n"/>
      <c r="L376" s="11" t="n"/>
      <c r="M376" s="14" t="n"/>
      <c r="N376" s="13" t="n"/>
      <c r="O376" s="13" t="n"/>
      <c r="P376" s="13">
        <f>IF(E376="Under review",COUNTIFS($E:$E,"Under review",$F:$F,"&lt;"&amp;F376)+COUNTIFS($E$1:E376,"Under review",$F$1:F376,F376),"")</f>
        <v/>
      </c>
      <c r="Q376" s="13">
        <f>IF(B376="","",A376&amp;"|"&amp;E376)</f>
        <v/>
      </c>
    </row>
    <row r="377">
      <c r="A377" s="13" t="n"/>
      <c r="B377" s="13" t="n"/>
      <c r="C377" s="13">
        <f>IF(B377="","",IFERROR(VLOOKUP(B377,Journals!$A:$B,2,FALSE),IFERROR(VLOOKUP(B377,'ABDC list'!$A:$B,2,FALSE),"")))</f>
        <v/>
      </c>
      <c r="D377" s="13" t="n"/>
      <c r="E377" s="13" t="n"/>
      <c r="F377" s="14" t="n"/>
      <c r="G377" s="14" t="n"/>
      <c r="H377" s="13">
        <f>IF(OR(F377="",E377="Planned"),"",IF(G377&lt;&gt;"",G377-F377,TODAY()-F377))</f>
        <v/>
      </c>
      <c r="I377" s="11" t="n"/>
      <c r="J377" s="11" t="n"/>
      <c r="K377" s="13" t="n"/>
      <c r="L377" s="11" t="n"/>
      <c r="M377" s="14" t="n"/>
      <c r="N377" s="13" t="n"/>
      <c r="O377" s="13" t="n"/>
      <c r="P377" s="13">
        <f>IF(E377="Under review",COUNTIFS($E:$E,"Under review",$F:$F,"&lt;"&amp;F377)+COUNTIFS($E$1:E377,"Under review",$F$1:F377,F377),"")</f>
        <v/>
      </c>
      <c r="Q377" s="13">
        <f>IF(B377="","",A377&amp;"|"&amp;E377)</f>
        <v/>
      </c>
    </row>
    <row r="378">
      <c r="A378" s="13" t="n"/>
      <c r="B378" s="13" t="n"/>
      <c r="C378" s="13">
        <f>IF(B378="","",IFERROR(VLOOKUP(B378,Journals!$A:$B,2,FALSE),IFERROR(VLOOKUP(B378,'ABDC list'!$A:$B,2,FALSE),"")))</f>
        <v/>
      </c>
      <c r="D378" s="13" t="n"/>
      <c r="E378" s="13" t="n"/>
      <c r="F378" s="14" t="n"/>
      <c r="G378" s="14" t="n"/>
      <c r="H378" s="13">
        <f>IF(OR(F378="",E378="Planned"),"",IF(G378&lt;&gt;"",G378-F378,TODAY()-F378))</f>
        <v/>
      </c>
      <c r="I378" s="11" t="n"/>
      <c r="J378" s="11" t="n"/>
      <c r="K378" s="13" t="n"/>
      <c r="L378" s="11" t="n"/>
      <c r="M378" s="14" t="n"/>
      <c r="N378" s="13" t="n"/>
      <c r="O378" s="13" t="n"/>
      <c r="P378" s="13">
        <f>IF(E378="Under review",COUNTIFS($E:$E,"Under review",$F:$F,"&lt;"&amp;F378)+COUNTIFS($E$1:E378,"Under review",$F$1:F378,F378),"")</f>
        <v/>
      </c>
      <c r="Q378" s="13">
        <f>IF(B378="","",A378&amp;"|"&amp;E378)</f>
        <v/>
      </c>
    </row>
    <row r="379">
      <c r="A379" s="13" t="n"/>
      <c r="B379" s="13" t="n"/>
      <c r="C379" s="13">
        <f>IF(B379="","",IFERROR(VLOOKUP(B379,Journals!$A:$B,2,FALSE),IFERROR(VLOOKUP(B379,'ABDC list'!$A:$B,2,FALSE),"")))</f>
        <v/>
      </c>
      <c r="D379" s="13" t="n"/>
      <c r="E379" s="13" t="n"/>
      <c r="F379" s="14" t="n"/>
      <c r="G379" s="14" t="n"/>
      <c r="H379" s="13">
        <f>IF(OR(F379="",E379="Planned"),"",IF(G379&lt;&gt;"",G379-F379,TODAY()-F379))</f>
        <v/>
      </c>
      <c r="I379" s="11" t="n"/>
      <c r="J379" s="11" t="n"/>
      <c r="K379" s="13" t="n"/>
      <c r="L379" s="11" t="n"/>
      <c r="M379" s="14" t="n"/>
      <c r="N379" s="13" t="n"/>
      <c r="O379" s="13" t="n"/>
      <c r="P379" s="13">
        <f>IF(E379="Under review",COUNTIFS($E:$E,"Under review",$F:$F,"&lt;"&amp;F379)+COUNTIFS($E$1:E379,"Under review",$F$1:F379,F379),"")</f>
        <v/>
      </c>
      <c r="Q379" s="13">
        <f>IF(B379="","",A379&amp;"|"&amp;E379)</f>
        <v/>
      </c>
    </row>
    <row r="380">
      <c r="A380" s="13" t="n"/>
      <c r="B380" s="13" t="n"/>
      <c r="C380" s="13">
        <f>IF(B380="","",IFERROR(VLOOKUP(B380,Journals!$A:$B,2,FALSE),IFERROR(VLOOKUP(B380,'ABDC list'!$A:$B,2,FALSE),"")))</f>
        <v/>
      </c>
      <c r="D380" s="13" t="n"/>
      <c r="E380" s="13" t="n"/>
      <c r="F380" s="14" t="n"/>
      <c r="G380" s="14" t="n"/>
      <c r="H380" s="13">
        <f>IF(OR(F380="",E380="Planned"),"",IF(G380&lt;&gt;"",G380-F380,TODAY()-F380))</f>
        <v/>
      </c>
      <c r="I380" s="11" t="n"/>
      <c r="J380" s="11" t="n"/>
      <c r="K380" s="13" t="n"/>
      <c r="L380" s="11" t="n"/>
      <c r="M380" s="14" t="n"/>
      <c r="N380" s="13" t="n"/>
      <c r="O380" s="13" t="n"/>
      <c r="P380" s="13">
        <f>IF(E380="Under review",COUNTIFS($E:$E,"Under review",$F:$F,"&lt;"&amp;F380)+COUNTIFS($E$1:E380,"Under review",$F$1:F380,F380),"")</f>
        <v/>
      </c>
      <c r="Q380" s="13">
        <f>IF(B380="","",A380&amp;"|"&amp;E380)</f>
        <v/>
      </c>
    </row>
    <row r="381">
      <c r="A381" s="13" t="n"/>
      <c r="B381" s="13" t="n"/>
      <c r="C381" s="13">
        <f>IF(B381="","",IFERROR(VLOOKUP(B381,Journals!$A:$B,2,FALSE),IFERROR(VLOOKUP(B381,'ABDC list'!$A:$B,2,FALSE),"")))</f>
        <v/>
      </c>
      <c r="D381" s="13" t="n"/>
      <c r="E381" s="13" t="n"/>
      <c r="F381" s="14" t="n"/>
      <c r="G381" s="14" t="n"/>
      <c r="H381" s="13">
        <f>IF(OR(F381="",E381="Planned"),"",IF(G381&lt;&gt;"",G381-F381,TODAY()-F381))</f>
        <v/>
      </c>
      <c r="I381" s="11" t="n"/>
      <c r="J381" s="11" t="n"/>
      <c r="K381" s="13" t="n"/>
      <c r="L381" s="11" t="n"/>
      <c r="M381" s="14" t="n"/>
      <c r="N381" s="13" t="n"/>
      <c r="O381" s="13" t="n"/>
      <c r="P381" s="13">
        <f>IF(E381="Under review",COUNTIFS($E:$E,"Under review",$F:$F,"&lt;"&amp;F381)+COUNTIFS($E$1:E381,"Under review",$F$1:F381,F381),"")</f>
        <v/>
      </c>
      <c r="Q381" s="13">
        <f>IF(B381="","",A381&amp;"|"&amp;E381)</f>
        <v/>
      </c>
    </row>
    <row r="382">
      <c r="A382" s="13" t="n"/>
      <c r="B382" s="13" t="n"/>
      <c r="C382" s="13">
        <f>IF(B382="","",IFERROR(VLOOKUP(B382,Journals!$A:$B,2,FALSE),IFERROR(VLOOKUP(B382,'ABDC list'!$A:$B,2,FALSE),"")))</f>
        <v/>
      </c>
      <c r="D382" s="13" t="n"/>
      <c r="E382" s="13" t="n"/>
      <c r="F382" s="14" t="n"/>
      <c r="G382" s="14" t="n"/>
      <c r="H382" s="13">
        <f>IF(OR(F382="",E382="Planned"),"",IF(G382&lt;&gt;"",G382-F382,TODAY()-F382))</f>
        <v/>
      </c>
      <c r="I382" s="11" t="n"/>
      <c r="J382" s="11" t="n"/>
      <c r="K382" s="13" t="n"/>
      <c r="L382" s="11" t="n"/>
      <c r="M382" s="14" t="n"/>
      <c r="N382" s="13" t="n"/>
      <c r="O382" s="13" t="n"/>
      <c r="P382" s="13">
        <f>IF(E382="Under review",COUNTIFS($E:$E,"Under review",$F:$F,"&lt;"&amp;F382)+COUNTIFS($E$1:E382,"Under review",$F$1:F382,F382),"")</f>
        <v/>
      </c>
      <c r="Q382" s="13">
        <f>IF(B382="","",A382&amp;"|"&amp;E382)</f>
        <v/>
      </c>
    </row>
    <row r="383">
      <c r="A383" s="13" t="n"/>
      <c r="B383" s="13" t="n"/>
      <c r="C383" s="13">
        <f>IF(B383="","",IFERROR(VLOOKUP(B383,Journals!$A:$B,2,FALSE),IFERROR(VLOOKUP(B383,'ABDC list'!$A:$B,2,FALSE),"")))</f>
        <v/>
      </c>
      <c r="D383" s="13" t="n"/>
      <c r="E383" s="13" t="n"/>
      <c r="F383" s="14" t="n"/>
      <c r="G383" s="14" t="n"/>
      <c r="H383" s="13">
        <f>IF(OR(F383="",E383="Planned"),"",IF(G383&lt;&gt;"",G383-F383,TODAY()-F383))</f>
        <v/>
      </c>
      <c r="I383" s="11" t="n"/>
      <c r="J383" s="11" t="n"/>
      <c r="K383" s="13" t="n"/>
      <c r="L383" s="11" t="n"/>
      <c r="M383" s="14" t="n"/>
      <c r="N383" s="13" t="n"/>
      <c r="O383" s="13" t="n"/>
      <c r="P383" s="13">
        <f>IF(E383="Under review",COUNTIFS($E:$E,"Under review",$F:$F,"&lt;"&amp;F383)+COUNTIFS($E$1:E383,"Under review",$F$1:F383,F383),"")</f>
        <v/>
      </c>
      <c r="Q383" s="13">
        <f>IF(B383="","",A383&amp;"|"&amp;E383)</f>
        <v/>
      </c>
    </row>
    <row r="384">
      <c r="A384" s="13" t="n"/>
      <c r="B384" s="13" t="n"/>
      <c r="C384" s="13">
        <f>IF(B384="","",IFERROR(VLOOKUP(B384,Journals!$A:$B,2,FALSE),IFERROR(VLOOKUP(B384,'ABDC list'!$A:$B,2,FALSE),"")))</f>
        <v/>
      </c>
      <c r="D384" s="13" t="n"/>
      <c r="E384" s="13" t="n"/>
      <c r="F384" s="14" t="n"/>
      <c r="G384" s="14" t="n"/>
      <c r="H384" s="13">
        <f>IF(OR(F384="",E384="Planned"),"",IF(G384&lt;&gt;"",G384-F384,TODAY()-F384))</f>
        <v/>
      </c>
      <c r="I384" s="11" t="n"/>
      <c r="J384" s="11" t="n"/>
      <c r="K384" s="13" t="n"/>
      <c r="L384" s="11" t="n"/>
      <c r="M384" s="14" t="n"/>
      <c r="N384" s="13" t="n"/>
      <c r="O384" s="13" t="n"/>
      <c r="P384" s="13">
        <f>IF(E384="Under review",COUNTIFS($E:$E,"Under review",$F:$F,"&lt;"&amp;F384)+COUNTIFS($E$1:E384,"Under review",$F$1:F384,F384),"")</f>
        <v/>
      </c>
      <c r="Q384" s="13">
        <f>IF(B384="","",A384&amp;"|"&amp;E384)</f>
        <v/>
      </c>
    </row>
    <row r="385">
      <c r="A385" s="13" t="n"/>
      <c r="B385" s="13" t="n"/>
      <c r="C385" s="13">
        <f>IF(B385="","",IFERROR(VLOOKUP(B385,Journals!$A:$B,2,FALSE),IFERROR(VLOOKUP(B385,'ABDC list'!$A:$B,2,FALSE),"")))</f>
        <v/>
      </c>
      <c r="D385" s="13" t="n"/>
      <c r="E385" s="13" t="n"/>
      <c r="F385" s="14" t="n"/>
      <c r="G385" s="14" t="n"/>
      <c r="H385" s="13">
        <f>IF(OR(F385="",E385="Planned"),"",IF(G385&lt;&gt;"",G385-F385,TODAY()-F385))</f>
        <v/>
      </c>
      <c r="I385" s="11" t="n"/>
      <c r="J385" s="11" t="n"/>
      <c r="K385" s="13" t="n"/>
      <c r="L385" s="11" t="n"/>
      <c r="M385" s="14" t="n"/>
      <c r="N385" s="13" t="n"/>
      <c r="O385" s="13" t="n"/>
      <c r="P385" s="13">
        <f>IF(E385="Under review",COUNTIFS($E:$E,"Under review",$F:$F,"&lt;"&amp;F385)+COUNTIFS($E$1:E385,"Under review",$F$1:F385,F385),"")</f>
        <v/>
      </c>
      <c r="Q385" s="13">
        <f>IF(B385="","",A385&amp;"|"&amp;E385)</f>
        <v/>
      </c>
    </row>
    <row r="386">
      <c r="A386" s="13" t="n"/>
      <c r="B386" s="13" t="n"/>
      <c r="C386" s="13">
        <f>IF(B386="","",IFERROR(VLOOKUP(B386,Journals!$A:$B,2,FALSE),IFERROR(VLOOKUP(B386,'ABDC list'!$A:$B,2,FALSE),"")))</f>
        <v/>
      </c>
      <c r="D386" s="13" t="n"/>
      <c r="E386" s="13" t="n"/>
      <c r="F386" s="14" t="n"/>
      <c r="G386" s="14" t="n"/>
      <c r="H386" s="13">
        <f>IF(OR(F386="",E386="Planned"),"",IF(G386&lt;&gt;"",G386-F386,TODAY()-F386))</f>
        <v/>
      </c>
      <c r="I386" s="11" t="n"/>
      <c r="J386" s="11" t="n"/>
      <c r="K386" s="13" t="n"/>
      <c r="L386" s="11" t="n"/>
      <c r="M386" s="14" t="n"/>
      <c r="N386" s="13" t="n"/>
      <c r="O386" s="13" t="n"/>
      <c r="P386" s="13">
        <f>IF(E386="Under review",COUNTIFS($E:$E,"Under review",$F:$F,"&lt;"&amp;F386)+COUNTIFS($E$1:E386,"Under review",$F$1:F386,F386),"")</f>
        <v/>
      </c>
      <c r="Q386" s="13">
        <f>IF(B386="","",A386&amp;"|"&amp;E386)</f>
        <v/>
      </c>
    </row>
    <row r="387">
      <c r="A387" s="13" t="n"/>
      <c r="B387" s="13" t="n"/>
      <c r="C387" s="13">
        <f>IF(B387="","",IFERROR(VLOOKUP(B387,Journals!$A:$B,2,FALSE),IFERROR(VLOOKUP(B387,'ABDC list'!$A:$B,2,FALSE),"")))</f>
        <v/>
      </c>
      <c r="D387" s="13" t="n"/>
      <c r="E387" s="13" t="n"/>
      <c r="F387" s="14" t="n"/>
      <c r="G387" s="14" t="n"/>
      <c r="H387" s="13">
        <f>IF(OR(F387="",E387="Planned"),"",IF(G387&lt;&gt;"",G387-F387,TODAY()-F387))</f>
        <v/>
      </c>
      <c r="I387" s="11" t="n"/>
      <c r="J387" s="11" t="n"/>
      <c r="K387" s="13" t="n"/>
      <c r="L387" s="11" t="n"/>
      <c r="M387" s="14" t="n"/>
      <c r="N387" s="13" t="n"/>
      <c r="O387" s="13" t="n"/>
      <c r="P387" s="13">
        <f>IF(E387="Under review",COUNTIFS($E:$E,"Under review",$F:$F,"&lt;"&amp;F387)+COUNTIFS($E$1:E387,"Under review",$F$1:F387,F387),"")</f>
        <v/>
      </c>
      <c r="Q387" s="13">
        <f>IF(B387="","",A387&amp;"|"&amp;E387)</f>
        <v/>
      </c>
    </row>
    <row r="388">
      <c r="A388" s="13" t="n"/>
      <c r="B388" s="13" t="n"/>
      <c r="C388" s="13">
        <f>IF(B388="","",IFERROR(VLOOKUP(B388,Journals!$A:$B,2,FALSE),IFERROR(VLOOKUP(B388,'ABDC list'!$A:$B,2,FALSE),"")))</f>
        <v/>
      </c>
      <c r="D388" s="13" t="n"/>
      <c r="E388" s="13" t="n"/>
      <c r="F388" s="14" t="n"/>
      <c r="G388" s="14" t="n"/>
      <c r="H388" s="13">
        <f>IF(OR(F388="",E388="Planned"),"",IF(G388&lt;&gt;"",G388-F388,TODAY()-F388))</f>
        <v/>
      </c>
      <c r="I388" s="11" t="n"/>
      <c r="J388" s="11" t="n"/>
      <c r="K388" s="13" t="n"/>
      <c r="L388" s="11" t="n"/>
      <c r="M388" s="14" t="n"/>
      <c r="N388" s="13" t="n"/>
      <c r="O388" s="13" t="n"/>
      <c r="P388" s="13">
        <f>IF(E388="Under review",COUNTIFS($E:$E,"Under review",$F:$F,"&lt;"&amp;F388)+COUNTIFS($E$1:E388,"Under review",$F$1:F388,F388),"")</f>
        <v/>
      </c>
      <c r="Q388" s="13">
        <f>IF(B388="","",A388&amp;"|"&amp;E388)</f>
        <v/>
      </c>
    </row>
    <row r="389">
      <c r="A389" s="13" t="n"/>
      <c r="B389" s="13" t="n"/>
      <c r="C389" s="13">
        <f>IF(B389="","",IFERROR(VLOOKUP(B389,Journals!$A:$B,2,FALSE),IFERROR(VLOOKUP(B389,'ABDC list'!$A:$B,2,FALSE),"")))</f>
        <v/>
      </c>
      <c r="D389" s="13" t="n"/>
      <c r="E389" s="13" t="n"/>
      <c r="F389" s="14" t="n"/>
      <c r="G389" s="14" t="n"/>
      <c r="H389" s="13">
        <f>IF(OR(F389="",E389="Planned"),"",IF(G389&lt;&gt;"",G389-F389,TODAY()-F389))</f>
        <v/>
      </c>
      <c r="I389" s="11" t="n"/>
      <c r="J389" s="11" t="n"/>
      <c r="K389" s="13" t="n"/>
      <c r="L389" s="11" t="n"/>
      <c r="M389" s="14" t="n"/>
      <c r="N389" s="13" t="n"/>
      <c r="O389" s="13" t="n"/>
      <c r="P389" s="13">
        <f>IF(E389="Under review",COUNTIFS($E:$E,"Under review",$F:$F,"&lt;"&amp;F389)+COUNTIFS($E$1:E389,"Under review",$F$1:F389,F389),"")</f>
        <v/>
      </c>
      <c r="Q389" s="13">
        <f>IF(B389="","",A389&amp;"|"&amp;E389)</f>
        <v/>
      </c>
    </row>
    <row r="390">
      <c r="A390" s="13" t="n"/>
      <c r="B390" s="13" t="n"/>
      <c r="C390" s="13">
        <f>IF(B390="","",IFERROR(VLOOKUP(B390,Journals!$A:$B,2,FALSE),IFERROR(VLOOKUP(B390,'ABDC list'!$A:$B,2,FALSE),"")))</f>
        <v/>
      </c>
      <c r="D390" s="13" t="n"/>
      <c r="E390" s="13" t="n"/>
      <c r="F390" s="14" t="n"/>
      <c r="G390" s="14" t="n"/>
      <c r="H390" s="13">
        <f>IF(OR(F390="",E390="Planned"),"",IF(G390&lt;&gt;"",G390-F390,TODAY()-F390))</f>
        <v/>
      </c>
      <c r="I390" s="11" t="n"/>
      <c r="J390" s="11" t="n"/>
      <c r="K390" s="13" t="n"/>
      <c r="L390" s="11" t="n"/>
      <c r="M390" s="14" t="n"/>
      <c r="N390" s="13" t="n"/>
      <c r="O390" s="13" t="n"/>
      <c r="P390" s="13">
        <f>IF(E390="Under review",COUNTIFS($E:$E,"Under review",$F:$F,"&lt;"&amp;F390)+COUNTIFS($E$1:E390,"Under review",$F$1:F390,F390),"")</f>
        <v/>
      </c>
      <c r="Q390" s="13">
        <f>IF(B390="","",A390&amp;"|"&amp;E390)</f>
        <v/>
      </c>
    </row>
    <row r="391">
      <c r="A391" s="13" t="n"/>
      <c r="B391" s="13" t="n"/>
      <c r="C391" s="13">
        <f>IF(B391="","",IFERROR(VLOOKUP(B391,Journals!$A:$B,2,FALSE),IFERROR(VLOOKUP(B391,'ABDC list'!$A:$B,2,FALSE),"")))</f>
        <v/>
      </c>
      <c r="D391" s="13" t="n"/>
      <c r="E391" s="13" t="n"/>
      <c r="F391" s="14" t="n"/>
      <c r="G391" s="14" t="n"/>
      <c r="H391" s="13">
        <f>IF(OR(F391="",E391="Planned"),"",IF(G391&lt;&gt;"",G391-F391,TODAY()-F391))</f>
        <v/>
      </c>
      <c r="I391" s="11" t="n"/>
      <c r="J391" s="11" t="n"/>
      <c r="K391" s="13" t="n"/>
      <c r="L391" s="11" t="n"/>
      <c r="M391" s="14" t="n"/>
      <c r="N391" s="13" t="n"/>
      <c r="O391" s="13" t="n"/>
      <c r="P391" s="13">
        <f>IF(E391="Under review",COUNTIFS($E:$E,"Under review",$F:$F,"&lt;"&amp;F391)+COUNTIFS($E$1:E391,"Under review",$F$1:F391,F391),"")</f>
        <v/>
      </c>
      <c r="Q391" s="13">
        <f>IF(B391="","",A391&amp;"|"&amp;E391)</f>
        <v/>
      </c>
    </row>
    <row r="392">
      <c r="A392" s="13" t="n"/>
      <c r="B392" s="13" t="n"/>
      <c r="C392" s="13">
        <f>IF(B392="","",IFERROR(VLOOKUP(B392,Journals!$A:$B,2,FALSE),IFERROR(VLOOKUP(B392,'ABDC list'!$A:$B,2,FALSE),"")))</f>
        <v/>
      </c>
      <c r="D392" s="13" t="n"/>
      <c r="E392" s="13" t="n"/>
      <c r="F392" s="14" t="n"/>
      <c r="G392" s="14" t="n"/>
      <c r="H392" s="13">
        <f>IF(OR(F392="",E392="Planned"),"",IF(G392&lt;&gt;"",G392-F392,TODAY()-F392))</f>
        <v/>
      </c>
      <c r="I392" s="11" t="n"/>
      <c r="J392" s="11" t="n"/>
      <c r="K392" s="13" t="n"/>
      <c r="L392" s="11" t="n"/>
      <c r="M392" s="14" t="n"/>
      <c r="N392" s="13" t="n"/>
      <c r="O392" s="13" t="n"/>
      <c r="P392" s="13">
        <f>IF(E392="Under review",COUNTIFS($E:$E,"Under review",$F:$F,"&lt;"&amp;F392)+COUNTIFS($E$1:E392,"Under review",$F$1:F392,F392),"")</f>
        <v/>
      </c>
      <c r="Q392" s="13">
        <f>IF(B392="","",A392&amp;"|"&amp;E392)</f>
        <v/>
      </c>
    </row>
    <row r="393">
      <c r="A393" s="13" t="n"/>
      <c r="B393" s="13" t="n"/>
      <c r="C393" s="13">
        <f>IF(B393="","",IFERROR(VLOOKUP(B393,Journals!$A:$B,2,FALSE),IFERROR(VLOOKUP(B393,'ABDC list'!$A:$B,2,FALSE),"")))</f>
        <v/>
      </c>
      <c r="D393" s="13" t="n"/>
      <c r="E393" s="13" t="n"/>
      <c r="F393" s="14" t="n"/>
      <c r="G393" s="14" t="n"/>
      <c r="H393" s="13">
        <f>IF(OR(F393="",E393="Planned"),"",IF(G393&lt;&gt;"",G393-F393,TODAY()-F393))</f>
        <v/>
      </c>
      <c r="I393" s="11" t="n"/>
      <c r="J393" s="11" t="n"/>
      <c r="K393" s="13" t="n"/>
      <c r="L393" s="11" t="n"/>
      <c r="M393" s="14" t="n"/>
      <c r="N393" s="13" t="n"/>
      <c r="O393" s="13" t="n"/>
      <c r="P393" s="13">
        <f>IF(E393="Under review",COUNTIFS($E:$E,"Under review",$F:$F,"&lt;"&amp;F393)+COUNTIFS($E$1:E393,"Under review",$F$1:F393,F393),"")</f>
        <v/>
      </c>
      <c r="Q393" s="13">
        <f>IF(B393="","",A393&amp;"|"&amp;E393)</f>
        <v/>
      </c>
    </row>
    <row r="394">
      <c r="A394" s="13" t="n"/>
      <c r="B394" s="13" t="n"/>
      <c r="C394" s="13">
        <f>IF(B394="","",IFERROR(VLOOKUP(B394,Journals!$A:$B,2,FALSE),IFERROR(VLOOKUP(B394,'ABDC list'!$A:$B,2,FALSE),"")))</f>
        <v/>
      </c>
      <c r="D394" s="13" t="n"/>
      <c r="E394" s="13" t="n"/>
      <c r="F394" s="14" t="n"/>
      <c r="G394" s="14" t="n"/>
      <c r="H394" s="13">
        <f>IF(OR(F394="",E394="Planned"),"",IF(G394&lt;&gt;"",G394-F394,TODAY()-F394))</f>
        <v/>
      </c>
      <c r="I394" s="11" t="n"/>
      <c r="J394" s="11" t="n"/>
      <c r="K394" s="13" t="n"/>
      <c r="L394" s="11" t="n"/>
      <c r="M394" s="14" t="n"/>
      <c r="N394" s="13" t="n"/>
      <c r="O394" s="13" t="n"/>
      <c r="P394" s="13">
        <f>IF(E394="Under review",COUNTIFS($E:$E,"Under review",$F:$F,"&lt;"&amp;F394)+COUNTIFS($E$1:E394,"Under review",$F$1:F394,F394),"")</f>
        <v/>
      </c>
      <c r="Q394" s="13">
        <f>IF(B394="","",A394&amp;"|"&amp;E394)</f>
        <v/>
      </c>
    </row>
    <row r="395">
      <c r="A395" s="13" t="n"/>
      <c r="B395" s="13" t="n"/>
      <c r="C395" s="13">
        <f>IF(B395="","",IFERROR(VLOOKUP(B395,Journals!$A:$B,2,FALSE),IFERROR(VLOOKUP(B395,'ABDC list'!$A:$B,2,FALSE),"")))</f>
        <v/>
      </c>
      <c r="D395" s="13" t="n"/>
      <c r="E395" s="13" t="n"/>
      <c r="F395" s="14" t="n"/>
      <c r="G395" s="14" t="n"/>
      <c r="H395" s="13">
        <f>IF(OR(F395="",E395="Planned"),"",IF(G395&lt;&gt;"",G395-F395,TODAY()-F395))</f>
        <v/>
      </c>
      <c r="I395" s="11" t="n"/>
      <c r="J395" s="11" t="n"/>
      <c r="K395" s="13" t="n"/>
      <c r="L395" s="11" t="n"/>
      <c r="M395" s="14" t="n"/>
      <c r="N395" s="13" t="n"/>
      <c r="O395" s="13" t="n"/>
      <c r="P395" s="13">
        <f>IF(E395="Under review",COUNTIFS($E:$E,"Under review",$F:$F,"&lt;"&amp;F395)+COUNTIFS($E$1:E395,"Under review",$F$1:F395,F395),"")</f>
        <v/>
      </c>
      <c r="Q395" s="13">
        <f>IF(B395="","",A395&amp;"|"&amp;E395)</f>
        <v/>
      </c>
    </row>
    <row r="396">
      <c r="A396" s="13" t="n"/>
      <c r="B396" s="13" t="n"/>
      <c r="C396" s="13">
        <f>IF(B396="","",IFERROR(VLOOKUP(B396,Journals!$A:$B,2,FALSE),IFERROR(VLOOKUP(B396,'ABDC list'!$A:$B,2,FALSE),"")))</f>
        <v/>
      </c>
      <c r="D396" s="13" t="n"/>
      <c r="E396" s="13" t="n"/>
      <c r="F396" s="14" t="n"/>
      <c r="G396" s="14" t="n"/>
      <c r="H396" s="13">
        <f>IF(OR(F396="",E396="Planned"),"",IF(G396&lt;&gt;"",G396-F396,TODAY()-F396))</f>
        <v/>
      </c>
      <c r="I396" s="11" t="n"/>
      <c r="J396" s="11" t="n"/>
      <c r="K396" s="13" t="n"/>
      <c r="L396" s="11" t="n"/>
      <c r="M396" s="14" t="n"/>
      <c r="N396" s="13" t="n"/>
      <c r="O396" s="13" t="n"/>
      <c r="P396" s="13">
        <f>IF(E396="Under review",COUNTIFS($E:$E,"Under review",$F:$F,"&lt;"&amp;F396)+COUNTIFS($E$1:E396,"Under review",$F$1:F396,F396),"")</f>
        <v/>
      </c>
      <c r="Q396" s="13">
        <f>IF(B396="","",A396&amp;"|"&amp;E396)</f>
        <v/>
      </c>
    </row>
    <row r="397">
      <c r="A397" s="13" t="n"/>
      <c r="B397" s="13" t="n"/>
      <c r="C397" s="13">
        <f>IF(B397="","",IFERROR(VLOOKUP(B397,Journals!$A:$B,2,FALSE),IFERROR(VLOOKUP(B397,'ABDC list'!$A:$B,2,FALSE),"")))</f>
        <v/>
      </c>
      <c r="D397" s="13" t="n"/>
      <c r="E397" s="13" t="n"/>
      <c r="F397" s="14" t="n"/>
      <c r="G397" s="14" t="n"/>
      <c r="H397" s="13">
        <f>IF(OR(F397="",E397="Planned"),"",IF(G397&lt;&gt;"",G397-F397,TODAY()-F397))</f>
        <v/>
      </c>
      <c r="I397" s="11" t="n"/>
      <c r="J397" s="11" t="n"/>
      <c r="K397" s="13" t="n"/>
      <c r="L397" s="11" t="n"/>
      <c r="M397" s="14" t="n"/>
      <c r="N397" s="13" t="n"/>
      <c r="O397" s="13" t="n"/>
      <c r="P397" s="13">
        <f>IF(E397="Under review",COUNTIFS($E:$E,"Under review",$F:$F,"&lt;"&amp;F397)+COUNTIFS($E$1:E397,"Under review",$F$1:F397,F397),"")</f>
        <v/>
      </c>
      <c r="Q397" s="13">
        <f>IF(B397="","",A397&amp;"|"&amp;E397)</f>
        <v/>
      </c>
    </row>
    <row r="398">
      <c r="A398" s="13" t="n"/>
      <c r="B398" s="13" t="n"/>
      <c r="C398" s="13">
        <f>IF(B398="","",IFERROR(VLOOKUP(B398,Journals!$A:$B,2,FALSE),IFERROR(VLOOKUP(B398,'ABDC list'!$A:$B,2,FALSE),"")))</f>
        <v/>
      </c>
      <c r="D398" s="13" t="n"/>
      <c r="E398" s="13" t="n"/>
      <c r="F398" s="14" t="n"/>
      <c r="G398" s="14" t="n"/>
      <c r="H398" s="13">
        <f>IF(OR(F398="",E398="Planned"),"",IF(G398&lt;&gt;"",G398-F398,TODAY()-F398))</f>
        <v/>
      </c>
      <c r="I398" s="11" t="n"/>
      <c r="J398" s="11" t="n"/>
      <c r="K398" s="13" t="n"/>
      <c r="L398" s="11" t="n"/>
      <c r="M398" s="14" t="n"/>
      <c r="N398" s="13" t="n"/>
      <c r="O398" s="13" t="n"/>
      <c r="P398" s="13">
        <f>IF(E398="Under review",COUNTIFS($E:$E,"Under review",$F:$F,"&lt;"&amp;F398)+COUNTIFS($E$1:E398,"Under review",$F$1:F398,F398),"")</f>
        <v/>
      </c>
      <c r="Q398" s="13">
        <f>IF(B398="","",A398&amp;"|"&amp;E398)</f>
        <v/>
      </c>
    </row>
    <row r="399">
      <c r="A399" s="13" t="n"/>
      <c r="B399" s="13" t="n"/>
      <c r="C399" s="13">
        <f>IF(B399="","",IFERROR(VLOOKUP(B399,Journals!$A:$B,2,FALSE),IFERROR(VLOOKUP(B399,'ABDC list'!$A:$B,2,FALSE),"")))</f>
        <v/>
      </c>
      <c r="D399" s="13" t="n"/>
      <c r="E399" s="13" t="n"/>
      <c r="F399" s="14" t="n"/>
      <c r="G399" s="14" t="n"/>
      <c r="H399" s="13">
        <f>IF(OR(F399="",E399="Planned"),"",IF(G399&lt;&gt;"",G399-F399,TODAY()-F399))</f>
        <v/>
      </c>
      <c r="I399" s="11" t="n"/>
      <c r="J399" s="11" t="n"/>
      <c r="K399" s="13" t="n"/>
      <c r="L399" s="11" t="n"/>
      <c r="M399" s="14" t="n"/>
      <c r="N399" s="13" t="n"/>
      <c r="O399" s="13" t="n"/>
      <c r="P399" s="13">
        <f>IF(E399="Under review",COUNTIFS($E:$E,"Under review",$F:$F,"&lt;"&amp;F399)+COUNTIFS($E$1:E399,"Under review",$F$1:F399,F399),"")</f>
        <v/>
      </c>
      <c r="Q399" s="13">
        <f>IF(B399="","",A399&amp;"|"&amp;E399)</f>
        <v/>
      </c>
    </row>
    <row r="400">
      <c r="A400" s="13" t="n"/>
      <c r="B400" s="13" t="n"/>
      <c r="C400" s="13">
        <f>IF(B400="","",IFERROR(VLOOKUP(B400,Journals!$A:$B,2,FALSE),IFERROR(VLOOKUP(B400,'ABDC list'!$A:$B,2,FALSE),"")))</f>
        <v/>
      </c>
      <c r="D400" s="13" t="n"/>
      <c r="E400" s="13" t="n"/>
      <c r="F400" s="14" t="n"/>
      <c r="G400" s="14" t="n"/>
      <c r="H400" s="13">
        <f>IF(OR(F400="",E400="Planned"),"",IF(G400&lt;&gt;"",G400-F400,TODAY()-F400))</f>
        <v/>
      </c>
      <c r="I400" s="11" t="n"/>
      <c r="J400" s="11" t="n"/>
      <c r="K400" s="13" t="n"/>
      <c r="L400" s="11" t="n"/>
      <c r="M400" s="14" t="n"/>
      <c r="N400" s="13" t="n"/>
      <c r="O400" s="13" t="n"/>
      <c r="P400" s="13">
        <f>IF(E400="Under review",COUNTIFS($E:$E,"Under review",$F:$F,"&lt;"&amp;F400)+COUNTIFS($E$1:E400,"Under review",$F$1:F400,F400),"")</f>
        <v/>
      </c>
      <c r="Q400" s="13">
        <f>IF(B400="","",A400&amp;"|"&amp;E400)</f>
        <v/>
      </c>
    </row>
    <row r="401">
      <c r="A401" s="13" t="n"/>
      <c r="B401" s="13" t="n"/>
      <c r="C401" s="13">
        <f>IF(B401="","",IFERROR(VLOOKUP(B401,Journals!$A:$B,2,FALSE),IFERROR(VLOOKUP(B401,'ABDC list'!$A:$B,2,FALSE),"")))</f>
        <v/>
      </c>
      <c r="D401" s="13" t="n"/>
      <c r="E401" s="13" t="n"/>
      <c r="F401" s="14" t="n"/>
      <c r="G401" s="14" t="n"/>
      <c r="H401" s="13">
        <f>IF(OR(F401="",E401="Planned"),"",IF(G401&lt;&gt;"",G401-F401,TODAY()-F401))</f>
        <v/>
      </c>
      <c r="I401" s="11" t="n"/>
      <c r="J401" s="11" t="n"/>
      <c r="K401" s="13" t="n"/>
      <c r="L401" s="11" t="n"/>
      <c r="M401" s="14" t="n"/>
      <c r="N401" s="13" t="n"/>
      <c r="O401" s="13" t="n"/>
      <c r="P401" s="13">
        <f>IF(E401="Under review",COUNTIFS($E:$E,"Under review",$F:$F,"&lt;"&amp;F401)+COUNTIFS($E$1:E401,"Under review",$F$1:F401,F401),"")</f>
        <v/>
      </c>
      <c r="Q401" s="13">
        <f>IF(B401="","",A401&amp;"|"&amp;E401)</f>
        <v/>
      </c>
    </row>
  </sheetData>
  <conditionalFormatting sqref="A2:O401">
    <cfRule type="expression" priority="1" dxfId="2">
      <formula>$E2="Under review"</formula>
    </cfRule>
    <cfRule type="expression" priority="2" dxfId="3">
      <formula>$E2="Rejected"</formula>
    </cfRule>
    <cfRule type="expression" priority="3" dxfId="4">
      <formula>$E2="Accepted"</formula>
    </cfRule>
    <cfRule type="expression" priority="4" dxfId="5">
      <formula>OR($E2="Revision requested",$E2="Returned by office")</formula>
    </cfRule>
    <cfRule type="expression" priority="5" dxfId="6">
      <formula>$E2="Planned"</formula>
    </cfRule>
  </conditionalFormatting>
  <dataValidations count="3">
    <dataValidation sqref="E2:E401" showDropDown="0" showInputMessage="0" showErrorMessage="0" allowBlank="1" type="list">
      <formula1>"Planned,Under review,Revision requested,Revision resubmitted,Rejected,Returned by office,Accepted,Withdrawn"</formula1>
    </dataValidation>
    <dataValidation sqref="A2:A401" showDropDown="0" showInputMessage="0" showErrorMessage="0" allowBlank="1" type="list">
      <formula1>=Papers!$A$2:$A$200</formula1>
    </dataValidation>
    <dataValidation sqref="B2:B401" showDropDown="0" showInputMessage="0" showErrorMessage="0" allowBlank="1" type="list">
      <formula1>=Journals!$A$2:$A$400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60" customWidth="1" min="2" max="2"/>
    <col width="30" customWidth="1" min="3" max="3"/>
    <col width="16" customWidth="1" min="4" max="4"/>
    <col width="16" customWidth="1" min="5" max="5"/>
    <col width="40" customWidth="1" min="6" max="6"/>
    <col width="18" customWidth="1" min="7" max="7"/>
    <col width="34" customWidth="1" min="8" max="8"/>
    <col width="7" customWidth="1" min="9" max="9"/>
    <col width="10" customWidth="1" min="10" max="10"/>
    <col width="34" customWidth="1" min="11" max="11"/>
    <col width="70" customWidth="1" min="12" max="12"/>
    <col hidden="1" width="10" customWidth="1" min="13" max="13"/>
    <col hidden="1" width="16" customWidth="1" min="14" max="14"/>
    <col hidden="1" width="6" customWidth="1" min="15" max="15"/>
    <col width="22" customWidth="1" min="16" max="16"/>
  </cols>
  <sheetData>
    <row r="1" ht="30" customHeight="1">
      <c r="A1" s="12" t="inlineStr">
        <is>
          <t>Paper</t>
        </is>
      </c>
      <c r="B1" s="12" t="inlineStr">
        <is>
          <t>Title</t>
        </is>
      </c>
      <c r="C1" s="12" t="inlineStr">
        <is>
          <t>Authors</t>
        </is>
      </c>
      <c r="D1" s="12" t="inlineStr">
        <is>
          <t>Type</t>
        </is>
      </c>
      <c r="E1" s="12" t="inlineStr">
        <is>
          <t>Override</t>
        </is>
      </c>
      <c r="F1" s="12" t="inlineStr">
        <is>
          <t>Notes</t>
        </is>
      </c>
      <c r="G1" s="12" t="inlineStr">
        <is>
          <t>Stage</t>
        </is>
      </c>
      <c r="H1" s="12" t="inlineStr">
        <is>
          <t>Current journal</t>
        </is>
      </c>
      <c r="I1" s="12" t="inlineStr">
        <is>
          <t>Sent</t>
        </is>
      </c>
      <c r="J1" s="12" t="inlineStr">
        <is>
          <t>Rejections</t>
        </is>
      </c>
      <c r="K1" s="12" t="inlineStr">
        <is>
          <t>Next in queue</t>
        </is>
      </c>
      <c r="L1" s="12" t="inlineStr">
        <is>
          <t>Suggested next journals</t>
        </is>
      </c>
      <c r="M1" s="12" t="inlineStr">
        <is>
          <t>App ID</t>
        </is>
      </c>
      <c r="N1" s="12" t="inlineStr">
        <is>
          <t>Updated</t>
        </is>
      </c>
      <c r="O1" s="12" t="inlineStr">
        <is>
          <t>wait rank</t>
        </is>
      </c>
      <c r="P1" s="12" t="inlineStr">
        <is>
          <t>Approach</t>
        </is>
      </c>
    </row>
    <row r="2">
      <c r="A2" s="13" t="n"/>
      <c r="B2" s="11" t="n"/>
      <c r="C2" s="13" t="n"/>
      <c r="D2" s="13" t="n"/>
      <c r="E2" s="13" t="n"/>
      <c r="F2" s="11" t="n"/>
      <c r="G2" s="13">
        <f>IF(A2="","",IF(E2&lt;&gt;"",E2,IF(COUNTIFS(Submissions!$A:$A,A2,Submissions!$E:$E,"Accepted")&gt;0,"Accepted",IF(COUNTIFS(Submissions!$A:$A,A2,Submissions!$E:$E,"Revision requested")&gt;0,"Revision due",IF(COUNTIFS(Submissions!$A:$A,A2,Submissions!$E:$E,"Under review")&gt;0,"Under review",IF(I2&gt;0,"Needs resubmission","Not yet submitted"))))))</f>
        <v/>
      </c>
      <c r="H2" s="13">
        <f>IF(A2="","",IFERROR(INDEX(Submissions!$B:$B,MATCH(A2&amp;"|Under review",Submissions!$Q:$Q,0)),""))</f>
        <v/>
      </c>
      <c r="I2" s="13">
        <f>IF(A2="","",COUNTIFS(Submissions!$A:$A,A2,Submissions!$B:$B,"&lt;&gt;",Submissions!$E:$E,"&lt;&gt;Planned"))</f>
        <v/>
      </c>
      <c r="J2" s="13">
        <f>IF(A2="","",COUNTIFS(Submissions!$A:$A,A2,Submissions!$E:$E,"Rejected"))</f>
        <v/>
      </c>
      <c r="K2" s="13">
        <f>IF(A2="","",IFERROR(INDEX(Submissions!$B:$B,MATCH(A2&amp;"|Planned",Submissions!$Q:$Q,0)),""))</f>
        <v/>
      </c>
      <c r="L2" s="11" t="n"/>
      <c r="M2" s="13" t="n"/>
      <c r="N2" s="13" t="n"/>
      <c r="O2" s="13">
        <f>IF(OR(G2="Revision due",G2="Needs resubmission",G2="Not yet submitted"),COUNTIF($G$2:$G$200,"Revision due")*(G2&lt;&gt;"Revision due")+COUNTIF($G$2:$G$200,"Needs resubmission")*(G2="Not yet submitted")+COUNTIFS($G$2:G2,G2),"")</f>
        <v/>
      </c>
    </row>
    <row r="3">
      <c r="A3" s="13" t="n"/>
      <c r="B3" s="11" t="n"/>
      <c r="C3" s="13" t="n"/>
      <c r="D3" s="13" t="n"/>
      <c r="E3" s="13" t="n"/>
      <c r="F3" s="11" t="n"/>
      <c r="G3" s="13">
        <f>IF(A3="","",IF(E3&lt;&gt;"",E3,IF(COUNTIFS(Submissions!$A:$A,A3,Submissions!$E:$E,"Accepted")&gt;0,"Accepted",IF(COUNTIFS(Submissions!$A:$A,A3,Submissions!$E:$E,"Revision requested")&gt;0,"Revision due",IF(COUNTIFS(Submissions!$A:$A,A3,Submissions!$E:$E,"Under review")&gt;0,"Under review",IF(I3&gt;0,"Needs resubmission","Not yet submitted"))))))</f>
        <v/>
      </c>
      <c r="H3" s="13">
        <f>IF(A3="","",IFERROR(INDEX(Submissions!$B:$B,MATCH(A3&amp;"|Under review",Submissions!$Q:$Q,0)),""))</f>
        <v/>
      </c>
      <c r="I3" s="13">
        <f>IF(A3="","",COUNTIFS(Submissions!$A:$A,A3,Submissions!$B:$B,"&lt;&gt;",Submissions!$E:$E,"&lt;&gt;Planned"))</f>
        <v/>
      </c>
      <c r="J3" s="13">
        <f>IF(A3="","",COUNTIFS(Submissions!$A:$A,A3,Submissions!$E:$E,"Rejected"))</f>
        <v/>
      </c>
      <c r="K3" s="13">
        <f>IF(A3="","",IFERROR(INDEX(Submissions!$B:$B,MATCH(A3&amp;"|Planned",Submissions!$Q:$Q,0)),""))</f>
        <v/>
      </c>
      <c r="L3" s="11" t="n"/>
      <c r="M3" s="13" t="n"/>
      <c r="N3" s="13" t="n"/>
      <c r="O3" s="13">
        <f>IF(OR(G3="Revision due",G3="Needs resubmission",G3="Not yet submitted"),COUNTIF($G$2:$G$200,"Revision due")*(G3&lt;&gt;"Revision due")+COUNTIF($G$2:$G$200,"Needs resubmission")*(G3="Not yet submitted")+COUNTIFS($G$2:G3,G3),"")</f>
        <v/>
      </c>
    </row>
    <row r="4">
      <c r="A4" s="13" t="n"/>
      <c r="B4" s="11" t="n"/>
      <c r="C4" s="13" t="n"/>
      <c r="D4" s="13" t="n"/>
      <c r="E4" s="13" t="n"/>
      <c r="F4" s="11" t="n"/>
      <c r="G4" s="13">
        <f>IF(A4="","",IF(E4&lt;&gt;"",E4,IF(COUNTIFS(Submissions!$A:$A,A4,Submissions!$E:$E,"Accepted")&gt;0,"Accepted",IF(COUNTIFS(Submissions!$A:$A,A4,Submissions!$E:$E,"Revision requested")&gt;0,"Revision due",IF(COUNTIFS(Submissions!$A:$A,A4,Submissions!$E:$E,"Under review")&gt;0,"Under review",IF(I4&gt;0,"Needs resubmission","Not yet submitted"))))))</f>
        <v/>
      </c>
      <c r="H4" s="13">
        <f>IF(A4="","",IFERROR(INDEX(Submissions!$B:$B,MATCH(A4&amp;"|Under review",Submissions!$Q:$Q,0)),""))</f>
        <v/>
      </c>
      <c r="I4" s="13">
        <f>IF(A4="","",COUNTIFS(Submissions!$A:$A,A4,Submissions!$B:$B,"&lt;&gt;",Submissions!$E:$E,"&lt;&gt;Planned"))</f>
        <v/>
      </c>
      <c r="J4" s="13">
        <f>IF(A4="","",COUNTIFS(Submissions!$A:$A,A4,Submissions!$E:$E,"Rejected"))</f>
        <v/>
      </c>
      <c r="K4" s="13">
        <f>IF(A4="","",IFERROR(INDEX(Submissions!$B:$B,MATCH(A4&amp;"|Planned",Submissions!$Q:$Q,0)),""))</f>
        <v/>
      </c>
      <c r="L4" s="11" t="n"/>
      <c r="M4" s="13" t="n"/>
      <c r="N4" s="13" t="n"/>
      <c r="O4" s="13">
        <f>IF(OR(G4="Revision due",G4="Needs resubmission",G4="Not yet submitted"),COUNTIF($G$2:$G$200,"Revision due")*(G4&lt;&gt;"Revision due")+COUNTIF($G$2:$G$200,"Needs resubmission")*(G4="Not yet submitted")+COUNTIFS($G$2:G4,G4),"")</f>
        <v/>
      </c>
    </row>
    <row r="5">
      <c r="A5" s="13" t="n"/>
      <c r="B5" s="11" t="n"/>
      <c r="C5" s="13" t="n"/>
      <c r="D5" s="13" t="n"/>
      <c r="E5" s="13" t="n"/>
      <c r="F5" s="11" t="n"/>
      <c r="G5" s="13">
        <f>IF(A5="","",IF(E5&lt;&gt;"",E5,IF(COUNTIFS(Submissions!$A:$A,A5,Submissions!$E:$E,"Accepted")&gt;0,"Accepted",IF(COUNTIFS(Submissions!$A:$A,A5,Submissions!$E:$E,"Revision requested")&gt;0,"Revision due",IF(COUNTIFS(Submissions!$A:$A,A5,Submissions!$E:$E,"Under review")&gt;0,"Under review",IF(I5&gt;0,"Needs resubmission","Not yet submitted"))))))</f>
        <v/>
      </c>
      <c r="H5" s="13">
        <f>IF(A5="","",IFERROR(INDEX(Submissions!$B:$B,MATCH(A5&amp;"|Under review",Submissions!$Q:$Q,0)),""))</f>
        <v/>
      </c>
      <c r="I5" s="13">
        <f>IF(A5="","",COUNTIFS(Submissions!$A:$A,A5,Submissions!$B:$B,"&lt;&gt;",Submissions!$E:$E,"&lt;&gt;Planned"))</f>
        <v/>
      </c>
      <c r="J5" s="13">
        <f>IF(A5="","",COUNTIFS(Submissions!$A:$A,A5,Submissions!$E:$E,"Rejected"))</f>
        <v/>
      </c>
      <c r="K5" s="13">
        <f>IF(A5="","",IFERROR(INDEX(Submissions!$B:$B,MATCH(A5&amp;"|Planned",Submissions!$Q:$Q,0)),""))</f>
        <v/>
      </c>
      <c r="L5" s="11" t="n"/>
      <c r="M5" s="13" t="n"/>
      <c r="N5" s="13" t="n"/>
      <c r="O5" s="13">
        <f>IF(OR(G5="Revision due",G5="Needs resubmission",G5="Not yet submitted"),COUNTIF($G$2:$G$200,"Revision due")*(G5&lt;&gt;"Revision due")+COUNTIF($G$2:$G$200,"Needs resubmission")*(G5="Not yet submitted")+COUNTIFS($G$2:G5,G5),"")</f>
        <v/>
      </c>
    </row>
    <row r="6">
      <c r="A6" s="13" t="n"/>
      <c r="B6" s="11" t="n"/>
      <c r="C6" s="13" t="n"/>
      <c r="D6" s="13" t="n"/>
      <c r="E6" s="13" t="n"/>
      <c r="F6" s="11" t="n"/>
      <c r="G6" s="13">
        <f>IF(A6="","",IF(E6&lt;&gt;"",E6,IF(COUNTIFS(Submissions!$A:$A,A6,Submissions!$E:$E,"Accepted")&gt;0,"Accepted",IF(COUNTIFS(Submissions!$A:$A,A6,Submissions!$E:$E,"Revision requested")&gt;0,"Revision due",IF(COUNTIFS(Submissions!$A:$A,A6,Submissions!$E:$E,"Under review")&gt;0,"Under review",IF(I6&gt;0,"Needs resubmission","Not yet submitted"))))))</f>
        <v/>
      </c>
      <c r="H6" s="13">
        <f>IF(A6="","",IFERROR(INDEX(Submissions!$B:$B,MATCH(A6&amp;"|Under review",Submissions!$Q:$Q,0)),""))</f>
        <v/>
      </c>
      <c r="I6" s="13">
        <f>IF(A6="","",COUNTIFS(Submissions!$A:$A,A6,Submissions!$B:$B,"&lt;&gt;",Submissions!$E:$E,"&lt;&gt;Planned"))</f>
        <v/>
      </c>
      <c r="J6" s="13">
        <f>IF(A6="","",COUNTIFS(Submissions!$A:$A,A6,Submissions!$E:$E,"Rejected"))</f>
        <v/>
      </c>
      <c r="K6" s="13">
        <f>IF(A6="","",IFERROR(INDEX(Submissions!$B:$B,MATCH(A6&amp;"|Planned",Submissions!$Q:$Q,0)),""))</f>
        <v/>
      </c>
      <c r="L6" s="11" t="n"/>
      <c r="M6" s="13" t="n"/>
      <c r="N6" s="13" t="n"/>
      <c r="O6" s="13">
        <f>IF(OR(G6="Revision due",G6="Needs resubmission",G6="Not yet submitted"),COUNTIF($G$2:$G$200,"Revision due")*(G6&lt;&gt;"Revision due")+COUNTIF($G$2:$G$200,"Needs resubmission")*(G6="Not yet submitted")+COUNTIFS($G$2:G6,G6),"")</f>
        <v/>
      </c>
    </row>
    <row r="7">
      <c r="A7" s="13" t="n"/>
      <c r="B7" s="11" t="n"/>
      <c r="C7" s="13" t="n"/>
      <c r="D7" s="13" t="n"/>
      <c r="E7" s="13" t="n"/>
      <c r="F7" s="11" t="n"/>
      <c r="G7" s="13">
        <f>IF(A7="","",IF(E7&lt;&gt;"",E7,IF(COUNTIFS(Submissions!$A:$A,A7,Submissions!$E:$E,"Accepted")&gt;0,"Accepted",IF(COUNTIFS(Submissions!$A:$A,A7,Submissions!$E:$E,"Revision requested")&gt;0,"Revision due",IF(COUNTIFS(Submissions!$A:$A,A7,Submissions!$E:$E,"Under review")&gt;0,"Under review",IF(I7&gt;0,"Needs resubmission","Not yet submitted"))))))</f>
        <v/>
      </c>
      <c r="H7" s="13">
        <f>IF(A7="","",IFERROR(INDEX(Submissions!$B:$B,MATCH(A7&amp;"|Under review",Submissions!$Q:$Q,0)),""))</f>
        <v/>
      </c>
      <c r="I7" s="13">
        <f>IF(A7="","",COUNTIFS(Submissions!$A:$A,A7,Submissions!$B:$B,"&lt;&gt;",Submissions!$E:$E,"&lt;&gt;Planned"))</f>
        <v/>
      </c>
      <c r="J7" s="13">
        <f>IF(A7="","",COUNTIFS(Submissions!$A:$A,A7,Submissions!$E:$E,"Rejected"))</f>
        <v/>
      </c>
      <c r="K7" s="13">
        <f>IF(A7="","",IFERROR(INDEX(Submissions!$B:$B,MATCH(A7&amp;"|Planned",Submissions!$Q:$Q,0)),""))</f>
        <v/>
      </c>
      <c r="L7" s="11" t="n"/>
      <c r="M7" s="13" t="n"/>
      <c r="N7" s="13" t="n"/>
      <c r="O7" s="13">
        <f>IF(OR(G7="Revision due",G7="Needs resubmission",G7="Not yet submitted"),COUNTIF($G$2:$G$200,"Revision due")*(G7&lt;&gt;"Revision due")+COUNTIF($G$2:$G$200,"Needs resubmission")*(G7="Not yet submitted")+COUNTIFS($G$2:G7,G7),"")</f>
        <v/>
      </c>
    </row>
    <row r="8">
      <c r="A8" s="13" t="n"/>
      <c r="B8" s="11" t="n"/>
      <c r="C8" s="13" t="n"/>
      <c r="D8" s="13" t="n"/>
      <c r="E8" s="13" t="n"/>
      <c r="F8" s="11" t="n"/>
      <c r="G8" s="13">
        <f>IF(A8="","",IF(E8&lt;&gt;"",E8,IF(COUNTIFS(Submissions!$A:$A,A8,Submissions!$E:$E,"Accepted")&gt;0,"Accepted",IF(COUNTIFS(Submissions!$A:$A,A8,Submissions!$E:$E,"Revision requested")&gt;0,"Revision due",IF(COUNTIFS(Submissions!$A:$A,A8,Submissions!$E:$E,"Under review")&gt;0,"Under review",IF(I8&gt;0,"Needs resubmission","Not yet submitted"))))))</f>
        <v/>
      </c>
      <c r="H8" s="13">
        <f>IF(A8="","",IFERROR(INDEX(Submissions!$B:$B,MATCH(A8&amp;"|Under review",Submissions!$Q:$Q,0)),""))</f>
        <v/>
      </c>
      <c r="I8" s="13">
        <f>IF(A8="","",COUNTIFS(Submissions!$A:$A,A8,Submissions!$B:$B,"&lt;&gt;",Submissions!$E:$E,"&lt;&gt;Planned"))</f>
        <v/>
      </c>
      <c r="J8" s="13">
        <f>IF(A8="","",COUNTIFS(Submissions!$A:$A,A8,Submissions!$E:$E,"Rejected"))</f>
        <v/>
      </c>
      <c r="K8" s="13">
        <f>IF(A8="","",IFERROR(INDEX(Submissions!$B:$B,MATCH(A8&amp;"|Planned",Submissions!$Q:$Q,0)),""))</f>
        <v/>
      </c>
      <c r="L8" s="11" t="n"/>
      <c r="M8" s="13" t="n"/>
      <c r="N8" s="13" t="n"/>
      <c r="O8" s="13">
        <f>IF(OR(G8="Revision due",G8="Needs resubmission",G8="Not yet submitted"),COUNTIF($G$2:$G$200,"Revision due")*(G8&lt;&gt;"Revision due")+COUNTIF($G$2:$G$200,"Needs resubmission")*(G8="Not yet submitted")+COUNTIFS($G$2:G8,G8),"")</f>
        <v/>
      </c>
    </row>
    <row r="9">
      <c r="A9" s="13" t="n"/>
      <c r="B9" s="11" t="n"/>
      <c r="C9" s="13" t="n"/>
      <c r="D9" s="13" t="n"/>
      <c r="E9" s="13" t="n"/>
      <c r="F9" s="11" t="n"/>
      <c r="G9" s="13">
        <f>IF(A9="","",IF(E9&lt;&gt;"",E9,IF(COUNTIFS(Submissions!$A:$A,A9,Submissions!$E:$E,"Accepted")&gt;0,"Accepted",IF(COUNTIFS(Submissions!$A:$A,A9,Submissions!$E:$E,"Revision requested")&gt;0,"Revision due",IF(COUNTIFS(Submissions!$A:$A,A9,Submissions!$E:$E,"Under review")&gt;0,"Under review",IF(I9&gt;0,"Needs resubmission","Not yet submitted"))))))</f>
        <v/>
      </c>
      <c r="H9" s="13">
        <f>IF(A9="","",IFERROR(INDEX(Submissions!$B:$B,MATCH(A9&amp;"|Under review",Submissions!$Q:$Q,0)),""))</f>
        <v/>
      </c>
      <c r="I9" s="13">
        <f>IF(A9="","",COUNTIFS(Submissions!$A:$A,A9,Submissions!$B:$B,"&lt;&gt;",Submissions!$E:$E,"&lt;&gt;Planned"))</f>
        <v/>
      </c>
      <c r="J9" s="13">
        <f>IF(A9="","",COUNTIFS(Submissions!$A:$A,A9,Submissions!$E:$E,"Rejected"))</f>
        <v/>
      </c>
      <c r="K9" s="13">
        <f>IF(A9="","",IFERROR(INDEX(Submissions!$B:$B,MATCH(A9&amp;"|Planned",Submissions!$Q:$Q,0)),""))</f>
        <v/>
      </c>
      <c r="L9" s="11" t="n"/>
      <c r="M9" s="13" t="n"/>
      <c r="N9" s="13" t="n"/>
      <c r="O9" s="13">
        <f>IF(OR(G9="Revision due",G9="Needs resubmission",G9="Not yet submitted"),COUNTIF($G$2:$G$200,"Revision due")*(G9&lt;&gt;"Revision due")+COUNTIF($G$2:$G$200,"Needs resubmission")*(G9="Not yet submitted")+COUNTIFS($G$2:G9,G9),"")</f>
        <v/>
      </c>
    </row>
    <row r="10">
      <c r="A10" s="13" t="n"/>
      <c r="B10" s="11" t="n"/>
      <c r="C10" s="13" t="n"/>
      <c r="D10" s="13" t="n"/>
      <c r="E10" s="13" t="n"/>
      <c r="F10" s="11" t="n"/>
      <c r="G10" s="13">
        <f>IF(A10="","",IF(E10&lt;&gt;"",E10,IF(COUNTIFS(Submissions!$A:$A,A10,Submissions!$E:$E,"Accepted")&gt;0,"Accepted",IF(COUNTIFS(Submissions!$A:$A,A10,Submissions!$E:$E,"Revision requested")&gt;0,"Revision due",IF(COUNTIFS(Submissions!$A:$A,A10,Submissions!$E:$E,"Under review")&gt;0,"Under review",IF(I10&gt;0,"Needs resubmission","Not yet submitted"))))))</f>
        <v/>
      </c>
      <c r="H10" s="13">
        <f>IF(A10="","",IFERROR(INDEX(Submissions!$B:$B,MATCH(A10&amp;"|Under review",Submissions!$Q:$Q,0)),""))</f>
        <v/>
      </c>
      <c r="I10" s="13">
        <f>IF(A10="","",COUNTIFS(Submissions!$A:$A,A10,Submissions!$B:$B,"&lt;&gt;",Submissions!$E:$E,"&lt;&gt;Planned"))</f>
        <v/>
      </c>
      <c r="J10" s="13">
        <f>IF(A10="","",COUNTIFS(Submissions!$A:$A,A10,Submissions!$E:$E,"Rejected"))</f>
        <v/>
      </c>
      <c r="K10" s="13">
        <f>IF(A10="","",IFERROR(INDEX(Submissions!$B:$B,MATCH(A10&amp;"|Planned",Submissions!$Q:$Q,0)),""))</f>
        <v/>
      </c>
      <c r="L10" s="11" t="n"/>
      <c r="M10" s="13" t="n"/>
      <c r="N10" s="13" t="n"/>
      <c r="O10" s="13">
        <f>IF(OR(G10="Revision due",G10="Needs resubmission",G10="Not yet submitted"),COUNTIF($G$2:$G$200,"Revision due")*(G10&lt;&gt;"Revision due")+COUNTIF($G$2:$G$200,"Needs resubmission")*(G10="Not yet submitted")+COUNTIFS($G$2:G10,G10),"")</f>
        <v/>
      </c>
    </row>
    <row r="11">
      <c r="A11" s="13" t="n"/>
      <c r="B11" s="11" t="n"/>
      <c r="C11" s="13" t="n"/>
      <c r="D11" s="13" t="n"/>
      <c r="E11" s="13" t="n"/>
      <c r="F11" s="11" t="n"/>
      <c r="G11" s="13">
        <f>IF(A11="","",IF(E11&lt;&gt;"",E11,IF(COUNTIFS(Submissions!$A:$A,A11,Submissions!$E:$E,"Accepted")&gt;0,"Accepted",IF(COUNTIFS(Submissions!$A:$A,A11,Submissions!$E:$E,"Revision requested")&gt;0,"Revision due",IF(COUNTIFS(Submissions!$A:$A,A11,Submissions!$E:$E,"Under review")&gt;0,"Under review",IF(I11&gt;0,"Needs resubmission","Not yet submitted"))))))</f>
        <v/>
      </c>
      <c r="H11" s="13">
        <f>IF(A11="","",IFERROR(INDEX(Submissions!$B:$B,MATCH(A11&amp;"|Under review",Submissions!$Q:$Q,0)),""))</f>
        <v/>
      </c>
      <c r="I11" s="13">
        <f>IF(A11="","",COUNTIFS(Submissions!$A:$A,A11,Submissions!$B:$B,"&lt;&gt;",Submissions!$E:$E,"&lt;&gt;Planned"))</f>
        <v/>
      </c>
      <c r="J11" s="13">
        <f>IF(A11="","",COUNTIFS(Submissions!$A:$A,A11,Submissions!$E:$E,"Rejected"))</f>
        <v/>
      </c>
      <c r="K11" s="13">
        <f>IF(A11="","",IFERROR(INDEX(Submissions!$B:$B,MATCH(A11&amp;"|Planned",Submissions!$Q:$Q,0)),""))</f>
        <v/>
      </c>
      <c r="L11" s="11" t="n"/>
      <c r="M11" s="13" t="n"/>
      <c r="N11" s="13" t="n"/>
      <c r="O11" s="13">
        <f>IF(OR(G11="Revision due",G11="Needs resubmission",G11="Not yet submitted"),COUNTIF($G$2:$G$200,"Revision due")*(G11&lt;&gt;"Revision due")+COUNTIF($G$2:$G$200,"Needs resubmission")*(G11="Not yet submitted")+COUNTIFS($G$2:G11,G11),"")</f>
        <v/>
      </c>
    </row>
    <row r="12">
      <c r="A12" s="13" t="n"/>
      <c r="B12" s="11" t="n"/>
      <c r="C12" s="13" t="n"/>
      <c r="D12" s="13" t="n"/>
      <c r="E12" s="13" t="n"/>
      <c r="F12" s="11" t="n"/>
      <c r="G12" s="13">
        <f>IF(A12="","",IF(E12&lt;&gt;"",E12,IF(COUNTIFS(Submissions!$A:$A,A12,Submissions!$E:$E,"Accepted")&gt;0,"Accepted",IF(COUNTIFS(Submissions!$A:$A,A12,Submissions!$E:$E,"Revision requested")&gt;0,"Revision due",IF(COUNTIFS(Submissions!$A:$A,A12,Submissions!$E:$E,"Under review")&gt;0,"Under review",IF(I12&gt;0,"Needs resubmission","Not yet submitted"))))))</f>
        <v/>
      </c>
      <c r="H12" s="13">
        <f>IF(A12="","",IFERROR(INDEX(Submissions!$B:$B,MATCH(A12&amp;"|Under review",Submissions!$Q:$Q,0)),""))</f>
        <v/>
      </c>
      <c r="I12" s="13">
        <f>IF(A12="","",COUNTIFS(Submissions!$A:$A,A12,Submissions!$B:$B,"&lt;&gt;",Submissions!$E:$E,"&lt;&gt;Planned"))</f>
        <v/>
      </c>
      <c r="J12" s="13">
        <f>IF(A12="","",COUNTIFS(Submissions!$A:$A,A12,Submissions!$E:$E,"Rejected"))</f>
        <v/>
      </c>
      <c r="K12" s="13">
        <f>IF(A12="","",IFERROR(INDEX(Submissions!$B:$B,MATCH(A12&amp;"|Planned",Submissions!$Q:$Q,0)),""))</f>
        <v/>
      </c>
      <c r="L12" s="11" t="n"/>
      <c r="M12" s="13" t="n"/>
      <c r="N12" s="13" t="n"/>
      <c r="O12" s="13">
        <f>IF(OR(G12="Revision due",G12="Needs resubmission",G12="Not yet submitted"),COUNTIF($G$2:$G$200,"Revision due")*(G12&lt;&gt;"Revision due")+COUNTIF($G$2:$G$200,"Needs resubmission")*(G12="Not yet submitted")+COUNTIFS($G$2:G12,G12),"")</f>
        <v/>
      </c>
    </row>
    <row r="13">
      <c r="A13" s="13" t="n"/>
      <c r="B13" s="11" t="n"/>
      <c r="C13" s="13" t="n"/>
      <c r="D13" s="13" t="n"/>
      <c r="E13" s="13" t="n"/>
      <c r="F13" s="11" t="n"/>
      <c r="G13" s="13">
        <f>IF(A13="","",IF(E13&lt;&gt;"",E13,IF(COUNTIFS(Submissions!$A:$A,A13,Submissions!$E:$E,"Accepted")&gt;0,"Accepted",IF(COUNTIFS(Submissions!$A:$A,A13,Submissions!$E:$E,"Revision requested")&gt;0,"Revision due",IF(COUNTIFS(Submissions!$A:$A,A13,Submissions!$E:$E,"Under review")&gt;0,"Under review",IF(I13&gt;0,"Needs resubmission","Not yet submitted"))))))</f>
        <v/>
      </c>
      <c r="H13" s="13">
        <f>IF(A13="","",IFERROR(INDEX(Submissions!$B:$B,MATCH(A13&amp;"|Under review",Submissions!$Q:$Q,0)),""))</f>
        <v/>
      </c>
      <c r="I13" s="13">
        <f>IF(A13="","",COUNTIFS(Submissions!$A:$A,A13,Submissions!$B:$B,"&lt;&gt;",Submissions!$E:$E,"&lt;&gt;Planned"))</f>
        <v/>
      </c>
      <c r="J13" s="13">
        <f>IF(A13="","",COUNTIFS(Submissions!$A:$A,A13,Submissions!$E:$E,"Rejected"))</f>
        <v/>
      </c>
      <c r="K13" s="13">
        <f>IF(A13="","",IFERROR(INDEX(Submissions!$B:$B,MATCH(A13&amp;"|Planned",Submissions!$Q:$Q,0)),""))</f>
        <v/>
      </c>
      <c r="L13" s="11" t="n"/>
      <c r="M13" s="13" t="n"/>
      <c r="N13" s="13" t="n"/>
      <c r="O13" s="13">
        <f>IF(OR(G13="Revision due",G13="Needs resubmission",G13="Not yet submitted"),COUNTIF($G$2:$G$200,"Revision due")*(G13&lt;&gt;"Revision due")+COUNTIF($G$2:$G$200,"Needs resubmission")*(G13="Not yet submitted")+COUNTIFS($G$2:G13,G13),"")</f>
        <v/>
      </c>
    </row>
    <row r="14">
      <c r="A14" s="13" t="n"/>
      <c r="B14" s="11" t="n"/>
      <c r="C14" s="13" t="n"/>
      <c r="D14" s="13" t="n"/>
      <c r="E14" s="13" t="n"/>
      <c r="F14" s="11" t="n"/>
      <c r="G14" s="13">
        <f>IF(A14="","",IF(E14&lt;&gt;"",E14,IF(COUNTIFS(Submissions!$A:$A,A14,Submissions!$E:$E,"Accepted")&gt;0,"Accepted",IF(COUNTIFS(Submissions!$A:$A,A14,Submissions!$E:$E,"Revision requested")&gt;0,"Revision due",IF(COUNTIFS(Submissions!$A:$A,A14,Submissions!$E:$E,"Under review")&gt;0,"Under review",IF(I14&gt;0,"Needs resubmission","Not yet submitted"))))))</f>
        <v/>
      </c>
      <c r="H14" s="13">
        <f>IF(A14="","",IFERROR(INDEX(Submissions!$B:$B,MATCH(A14&amp;"|Under review",Submissions!$Q:$Q,0)),""))</f>
        <v/>
      </c>
      <c r="I14" s="13">
        <f>IF(A14="","",COUNTIFS(Submissions!$A:$A,A14,Submissions!$B:$B,"&lt;&gt;",Submissions!$E:$E,"&lt;&gt;Planned"))</f>
        <v/>
      </c>
      <c r="J14" s="13">
        <f>IF(A14="","",COUNTIFS(Submissions!$A:$A,A14,Submissions!$E:$E,"Rejected"))</f>
        <v/>
      </c>
      <c r="K14" s="13">
        <f>IF(A14="","",IFERROR(INDEX(Submissions!$B:$B,MATCH(A14&amp;"|Planned",Submissions!$Q:$Q,0)),""))</f>
        <v/>
      </c>
      <c r="L14" s="11" t="n"/>
      <c r="M14" s="13" t="n"/>
      <c r="N14" s="13" t="n"/>
      <c r="O14" s="13">
        <f>IF(OR(G14="Revision due",G14="Needs resubmission",G14="Not yet submitted"),COUNTIF($G$2:$G$200,"Revision due")*(G14&lt;&gt;"Revision due")+COUNTIF($G$2:$G$200,"Needs resubmission")*(G14="Not yet submitted")+COUNTIFS($G$2:G14,G14),"")</f>
        <v/>
      </c>
    </row>
    <row r="15">
      <c r="A15" s="13" t="n"/>
      <c r="B15" s="11" t="n"/>
      <c r="C15" s="13" t="n"/>
      <c r="D15" s="13" t="n"/>
      <c r="E15" s="13" t="n"/>
      <c r="F15" s="11" t="n"/>
      <c r="G15" s="13">
        <f>IF(A15="","",IF(E15&lt;&gt;"",E15,IF(COUNTIFS(Submissions!$A:$A,A15,Submissions!$E:$E,"Accepted")&gt;0,"Accepted",IF(COUNTIFS(Submissions!$A:$A,A15,Submissions!$E:$E,"Revision requested")&gt;0,"Revision due",IF(COUNTIFS(Submissions!$A:$A,A15,Submissions!$E:$E,"Under review")&gt;0,"Under review",IF(I15&gt;0,"Needs resubmission","Not yet submitted"))))))</f>
        <v/>
      </c>
      <c r="H15" s="13">
        <f>IF(A15="","",IFERROR(INDEX(Submissions!$B:$B,MATCH(A15&amp;"|Under review",Submissions!$Q:$Q,0)),""))</f>
        <v/>
      </c>
      <c r="I15" s="13">
        <f>IF(A15="","",COUNTIFS(Submissions!$A:$A,A15,Submissions!$B:$B,"&lt;&gt;",Submissions!$E:$E,"&lt;&gt;Planned"))</f>
        <v/>
      </c>
      <c r="J15" s="13">
        <f>IF(A15="","",COUNTIFS(Submissions!$A:$A,A15,Submissions!$E:$E,"Rejected"))</f>
        <v/>
      </c>
      <c r="K15" s="13">
        <f>IF(A15="","",IFERROR(INDEX(Submissions!$B:$B,MATCH(A15&amp;"|Planned",Submissions!$Q:$Q,0)),""))</f>
        <v/>
      </c>
      <c r="L15" s="11" t="n"/>
      <c r="M15" s="13" t="n"/>
      <c r="N15" s="13" t="n"/>
      <c r="O15" s="13">
        <f>IF(OR(G15="Revision due",G15="Needs resubmission",G15="Not yet submitted"),COUNTIF($G$2:$G$200,"Revision due")*(G15&lt;&gt;"Revision due")+COUNTIF($G$2:$G$200,"Needs resubmission")*(G15="Not yet submitted")+COUNTIFS($G$2:G15,G15),"")</f>
        <v/>
      </c>
    </row>
    <row r="16">
      <c r="A16" s="13" t="n"/>
      <c r="B16" s="11" t="n"/>
      <c r="C16" s="13" t="n"/>
      <c r="D16" s="13" t="n"/>
      <c r="E16" s="13" t="n"/>
      <c r="F16" s="11" t="n"/>
      <c r="G16" s="13">
        <f>IF(A16="","",IF(E16&lt;&gt;"",E16,IF(COUNTIFS(Submissions!$A:$A,A16,Submissions!$E:$E,"Accepted")&gt;0,"Accepted",IF(COUNTIFS(Submissions!$A:$A,A16,Submissions!$E:$E,"Revision requested")&gt;0,"Revision due",IF(COUNTIFS(Submissions!$A:$A,A16,Submissions!$E:$E,"Under review")&gt;0,"Under review",IF(I16&gt;0,"Needs resubmission","Not yet submitted"))))))</f>
        <v/>
      </c>
      <c r="H16" s="13">
        <f>IF(A16="","",IFERROR(INDEX(Submissions!$B:$B,MATCH(A16&amp;"|Under review",Submissions!$Q:$Q,0)),""))</f>
        <v/>
      </c>
      <c r="I16" s="13">
        <f>IF(A16="","",COUNTIFS(Submissions!$A:$A,A16,Submissions!$B:$B,"&lt;&gt;",Submissions!$E:$E,"&lt;&gt;Planned"))</f>
        <v/>
      </c>
      <c r="J16" s="13">
        <f>IF(A16="","",COUNTIFS(Submissions!$A:$A,A16,Submissions!$E:$E,"Rejected"))</f>
        <v/>
      </c>
      <c r="K16" s="13">
        <f>IF(A16="","",IFERROR(INDEX(Submissions!$B:$B,MATCH(A16&amp;"|Planned",Submissions!$Q:$Q,0)),""))</f>
        <v/>
      </c>
      <c r="L16" s="11" t="n"/>
      <c r="M16" s="13" t="n"/>
      <c r="N16" s="13" t="n"/>
      <c r="O16" s="13">
        <f>IF(OR(G16="Revision due",G16="Needs resubmission",G16="Not yet submitted"),COUNTIF($G$2:$G$200,"Revision due")*(G16&lt;&gt;"Revision due")+COUNTIF($G$2:$G$200,"Needs resubmission")*(G16="Not yet submitted")+COUNTIFS($G$2:G16,G16),"")</f>
        <v/>
      </c>
    </row>
    <row r="17">
      <c r="A17" s="13" t="n"/>
      <c r="B17" s="11" t="n"/>
      <c r="C17" s="13" t="n"/>
      <c r="D17" s="13" t="n"/>
      <c r="E17" s="13" t="n"/>
      <c r="F17" s="11" t="n"/>
      <c r="G17" s="13">
        <f>IF(A17="","",IF(E17&lt;&gt;"",E17,IF(COUNTIFS(Submissions!$A:$A,A17,Submissions!$E:$E,"Accepted")&gt;0,"Accepted",IF(COUNTIFS(Submissions!$A:$A,A17,Submissions!$E:$E,"Revision requested")&gt;0,"Revision due",IF(COUNTIFS(Submissions!$A:$A,A17,Submissions!$E:$E,"Under review")&gt;0,"Under review",IF(I17&gt;0,"Needs resubmission","Not yet submitted"))))))</f>
        <v/>
      </c>
      <c r="H17" s="13">
        <f>IF(A17="","",IFERROR(INDEX(Submissions!$B:$B,MATCH(A17&amp;"|Under review",Submissions!$Q:$Q,0)),""))</f>
        <v/>
      </c>
      <c r="I17" s="13">
        <f>IF(A17="","",COUNTIFS(Submissions!$A:$A,A17,Submissions!$B:$B,"&lt;&gt;",Submissions!$E:$E,"&lt;&gt;Planned"))</f>
        <v/>
      </c>
      <c r="J17" s="13">
        <f>IF(A17="","",COUNTIFS(Submissions!$A:$A,A17,Submissions!$E:$E,"Rejected"))</f>
        <v/>
      </c>
      <c r="K17" s="13">
        <f>IF(A17="","",IFERROR(INDEX(Submissions!$B:$B,MATCH(A17&amp;"|Planned",Submissions!$Q:$Q,0)),""))</f>
        <v/>
      </c>
      <c r="L17" s="11" t="n"/>
      <c r="M17" s="13" t="n"/>
      <c r="N17" s="13" t="n"/>
      <c r="O17" s="13">
        <f>IF(OR(G17="Revision due",G17="Needs resubmission",G17="Not yet submitted"),COUNTIF($G$2:$G$200,"Revision due")*(G17&lt;&gt;"Revision due")+COUNTIF($G$2:$G$200,"Needs resubmission")*(G17="Not yet submitted")+COUNTIFS($G$2:G17,G17),"")</f>
        <v/>
      </c>
    </row>
    <row r="18">
      <c r="A18" s="13" t="n"/>
      <c r="B18" s="11" t="n"/>
      <c r="C18" s="13" t="n"/>
      <c r="D18" s="13" t="n"/>
      <c r="E18" s="13" t="n"/>
      <c r="F18" s="11" t="n"/>
      <c r="G18" s="13">
        <f>IF(A18="","",IF(E18&lt;&gt;"",E18,IF(COUNTIFS(Submissions!$A:$A,A18,Submissions!$E:$E,"Accepted")&gt;0,"Accepted",IF(COUNTIFS(Submissions!$A:$A,A18,Submissions!$E:$E,"Revision requested")&gt;0,"Revision due",IF(COUNTIFS(Submissions!$A:$A,A18,Submissions!$E:$E,"Under review")&gt;0,"Under review",IF(I18&gt;0,"Needs resubmission","Not yet submitted"))))))</f>
        <v/>
      </c>
      <c r="H18" s="13">
        <f>IF(A18="","",IFERROR(INDEX(Submissions!$B:$B,MATCH(A18&amp;"|Under review",Submissions!$Q:$Q,0)),""))</f>
        <v/>
      </c>
      <c r="I18" s="13">
        <f>IF(A18="","",COUNTIFS(Submissions!$A:$A,A18,Submissions!$B:$B,"&lt;&gt;",Submissions!$E:$E,"&lt;&gt;Planned"))</f>
        <v/>
      </c>
      <c r="J18" s="13">
        <f>IF(A18="","",COUNTIFS(Submissions!$A:$A,A18,Submissions!$E:$E,"Rejected"))</f>
        <v/>
      </c>
      <c r="K18" s="13">
        <f>IF(A18="","",IFERROR(INDEX(Submissions!$B:$B,MATCH(A18&amp;"|Planned",Submissions!$Q:$Q,0)),""))</f>
        <v/>
      </c>
      <c r="L18" s="11" t="n"/>
      <c r="M18" s="13" t="n"/>
      <c r="N18" s="13" t="n"/>
      <c r="O18" s="13">
        <f>IF(OR(G18="Revision due",G18="Needs resubmission",G18="Not yet submitted"),COUNTIF($G$2:$G$200,"Revision due")*(G18&lt;&gt;"Revision due")+COUNTIF($G$2:$G$200,"Needs resubmission")*(G18="Not yet submitted")+COUNTIFS($G$2:G18,G18),"")</f>
        <v/>
      </c>
    </row>
    <row r="19">
      <c r="A19" s="13" t="n"/>
      <c r="B19" s="11" t="n"/>
      <c r="C19" s="13" t="n"/>
      <c r="D19" s="13" t="n"/>
      <c r="E19" s="13" t="n"/>
      <c r="F19" s="11" t="n"/>
      <c r="G19" s="13">
        <f>IF(A19="","",IF(E19&lt;&gt;"",E19,IF(COUNTIFS(Submissions!$A:$A,A19,Submissions!$E:$E,"Accepted")&gt;0,"Accepted",IF(COUNTIFS(Submissions!$A:$A,A19,Submissions!$E:$E,"Revision requested")&gt;0,"Revision due",IF(COUNTIFS(Submissions!$A:$A,A19,Submissions!$E:$E,"Under review")&gt;0,"Under review",IF(I19&gt;0,"Needs resubmission","Not yet submitted"))))))</f>
        <v/>
      </c>
      <c r="H19" s="13">
        <f>IF(A19="","",IFERROR(INDEX(Submissions!$B:$B,MATCH(A19&amp;"|Under review",Submissions!$Q:$Q,0)),""))</f>
        <v/>
      </c>
      <c r="I19" s="13">
        <f>IF(A19="","",COUNTIFS(Submissions!$A:$A,A19,Submissions!$B:$B,"&lt;&gt;",Submissions!$E:$E,"&lt;&gt;Planned"))</f>
        <v/>
      </c>
      <c r="J19" s="13">
        <f>IF(A19="","",COUNTIFS(Submissions!$A:$A,A19,Submissions!$E:$E,"Rejected"))</f>
        <v/>
      </c>
      <c r="K19" s="13">
        <f>IF(A19="","",IFERROR(INDEX(Submissions!$B:$B,MATCH(A19&amp;"|Planned",Submissions!$Q:$Q,0)),""))</f>
        <v/>
      </c>
      <c r="L19" s="11" t="n"/>
      <c r="M19" s="13" t="n"/>
      <c r="N19" s="13" t="n"/>
      <c r="O19" s="13">
        <f>IF(OR(G19="Revision due",G19="Needs resubmission",G19="Not yet submitted"),COUNTIF($G$2:$G$200,"Revision due")*(G19&lt;&gt;"Revision due")+COUNTIF($G$2:$G$200,"Needs resubmission")*(G19="Not yet submitted")+COUNTIFS($G$2:G19,G19),"")</f>
        <v/>
      </c>
    </row>
    <row r="20">
      <c r="A20" s="13" t="n"/>
      <c r="B20" s="11" t="n"/>
      <c r="C20" s="13" t="n"/>
      <c r="D20" s="13" t="n"/>
      <c r="E20" s="13" t="n"/>
      <c r="F20" s="11" t="n"/>
      <c r="G20" s="13">
        <f>IF(A20="","",IF(E20&lt;&gt;"",E20,IF(COUNTIFS(Submissions!$A:$A,A20,Submissions!$E:$E,"Accepted")&gt;0,"Accepted",IF(COUNTIFS(Submissions!$A:$A,A20,Submissions!$E:$E,"Revision requested")&gt;0,"Revision due",IF(COUNTIFS(Submissions!$A:$A,A20,Submissions!$E:$E,"Under review")&gt;0,"Under review",IF(I20&gt;0,"Needs resubmission","Not yet submitted"))))))</f>
        <v/>
      </c>
      <c r="H20" s="13">
        <f>IF(A20="","",IFERROR(INDEX(Submissions!$B:$B,MATCH(A20&amp;"|Under review",Submissions!$Q:$Q,0)),""))</f>
        <v/>
      </c>
      <c r="I20" s="13">
        <f>IF(A20="","",COUNTIFS(Submissions!$A:$A,A20,Submissions!$B:$B,"&lt;&gt;",Submissions!$E:$E,"&lt;&gt;Planned"))</f>
        <v/>
      </c>
      <c r="J20" s="13">
        <f>IF(A20="","",COUNTIFS(Submissions!$A:$A,A20,Submissions!$E:$E,"Rejected"))</f>
        <v/>
      </c>
      <c r="K20" s="13">
        <f>IF(A20="","",IFERROR(INDEX(Submissions!$B:$B,MATCH(A20&amp;"|Planned",Submissions!$Q:$Q,0)),""))</f>
        <v/>
      </c>
      <c r="L20" s="11" t="n"/>
      <c r="M20" s="13" t="n"/>
      <c r="N20" s="13" t="n"/>
      <c r="O20" s="13">
        <f>IF(OR(G20="Revision due",G20="Needs resubmission",G20="Not yet submitted"),COUNTIF($G$2:$G$200,"Revision due")*(G20&lt;&gt;"Revision due")+COUNTIF($G$2:$G$200,"Needs resubmission")*(G20="Not yet submitted")+COUNTIFS($G$2:G20,G20),"")</f>
        <v/>
      </c>
    </row>
    <row r="21">
      <c r="A21" s="13" t="n"/>
      <c r="B21" s="11" t="n"/>
      <c r="C21" s="13" t="n"/>
      <c r="D21" s="13" t="n"/>
      <c r="E21" s="13" t="n"/>
      <c r="F21" s="11" t="n"/>
      <c r="G21" s="13">
        <f>IF(A21="","",IF(E21&lt;&gt;"",E21,IF(COUNTIFS(Submissions!$A:$A,A21,Submissions!$E:$E,"Accepted")&gt;0,"Accepted",IF(COUNTIFS(Submissions!$A:$A,A21,Submissions!$E:$E,"Revision requested")&gt;0,"Revision due",IF(COUNTIFS(Submissions!$A:$A,A21,Submissions!$E:$E,"Under review")&gt;0,"Under review",IF(I21&gt;0,"Needs resubmission","Not yet submitted"))))))</f>
        <v/>
      </c>
      <c r="H21" s="13">
        <f>IF(A21="","",IFERROR(INDEX(Submissions!$B:$B,MATCH(A21&amp;"|Under review",Submissions!$Q:$Q,0)),""))</f>
        <v/>
      </c>
      <c r="I21" s="13">
        <f>IF(A21="","",COUNTIFS(Submissions!$A:$A,A21,Submissions!$B:$B,"&lt;&gt;",Submissions!$E:$E,"&lt;&gt;Planned"))</f>
        <v/>
      </c>
      <c r="J21" s="13">
        <f>IF(A21="","",COUNTIFS(Submissions!$A:$A,A21,Submissions!$E:$E,"Rejected"))</f>
        <v/>
      </c>
      <c r="K21" s="13">
        <f>IF(A21="","",IFERROR(INDEX(Submissions!$B:$B,MATCH(A21&amp;"|Planned",Submissions!$Q:$Q,0)),""))</f>
        <v/>
      </c>
      <c r="L21" s="11" t="n"/>
      <c r="M21" s="13" t="n"/>
      <c r="N21" s="13" t="n"/>
      <c r="O21" s="13">
        <f>IF(OR(G21="Revision due",G21="Needs resubmission",G21="Not yet submitted"),COUNTIF($G$2:$G$200,"Revision due")*(G21&lt;&gt;"Revision due")+COUNTIF($G$2:$G$200,"Needs resubmission")*(G21="Not yet submitted")+COUNTIFS($G$2:G21,G21),"")</f>
        <v/>
      </c>
    </row>
    <row r="22">
      <c r="A22" s="13" t="n"/>
      <c r="B22" s="11" t="n"/>
      <c r="C22" s="13" t="n"/>
      <c r="D22" s="13" t="n"/>
      <c r="E22" s="13" t="n"/>
      <c r="F22" s="11" t="n"/>
      <c r="G22" s="13">
        <f>IF(A22="","",IF(E22&lt;&gt;"",E22,IF(COUNTIFS(Submissions!$A:$A,A22,Submissions!$E:$E,"Accepted")&gt;0,"Accepted",IF(COUNTIFS(Submissions!$A:$A,A22,Submissions!$E:$E,"Revision requested")&gt;0,"Revision due",IF(COUNTIFS(Submissions!$A:$A,A22,Submissions!$E:$E,"Under review")&gt;0,"Under review",IF(I22&gt;0,"Needs resubmission","Not yet submitted"))))))</f>
        <v/>
      </c>
      <c r="H22" s="13">
        <f>IF(A22="","",IFERROR(INDEX(Submissions!$B:$B,MATCH(A22&amp;"|Under review",Submissions!$Q:$Q,0)),""))</f>
        <v/>
      </c>
      <c r="I22" s="13">
        <f>IF(A22="","",COUNTIFS(Submissions!$A:$A,A22,Submissions!$B:$B,"&lt;&gt;",Submissions!$E:$E,"&lt;&gt;Planned"))</f>
        <v/>
      </c>
      <c r="J22" s="13">
        <f>IF(A22="","",COUNTIFS(Submissions!$A:$A,A22,Submissions!$E:$E,"Rejected"))</f>
        <v/>
      </c>
      <c r="K22" s="13">
        <f>IF(A22="","",IFERROR(INDEX(Submissions!$B:$B,MATCH(A22&amp;"|Planned",Submissions!$Q:$Q,0)),""))</f>
        <v/>
      </c>
      <c r="L22" s="11" t="n"/>
      <c r="M22" s="13" t="n"/>
      <c r="N22" s="13" t="n"/>
      <c r="O22" s="13">
        <f>IF(OR(G22="Revision due",G22="Needs resubmission",G22="Not yet submitted"),COUNTIF($G$2:$G$200,"Revision due")*(G22&lt;&gt;"Revision due")+COUNTIF($G$2:$G$200,"Needs resubmission")*(G22="Not yet submitted")+COUNTIFS($G$2:G22,G22),"")</f>
        <v/>
      </c>
    </row>
    <row r="23">
      <c r="A23" s="13" t="n"/>
      <c r="B23" s="11" t="n"/>
      <c r="C23" s="13" t="n"/>
      <c r="D23" s="13" t="n"/>
      <c r="E23" s="13" t="n"/>
      <c r="F23" s="11" t="n"/>
      <c r="G23" s="13">
        <f>IF(A23="","",IF(E23&lt;&gt;"",E23,IF(COUNTIFS(Submissions!$A:$A,A23,Submissions!$E:$E,"Accepted")&gt;0,"Accepted",IF(COUNTIFS(Submissions!$A:$A,A23,Submissions!$E:$E,"Revision requested")&gt;0,"Revision due",IF(COUNTIFS(Submissions!$A:$A,A23,Submissions!$E:$E,"Under review")&gt;0,"Under review",IF(I23&gt;0,"Needs resubmission","Not yet submitted"))))))</f>
        <v/>
      </c>
      <c r="H23" s="13">
        <f>IF(A23="","",IFERROR(INDEX(Submissions!$B:$B,MATCH(A23&amp;"|Under review",Submissions!$Q:$Q,0)),""))</f>
        <v/>
      </c>
      <c r="I23" s="13">
        <f>IF(A23="","",COUNTIFS(Submissions!$A:$A,A23,Submissions!$B:$B,"&lt;&gt;",Submissions!$E:$E,"&lt;&gt;Planned"))</f>
        <v/>
      </c>
      <c r="J23" s="13">
        <f>IF(A23="","",COUNTIFS(Submissions!$A:$A,A23,Submissions!$E:$E,"Rejected"))</f>
        <v/>
      </c>
      <c r="K23" s="13">
        <f>IF(A23="","",IFERROR(INDEX(Submissions!$B:$B,MATCH(A23&amp;"|Planned",Submissions!$Q:$Q,0)),""))</f>
        <v/>
      </c>
      <c r="L23" s="11" t="n"/>
      <c r="M23" s="13" t="n"/>
      <c r="N23" s="13" t="n"/>
      <c r="O23" s="13">
        <f>IF(OR(G23="Revision due",G23="Needs resubmission",G23="Not yet submitted"),COUNTIF($G$2:$G$200,"Revision due")*(G23&lt;&gt;"Revision due")+COUNTIF($G$2:$G$200,"Needs resubmission")*(G23="Not yet submitted")+COUNTIFS($G$2:G23,G23),"")</f>
        <v/>
      </c>
    </row>
    <row r="24">
      <c r="A24" s="13" t="n"/>
      <c r="B24" s="11" t="n"/>
      <c r="C24" s="13" t="n"/>
      <c r="D24" s="13" t="n"/>
      <c r="E24" s="13" t="n"/>
      <c r="F24" s="11" t="n"/>
      <c r="G24" s="13">
        <f>IF(A24="","",IF(E24&lt;&gt;"",E24,IF(COUNTIFS(Submissions!$A:$A,A24,Submissions!$E:$E,"Accepted")&gt;0,"Accepted",IF(COUNTIFS(Submissions!$A:$A,A24,Submissions!$E:$E,"Revision requested")&gt;0,"Revision due",IF(COUNTIFS(Submissions!$A:$A,A24,Submissions!$E:$E,"Under review")&gt;0,"Under review",IF(I24&gt;0,"Needs resubmission","Not yet submitted"))))))</f>
        <v/>
      </c>
      <c r="H24" s="13">
        <f>IF(A24="","",IFERROR(INDEX(Submissions!$B:$B,MATCH(A24&amp;"|Under review",Submissions!$Q:$Q,0)),""))</f>
        <v/>
      </c>
      <c r="I24" s="13">
        <f>IF(A24="","",COUNTIFS(Submissions!$A:$A,A24,Submissions!$B:$B,"&lt;&gt;",Submissions!$E:$E,"&lt;&gt;Planned"))</f>
        <v/>
      </c>
      <c r="J24" s="13">
        <f>IF(A24="","",COUNTIFS(Submissions!$A:$A,A24,Submissions!$E:$E,"Rejected"))</f>
        <v/>
      </c>
      <c r="K24" s="13">
        <f>IF(A24="","",IFERROR(INDEX(Submissions!$B:$B,MATCH(A24&amp;"|Planned",Submissions!$Q:$Q,0)),""))</f>
        <v/>
      </c>
      <c r="L24" s="11" t="n"/>
      <c r="M24" s="13" t="n"/>
      <c r="N24" s="13" t="n"/>
      <c r="O24" s="13">
        <f>IF(OR(G24="Revision due",G24="Needs resubmission",G24="Not yet submitted"),COUNTIF($G$2:$G$200,"Revision due")*(G24&lt;&gt;"Revision due")+COUNTIF($G$2:$G$200,"Needs resubmission")*(G24="Not yet submitted")+COUNTIFS($G$2:G24,G24),"")</f>
        <v/>
      </c>
    </row>
    <row r="25">
      <c r="A25" s="13" t="n"/>
      <c r="B25" s="11" t="n"/>
      <c r="C25" s="13" t="n"/>
      <c r="D25" s="13" t="n"/>
      <c r="E25" s="13" t="n"/>
      <c r="F25" s="11" t="n"/>
      <c r="G25" s="13">
        <f>IF(A25="","",IF(E25&lt;&gt;"",E25,IF(COUNTIFS(Submissions!$A:$A,A25,Submissions!$E:$E,"Accepted")&gt;0,"Accepted",IF(COUNTIFS(Submissions!$A:$A,A25,Submissions!$E:$E,"Revision requested")&gt;0,"Revision due",IF(COUNTIFS(Submissions!$A:$A,A25,Submissions!$E:$E,"Under review")&gt;0,"Under review",IF(I25&gt;0,"Needs resubmission","Not yet submitted"))))))</f>
        <v/>
      </c>
      <c r="H25" s="13">
        <f>IF(A25="","",IFERROR(INDEX(Submissions!$B:$B,MATCH(A25&amp;"|Under review",Submissions!$Q:$Q,0)),""))</f>
        <v/>
      </c>
      <c r="I25" s="13">
        <f>IF(A25="","",COUNTIFS(Submissions!$A:$A,A25,Submissions!$B:$B,"&lt;&gt;",Submissions!$E:$E,"&lt;&gt;Planned"))</f>
        <v/>
      </c>
      <c r="J25" s="13">
        <f>IF(A25="","",COUNTIFS(Submissions!$A:$A,A25,Submissions!$E:$E,"Rejected"))</f>
        <v/>
      </c>
      <c r="K25" s="13">
        <f>IF(A25="","",IFERROR(INDEX(Submissions!$B:$B,MATCH(A25&amp;"|Planned",Submissions!$Q:$Q,0)),""))</f>
        <v/>
      </c>
      <c r="L25" s="11" t="n"/>
      <c r="M25" s="13" t="n"/>
      <c r="N25" s="13" t="n"/>
      <c r="O25" s="13">
        <f>IF(OR(G25="Revision due",G25="Needs resubmission",G25="Not yet submitted"),COUNTIF($G$2:$G$200,"Revision due")*(G25&lt;&gt;"Revision due")+COUNTIF($G$2:$G$200,"Needs resubmission")*(G25="Not yet submitted")+COUNTIFS($G$2:G25,G25),"")</f>
        <v/>
      </c>
    </row>
    <row r="26">
      <c r="A26" s="13" t="n"/>
      <c r="B26" s="11" t="n"/>
      <c r="C26" s="13" t="n"/>
      <c r="D26" s="13" t="n"/>
      <c r="E26" s="13" t="n"/>
      <c r="F26" s="11" t="n"/>
      <c r="G26" s="13">
        <f>IF(A26="","",IF(E26&lt;&gt;"",E26,IF(COUNTIFS(Submissions!$A:$A,A26,Submissions!$E:$E,"Accepted")&gt;0,"Accepted",IF(COUNTIFS(Submissions!$A:$A,A26,Submissions!$E:$E,"Revision requested")&gt;0,"Revision due",IF(COUNTIFS(Submissions!$A:$A,A26,Submissions!$E:$E,"Under review")&gt;0,"Under review",IF(I26&gt;0,"Needs resubmission","Not yet submitted"))))))</f>
        <v/>
      </c>
      <c r="H26" s="13">
        <f>IF(A26="","",IFERROR(INDEX(Submissions!$B:$B,MATCH(A26&amp;"|Under review",Submissions!$Q:$Q,0)),""))</f>
        <v/>
      </c>
      <c r="I26" s="13">
        <f>IF(A26="","",COUNTIFS(Submissions!$A:$A,A26,Submissions!$B:$B,"&lt;&gt;",Submissions!$E:$E,"&lt;&gt;Planned"))</f>
        <v/>
      </c>
      <c r="J26" s="13">
        <f>IF(A26="","",COUNTIFS(Submissions!$A:$A,A26,Submissions!$E:$E,"Rejected"))</f>
        <v/>
      </c>
      <c r="K26" s="13">
        <f>IF(A26="","",IFERROR(INDEX(Submissions!$B:$B,MATCH(A26&amp;"|Planned",Submissions!$Q:$Q,0)),""))</f>
        <v/>
      </c>
      <c r="L26" s="11" t="n"/>
      <c r="M26" s="13" t="n"/>
      <c r="N26" s="13" t="n"/>
      <c r="O26" s="13">
        <f>IF(OR(G26="Revision due",G26="Needs resubmission",G26="Not yet submitted"),COUNTIF($G$2:$G$200,"Revision due")*(G26&lt;&gt;"Revision due")+COUNTIF($G$2:$G$200,"Needs resubmission")*(G26="Not yet submitted")+COUNTIFS($G$2:G26,G26),"")</f>
        <v/>
      </c>
    </row>
    <row r="27">
      <c r="A27" s="13" t="n"/>
      <c r="B27" s="11" t="n"/>
      <c r="C27" s="13" t="n"/>
      <c r="D27" s="13" t="n"/>
      <c r="E27" s="13" t="n"/>
      <c r="F27" s="11" t="n"/>
      <c r="G27" s="13">
        <f>IF(A27="","",IF(E27&lt;&gt;"",E27,IF(COUNTIFS(Submissions!$A:$A,A27,Submissions!$E:$E,"Accepted")&gt;0,"Accepted",IF(COUNTIFS(Submissions!$A:$A,A27,Submissions!$E:$E,"Revision requested")&gt;0,"Revision due",IF(COUNTIFS(Submissions!$A:$A,A27,Submissions!$E:$E,"Under review")&gt;0,"Under review",IF(I27&gt;0,"Needs resubmission","Not yet submitted"))))))</f>
        <v/>
      </c>
      <c r="H27" s="13">
        <f>IF(A27="","",IFERROR(INDEX(Submissions!$B:$B,MATCH(A27&amp;"|Under review",Submissions!$Q:$Q,0)),""))</f>
        <v/>
      </c>
      <c r="I27" s="13">
        <f>IF(A27="","",COUNTIFS(Submissions!$A:$A,A27,Submissions!$B:$B,"&lt;&gt;",Submissions!$E:$E,"&lt;&gt;Planned"))</f>
        <v/>
      </c>
      <c r="J27" s="13">
        <f>IF(A27="","",COUNTIFS(Submissions!$A:$A,A27,Submissions!$E:$E,"Rejected"))</f>
        <v/>
      </c>
      <c r="K27" s="13">
        <f>IF(A27="","",IFERROR(INDEX(Submissions!$B:$B,MATCH(A27&amp;"|Planned",Submissions!$Q:$Q,0)),""))</f>
        <v/>
      </c>
      <c r="L27" s="11" t="n"/>
      <c r="M27" s="13" t="n"/>
      <c r="N27" s="13" t="n"/>
      <c r="O27" s="13">
        <f>IF(OR(G27="Revision due",G27="Needs resubmission",G27="Not yet submitted"),COUNTIF($G$2:$G$200,"Revision due")*(G27&lt;&gt;"Revision due")+COUNTIF($G$2:$G$200,"Needs resubmission")*(G27="Not yet submitted")+COUNTIFS($G$2:G27,G27),"")</f>
        <v/>
      </c>
    </row>
    <row r="28">
      <c r="A28" s="13" t="n"/>
      <c r="B28" s="11" t="n"/>
      <c r="C28" s="13" t="n"/>
      <c r="D28" s="13" t="n"/>
      <c r="E28" s="13" t="n"/>
      <c r="F28" s="11" t="n"/>
      <c r="G28" s="13">
        <f>IF(A28="","",IF(E28&lt;&gt;"",E28,IF(COUNTIFS(Submissions!$A:$A,A28,Submissions!$E:$E,"Accepted")&gt;0,"Accepted",IF(COUNTIFS(Submissions!$A:$A,A28,Submissions!$E:$E,"Revision requested")&gt;0,"Revision due",IF(COUNTIFS(Submissions!$A:$A,A28,Submissions!$E:$E,"Under review")&gt;0,"Under review",IF(I28&gt;0,"Needs resubmission","Not yet submitted"))))))</f>
        <v/>
      </c>
      <c r="H28" s="13">
        <f>IF(A28="","",IFERROR(INDEX(Submissions!$B:$B,MATCH(A28&amp;"|Under review",Submissions!$Q:$Q,0)),""))</f>
        <v/>
      </c>
      <c r="I28" s="13">
        <f>IF(A28="","",COUNTIFS(Submissions!$A:$A,A28,Submissions!$B:$B,"&lt;&gt;",Submissions!$E:$E,"&lt;&gt;Planned"))</f>
        <v/>
      </c>
      <c r="J28" s="13">
        <f>IF(A28="","",COUNTIFS(Submissions!$A:$A,A28,Submissions!$E:$E,"Rejected"))</f>
        <v/>
      </c>
      <c r="K28" s="13">
        <f>IF(A28="","",IFERROR(INDEX(Submissions!$B:$B,MATCH(A28&amp;"|Planned",Submissions!$Q:$Q,0)),""))</f>
        <v/>
      </c>
      <c r="L28" s="11" t="n"/>
      <c r="M28" s="13" t="n"/>
      <c r="N28" s="13" t="n"/>
      <c r="O28" s="13">
        <f>IF(OR(G28="Revision due",G28="Needs resubmission",G28="Not yet submitted"),COUNTIF($G$2:$G$200,"Revision due")*(G28&lt;&gt;"Revision due")+COUNTIF($G$2:$G$200,"Needs resubmission")*(G28="Not yet submitted")+COUNTIFS($G$2:G28,G28),"")</f>
        <v/>
      </c>
    </row>
    <row r="29">
      <c r="A29" s="13" t="n"/>
      <c r="B29" s="11" t="n"/>
      <c r="C29" s="13" t="n"/>
      <c r="D29" s="13" t="n"/>
      <c r="E29" s="13" t="n"/>
      <c r="F29" s="11" t="n"/>
      <c r="G29" s="13">
        <f>IF(A29="","",IF(E29&lt;&gt;"",E29,IF(COUNTIFS(Submissions!$A:$A,A29,Submissions!$E:$E,"Accepted")&gt;0,"Accepted",IF(COUNTIFS(Submissions!$A:$A,A29,Submissions!$E:$E,"Revision requested")&gt;0,"Revision due",IF(COUNTIFS(Submissions!$A:$A,A29,Submissions!$E:$E,"Under review")&gt;0,"Under review",IF(I29&gt;0,"Needs resubmission","Not yet submitted"))))))</f>
        <v/>
      </c>
      <c r="H29" s="13">
        <f>IF(A29="","",IFERROR(INDEX(Submissions!$B:$B,MATCH(A29&amp;"|Under review",Submissions!$Q:$Q,0)),""))</f>
        <v/>
      </c>
      <c r="I29" s="13">
        <f>IF(A29="","",COUNTIFS(Submissions!$A:$A,A29,Submissions!$B:$B,"&lt;&gt;",Submissions!$E:$E,"&lt;&gt;Planned"))</f>
        <v/>
      </c>
      <c r="J29" s="13">
        <f>IF(A29="","",COUNTIFS(Submissions!$A:$A,A29,Submissions!$E:$E,"Rejected"))</f>
        <v/>
      </c>
      <c r="K29" s="13">
        <f>IF(A29="","",IFERROR(INDEX(Submissions!$B:$B,MATCH(A29&amp;"|Planned",Submissions!$Q:$Q,0)),""))</f>
        <v/>
      </c>
      <c r="L29" s="11" t="n"/>
      <c r="M29" s="13" t="n"/>
      <c r="N29" s="13" t="n"/>
      <c r="O29" s="13">
        <f>IF(OR(G29="Revision due",G29="Needs resubmission",G29="Not yet submitted"),COUNTIF($G$2:$G$200,"Revision due")*(G29&lt;&gt;"Revision due")+COUNTIF($G$2:$G$200,"Needs resubmission")*(G29="Not yet submitted")+COUNTIFS($G$2:G29,G29),"")</f>
        <v/>
      </c>
    </row>
    <row r="30">
      <c r="A30" s="13" t="n"/>
      <c r="B30" s="11" t="n"/>
      <c r="C30" s="13" t="n"/>
      <c r="D30" s="13" t="n"/>
      <c r="E30" s="13" t="n"/>
      <c r="F30" s="11" t="n"/>
      <c r="G30" s="13">
        <f>IF(A30="","",IF(E30&lt;&gt;"",E30,IF(COUNTIFS(Submissions!$A:$A,A30,Submissions!$E:$E,"Accepted")&gt;0,"Accepted",IF(COUNTIFS(Submissions!$A:$A,A30,Submissions!$E:$E,"Revision requested")&gt;0,"Revision due",IF(COUNTIFS(Submissions!$A:$A,A30,Submissions!$E:$E,"Under review")&gt;0,"Under review",IF(I30&gt;0,"Needs resubmission","Not yet submitted"))))))</f>
        <v/>
      </c>
      <c r="H30" s="13">
        <f>IF(A30="","",IFERROR(INDEX(Submissions!$B:$B,MATCH(A30&amp;"|Under review",Submissions!$Q:$Q,0)),""))</f>
        <v/>
      </c>
      <c r="I30" s="13">
        <f>IF(A30="","",COUNTIFS(Submissions!$A:$A,A30,Submissions!$B:$B,"&lt;&gt;",Submissions!$E:$E,"&lt;&gt;Planned"))</f>
        <v/>
      </c>
      <c r="J30" s="13">
        <f>IF(A30="","",COUNTIFS(Submissions!$A:$A,A30,Submissions!$E:$E,"Rejected"))</f>
        <v/>
      </c>
      <c r="K30" s="13">
        <f>IF(A30="","",IFERROR(INDEX(Submissions!$B:$B,MATCH(A30&amp;"|Planned",Submissions!$Q:$Q,0)),""))</f>
        <v/>
      </c>
      <c r="L30" s="11" t="n"/>
      <c r="M30" s="13" t="n"/>
      <c r="N30" s="13" t="n"/>
      <c r="O30" s="13">
        <f>IF(OR(G30="Revision due",G30="Needs resubmission",G30="Not yet submitted"),COUNTIF($G$2:$G$200,"Revision due")*(G30&lt;&gt;"Revision due")+COUNTIF($G$2:$G$200,"Needs resubmission")*(G30="Not yet submitted")+COUNTIFS($G$2:G30,G30),"")</f>
        <v/>
      </c>
    </row>
    <row r="31">
      <c r="A31" s="13" t="n"/>
      <c r="B31" s="11" t="n"/>
      <c r="C31" s="13" t="n"/>
      <c r="D31" s="13" t="n"/>
      <c r="E31" s="13" t="n"/>
      <c r="F31" s="11" t="n"/>
      <c r="G31" s="13">
        <f>IF(A31="","",IF(E31&lt;&gt;"",E31,IF(COUNTIFS(Submissions!$A:$A,A31,Submissions!$E:$E,"Accepted")&gt;0,"Accepted",IF(COUNTIFS(Submissions!$A:$A,A31,Submissions!$E:$E,"Revision requested")&gt;0,"Revision due",IF(COUNTIFS(Submissions!$A:$A,A31,Submissions!$E:$E,"Under review")&gt;0,"Under review",IF(I31&gt;0,"Needs resubmission","Not yet submitted"))))))</f>
        <v/>
      </c>
      <c r="H31" s="13">
        <f>IF(A31="","",IFERROR(INDEX(Submissions!$B:$B,MATCH(A31&amp;"|Under review",Submissions!$Q:$Q,0)),""))</f>
        <v/>
      </c>
      <c r="I31" s="13">
        <f>IF(A31="","",COUNTIFS(Submissions!$A:$A,A31,Submissions!$B:$B,"&lt;&gt;",Submissions!$E:$E,"&lt;&gt;Planned"))</f>
        <v/>
      </c>
      <c r="J31" s="13">
        <f>IF(A31="","",COUNTIFS(Submissions!$A:$A,A31,Submissions!$E:$E,"Rejected"))</f>
        <v/>
      </c>
      <c r="K31" s="13">
        <f>IF(A31="","",IFERROR(INDEX(Submissions!$B:$B,MATCH(A31&amp;"|Planned",Submissions!$Q:$Q,0)),""))</f>
        <v/>
      </c>
      <c r="L31" s="11" t="n"/>
      <c r="M31" s="13" t="n"/>
      <c r="N31" s="13" t="n"/>
      <c r="O31" s="13">
        <f>IF(OR(G31="Revision due",G31="Needs resubmission",G31="Not yet submitted"),COUNTIF($G$2:$G$200,"Revision due")*(G31&lt;&gt;"Revision due")+COUNTIF($G$2:$G$200,"Needs resubmission")*(G31="Not yet submitted")+COUNTIFS($G$2:G31,G31),"")</f>
        <v/>
      </c>
    </row>
    <row r="32">
      <c r="A32" s="13" t="n"/>
      <c r="B32" s="11" t="n"/>
      <c r="C32" s="13" t="n"/>
      <c r="D32" s="13" t="n"/>
      <c r="E32" s="13" t="n"/>
      <c r="F32" s="11" t="n"/>
      <c r="G32" s="13">
        <f>IF(A32="","",IF(E32&lt;&gt;"",E32,IF(COUNTIFS(Submissions!$A:$A,A32,Submissions!$E:$E,"Accepted")&gt;0,"Accepted",IF(COUNTIFS(Submissions!$A:$A,A32,Submissions!$E:$E,"Revision requested")&gt;0,"Revision due",IF(COUNTIFS(Submissions!$A:$A,A32,Submissions!$E:$E,"Under review")&gt;0,"Under review",IF(I32&gt;0,"Needs resubmission","Not yet submitted"))))))</f>
        <v/>
      </c>
      <c r="H32" s="13">
        <f>IF(A32="","",IFERROR(INDEX(Submissions!$B:$B,MATCH(A32&amp;"|Under review",Submissions!$Q:$Q,0)),""))</f>
        <v/>
      </c>
      <c r="I32" s="13">
        <f>IF(A32="","",COUNTIFS(Submissions!$A:$A,A32,Submissions!$B:$B,"&lt;&gt;",Submissions!$E:$E,"&lt;&gt;Planned"))</f>
        <v/>
      </c>
      <c r="J32" s="13">
        <f>IF(A32="","",COUNTIFS(Submissions!$A:$A,A32,Submissions!$E:$E,"Rejected"))</f>
        <v/>
      </c>
      <c r="K32" s="13">
        <f>IF(A32="","",IFERROR(INDEX(Submissions!$B:$B,MATCH(A32&amp;"|Planned",Submissions!$Q:$Q,0)),""))</f>
        <v/>
      </c>
      <c r="L32" s="11" t="n"/>
      <c r="M32" s="13" t="n"/>
      <c r="N32" s="13" t="n"/>
      <c r="O32" s="13">
        <f>IF(OR(G32="Revision due",G32="Needs resubmission",G32="Not yet submitted"),COUNTIF($G$2:$G$200,"Revision due")*(G32&lt;&gt;"Revision due")+COUNTIF($G$2:$G$200,"Needs resubmission")*(G32="Not yet submitted")+COUNTIFS($G$2:G32,G32),"")</f>
        <v/>
      </c>
    </row>
    <row r="33">
      <c r="A33" s="13" t="n"/>
      <c r="B33" s="11" t="n"/>
      <c r="C33" s="13" t="n"/>
      <c r="D33" s="13" t="n"/>
      <c r="E33" s="13" t="n"/>
      <c r="F33" s="11" t="n"/>
      <c r="G33" s="13">
        <f>IF(A33="","",IF(E33&lt;&gt;"",E33,IF(COUNTIFS(Submissions!$A:$A,A33,Submissions!$E:$E,"Accepted")&gt;0,"Accepted",IF(COUNTIFS(Submissions!$A:$A,A33,Submissions!$E:$E,"Revision requested")&gt;0,"Revision due",IF(COUNTIFS(Submissions!$A:$A,A33,Submissions!$E:$E,"Under review")&gt;0,"Under review",IF(I33&gt;0,"Needs resubmission","Not yet submitted"))))))</f>
        <v/>
      </c>
      <c r="H33" s="13">
        <f>IF(A33="","",IFERROR(INDEX(Submissions!$B:$B,MATCH(A33&amp;"|Under review",Submissions!$Q:$Q,0)),""))</f>
        <v/>
      </c>
      <c r="I33" s="13">
        <f>IF(A33="","",COUNTIFS(Submissions!$A:$A,A33,Submissions!$B:$B,"&lt;&gt;",Submissions!$E:$E,"&lt;&gt;Planned"))</f>
        <v/>
      </c>
      <c r="J33" s="13">
        <f>IF(A33="","",COUNTIFS(Submissions!$A:$A,A33,Submissions!$E:$E,"Rejected"))</f>
        <v/>
      </c>
      <c r="K33" s="13">
        <f>IF(A33="","",IFERROR(INDEX(Submissions!$B:$B,MATCH(A33&amp;"|Planned",Submissions!$Q:$Q,0)),""))</f>
        <v/>
      </c>
      <c r="L33" s="11" t="n"/>
      <c r="M33" s="13" t="n"/>
      <c r="N33" s="13" t="n"/>
      <c r="O33" s="13">
        <f>IF(OR(G33="Revision due",G33="Needs resubmission",G33="Not yet submitted"),COUNTIF($G$2:$G$200,"Revision due")*(G33&lt;&gt;"Revision due")+COUNTIF($G$2:$G$200,"Needs resubmission")*(G33="Not yet submitted")+COUNTIFS($G$2:G33,G33),"")</f>
        <v/>
      </c>
    </row>
    <row r="34">
      <c r="A34" s="13" t="n"/>
      <c r="B34" s="11" t="n"/>
      <c r="C34" s="13" t="n"/>
      <c r="D34" s="13" t="n"/>
      <c r="E34" s="13" t="n"/>
      <c r="F34" s="11" t="n"/>
      <c r="G34" s="13">
        <f>IF(A34="","",IF(E34&lt;&gt;"",E34,IF(COUNTIFS(Submissions!$A:$A,A34,Submissions!$E:$E,"Accepted")&gt;0,"Accepted",IF(COUNTIFS(Submissions!$A:$A,A34,Submissions!$E:$E,"Revision requested")&gt;0,"Revision due",IF(COUNTIFS(Submissions!$A:$A,A34,Submissions!$E:$E,"Under review")&gt;0,"Under review",IF(I34&gt;0,"Needs resubmission","Not yet submitted"))))))</f>
        <v/>
      </c>
      <c r="H34" s="13">
        <f>IF(A34="","",IFERROR(INDEX(Submissions!$B:$B,MATCH(A34&amp;"|Under review",Submissions!$Q:$Q,0)),""))</f>
        <v/>
      </c>
      <c r="I34" s="13">
        <f>IF(A34="","",COUNTIFS(Submissions!$A:$A,A34,Submissions!$B:$B,"&lt;&gt;",Submissions!$E:$E,"&lt;&gt;Planned"))</f>
        <v/>
      </c>
      <c r="J34" s="13">
        <f>IF(A34="","",COUNTIFS(Submissions!$A:$A,A34,Submissions!$E:$E,"Rejected"))</f>
        <v/>
      </c>
      <c r="K34" s="13">
        <f>IF(A34="","",IFERROR(INDEX(Submissions!$B:$B,MATCH(A34&amp;"|Planned",Submissions!$Q:$Q,0)),""))</f>
        <v/>
      </c>
      <c r="L34" s="11" t="n"/>
      <c r="M34" s="13" t="n"/>
      <c r="N34" s="13" t="n"/>
      <c r="O34" s="13">
        <f>IF(OR(G34="Revision due",G34="Needs resubmission",G34="Not yet submitted"),COUNTIF($G$2:$G$200,"Revision due")*(G34&lt;&gt;"Revision due")+COUNTIF($G$2:$G$200,"Needs resubmission")*(G34="Not yet submitted")+COUNTIFS($G$2:G34,G34),"")</f>
        <v/>
      </c>
    </row>
    <row r="35">
      <c r="A35" s="13" t="n"/>
      <c r="B35" s="11" t="n"/>
      <c r="C35" s="13" t="n"/>
      <c r="D35" s="13" t="n"/>
      <c r="E35" s="13" t="n"/>
      <c r="F35" s="11" t="n"/>
      <c r="G35" s="13">
        <f>IF(A35="","",IF(E35&lt;&gt;"",E35,IF(COUNTIFS(Submissions!$A:$A,A35,Submissions!$E:$E,"Accepted")&gt;0,"Accepted",IF(COUNTIFS(Submissions!$A:$A,A35,Submissions!$E:$E,"Revision requested")&gt;0,"Revision due",IF(COUNTIFS(Submissions!$A:$A,A35,Submissions!$E:$E,"Under review")&gt;0,"Under review",IF(I35&gt;0,"Needs resubmission","Not yet submitted"))))))</f>
        <v/>
      </c>
      <c r="H35" s="13">
        <f>IF(A35="","",IFERROR(INDEX(Submissions!$B:$B,MATCH(A35&amp;"|Under review",Submissions!$Q:$Q,0)),""))</f>
        <v/>
      </c>
      <c r="I35" s="13">
        <f>IF(A35="","",COUNTIFS(Submissions!$A:$A,A35,Submissions!$B:$B,"&lt;&gt;",Submissions!$E:$E,"&lt;&gt;Planned"))</f>
        <v/>
      </c>
      <c r="J35" s="13">
        <f>IF(A35="","",COUNTIFS(Submissions!$A:$A,A35,Submissions!$E:$E,"Rejected"))</f>
        <v/>
      </c>
      <c r="K35" s="13">
        <f>IF(A35="","",IFERROR(INDEX(Submissions!$B:$B,MATCH(A35&amp;"|Planned",Submissions!$Q:$Q,0)),""))</f>
        <v/>
      </c>
      <c r="L35" s="11" t="n"/>
      <c r="M35" s="13" t="n"/>
      <c r="N35" s="13" t="n"/>
      <c r="O35" s="13">
        <f>IF(OR(G35="Revision due",G35="Needs resubmission",G35="Not yet submitted"),COUNTIF($G$2:$G$200,"Revision due")*(G35&lt;&gt;"Revision due")+COUNTIF($G$2:$G$200,"Needs resubmission")*(G35="Not yet submitted")+COUNTIFS($G$2:G35,G35),"")</f>
        <v/>
      </c>
    </row>
    <row r="36">
      <c r="A36" s="13" t="n"/>
      <c r="B36" s="11" t="n"/>
      <c r="C36" s="13" t="n"/>
      <c r="D36" s="13" t="n"/>
      <c r="E36" s="13" t="n"/>
      <c r="F36" s="11" t="n"/>
      <c r="G36" s="13">
        <f>IF(A36="","",IF(E36&lt;&gt;"",E36,IF(COUNTIFS(Submissions!$A:$A,A36,Submissions!$E:$E,"Accepted")&gt;0,"Accepted",IF(COUNTIFS(Submissions!$A:$A,A36,Submissions!$E:$E,"Revision requested")&gt;0,"Revision due",IF(COUNTIFS(Submissions!$A:$A,A36,Submissions!$E:$E,"Under review")&gt;0,"Under review",IF(I36&gt;0,"Needs resubmission","Not yet submitted"))))))</f>
        <v/>
      </c>
      <c r="H36" s="13">
        <f>IF(A36="","",IFERROR(INDEX(Submissions!$B:$B,MATCH(A36&amp;"|Under review",Submissions!$Q:$Q,0)),""))</f>
        <v/>
      </c>
      <c r="I36" s="13">
        <f>IF(A36="","",COUNTIFS(Submissions!$A:$A,A36,Submissions!$B:$B,"&lt;&gt;",Submissions!$E:$E,"&lt;&gt;Planned"))</f>
        <v/>
      </c>
      <c r="J36" s="13">
        <f>IF(A36="","",COUNTIFS(Submissions!$A:$A,A36,Submissions!$E:$E,"Rejected"))</f>
        <v/>
      </c>
      <c r="K36" s="13">
        <f>IF(A36="","",IFERROR(INDEX(Submissions!$B:$B,MATCH(A36&amp;"|Planned",Submissions!$Q:$Q,0)),""))</f>
        <v/>
      </c>
      <c r="L36" s="11" t="n"/>
      <c r="M36" s="13" t="n"/>
      <c r="N36" s="13" t="n"/>
      <c r="O36" s="13">
        <f>IF(OR(G36="Revision due",G36="Needs resubmission",G36="Not yet submitted"),COUNTIF($G$2:$G$200,"Revision due")*(G36&lt;&gt;"Revision due")+COUNTIF($G$2:$G$200,"Needs resubmission")*(G36="Not yet submitted")+COUNTIFS($G$2:G36,G36),"")</f>
        <v/>
      </c>
    </row>
    <row r="37">
      <c r="A37" s="13" t="n"/>
      <c r="B37" s="11" t="n"/>
      <c r="C37" s="13" t="n"/>
      <c r="D37" s="13" t="n"/>
      <c r="E37" s="13" t="n"/>
      <c r="F37" s="11" t="n"/>
      <c r="G37" s="13">
        <f>IF(A37="","",IF(E37&lt;&gt;"",E37,IF(COUNTIFS(Submissions!$A:$A,A37,Submissions!$E:$E,"Accepted")&gt;0,"Accepted",IF(COUNTIFS(Submissions!$A:$A,A37,Submissions!$E:$E,"Revision requested")&gt;0,"Revision due",IF(COUNTIFS(Submissions!$A:$A,A37,Submissions!$E:$E,"Under review")&gt;0,"Under review",IF(I37&gt;0,"Needs resubmission","Not yet submitted"))))))</f>
        <v/>
      </c>
      <c r="H37" s="13">
        <f>IF(A37="","",IFERROR(INDEX(Submissions!$B:$B,MATCH(A37&amp;"|Under review",Submissions!$Q:$Q,0)),""))</f>
        <v/>
      </c>
      <c r="I37" s="13">
        <f>IF(A37="","",COUNTIFS(Submissions!$A:$A,A37,Submissions!$B:$B,"&lt;&gt;",Submissions!$E:$E,"&lt;&gt;Planned"))</f>
        <v/>
      </c>
      <c r="J37" s="13">
        <f>IF(A37="","",COUNTIFS(Submissions!$A:$A,A37,Submissions!$E:$E,"Rejected"))</f>
        <v/>
      </c>
      <c r="K37" s="13">
        <f>IF(A37="","",IFERROR(INDEX(Submissions!$B:$B,MATCH(A37&amp;"|Planned",Submissions!$Q:$Q,0)),""))</f>
        <v/>
      </c>
      <c r="L37" s="11" t="n"/>
      <c r="M37" s="13" t="n"/>
      <c r="N37" s="13" t="n"/>
      <c r="O37" s="13">
        <f>IF(OR(G37="Revision due",G37="Needs resubmission",G37="Not yet submitted"),COUNTIF($G$2:$G$200,"Revision due")*(G37&lt;&gt;"Revision due")+COUNTIF($G$2:$G$200,"Needs resubmission")*(G37="Not yet submitted")+COUNTIFS($G$2:G37,G37),"")</f>
        <v/>
      </c>
    </row>
    <row r="38">
      <c r="A38" s="13" t="n"/>
      <c r="B38" s="11" t="n"/>
      <c r="C38" s="13" t="n"/>
      <c r="D38" s="13" t="n"/>
      <c r="E38" s="13" t="n"/>
      <c r="F38" s="11" t="n"/>
      <c r="G38" s="13">
        <f>IF(A38="","",IF(E38&lt;&gt;"",E38,IF(COUNTIFS(Submissions!$A:$A,A38,Submissions!$E:$E,"Accepted")&gt;0,"Accepted",IF(COUNTIFS(Submissions!$A:$A,A38,Submissions!$E:$E,"Revision requested")&gt;0,"Revision due",IF(COUNTIFS(Submissions!$A:$A,A38,Submissions!$E:$E,"Under review")&gt;0,"Under review",IF(I38&gt;0,"Needs resubmission","Not yet submitted"))))))</f>
        <v/>
      </c>
      <c r="H38" s="13">
        <f>IF(A38="","",IFERROR(INDEX(Submissions!$B:$B,MATCH(A38&amp;"|Under review",Submissions!$Q:$Q,0)),""))</f>
        <v/>
      </c>
      <c r="I38" s="13">
        <f>IF(A38="","",COUNTIFS(Submissions!$A:$A,A38,Submissions!$B:$B,"&lt;&gt;",Submissions!$E:$E,"&lt;&gt;Planned"))</f>
        <v/>
      </c>
      <c r="J38" s="13">
        <f>IF(A38="","",COUNTIFS(Submissions!$A:$A,A38,Submissions!$E:$E,"Rejected"))</f>
        <v/>
      </c>
      <c r="K38" s="13">
        <f>IF(A38="","",IFERROR(INDEX(Submissions!$B:$B,MATCH(A38&amp;"|Planned",Submissions!$Q:$Q,0)),""))</f>
        <v/>
      </c>
      <c r="L38" s="11" t="n"/>
      <c r="M38" s="13" t="n"/>
      <c r="N38" s="13" t="n"/>
      <c r="O38" s="13">
        <f>IF(OR(G38="Revision due",G38="Needs resubmission",G38="Not yet submitted"),COUNTIF($G$2:$G$200,"Revision due")*(G38&lt;&gt;"Revision due")+COUNTIF($G$2:$G$200,"Needs resubmission")*(G38="Not yet submitted")+COUNTIFS($G$2:G38,G38),"")</f>
        <v/>
      </c>
    </row>
    <row r="39">
      <c r="A39" s="13" t="n"/>
      <c r="B39" s="11" t="n"/>
      <c r="C39" s="13" t="n"/>
      <c r="D39" s="13" t="n"/>
      <c r="E39" s="13" t="n"/>
      <c r="F39" s="11" t="n"/>
      <c r="G39" s="13">
        <f>IF(A39="","",IF(E39&lt;&gt;"",E39,IF(COUNTIFS(Submissions!$A:$A,A39,Submissions!$E:$E,"Accepted")&gt;0,"Accepted",IF(COUNTIFS(Submissions!$A:$A,A39,Submissions!$E:$E,"Revision requested")&gt;0,"Revision due",IF(COUNTIFS(Submissions!$A:$A,A39,Submissions!$E:$E,"Under review")&gt;0,"Under review",IF(I39&gt;0,"Needs resubmission","Not yet submitted"))))))</f>
        <v/>
      </c>
      <c r="H39" s="13">
        <f>IF(A39="","",IFERROR(INDEX(Submissions!$B:$B,MATCH(A39&amp;"|Under review",Submissions!$Q:$Q,0)),""))</f>
        <v/>
      </c>
      <c r="I39" s="13">
        <f>IF(A39="","",COUNTIFS(Submissions!$A:$A,A39,Submissions!$B:$B,"&lt;&gt;",Submissions!$E:$E,"&lt;&gt;Planned"))</f>
        <v/>
      </c>
      <c r="J39" s="13">
        <f>IF(A39="","",COUNTIFS(Submissions!$A:$A,A39,Submissions!$E:$E,"Rejected"))</f>
        <v/>
      </c>
      <c r="K39" s="13">
        <f>IF(A39="","",IFERROR(INDEX(Submissions!$B:$B,MATCH(A39&amp;"|Planned",Submissions!$Q:$Q,0)),""))</f>
        <v/>
      </c>
      <c r="L39" s="11" t="n"/>
      <c r="M39" s="13" t="n"/>
      <c r="N39" s="13" t="n"/>
      <c r="O39" s="13">
        <f>IF(OR(G39="Revision due",G39="Needs resubmission",G39="Not yet submitted"),COUNTIF($G$2:$G$200,"Revision due")*(G39&lt;&gt;"Revision due")+COUNTIF($G$2:$G$200,"Needs resubmission")*(G39="Not yet submitted")+COUNTIFS($G$2:G39,G39),"")</f>
        <v/>
      </c>
    </row>
    <row r="40">
      <c r="A40" s="13" t="n"/>
      <c r="B40" s="11" t="n"/>
      <c r="C40" s="13" t="n"/>
      <c r="D40" s="13" t="n"/>
      <c r="E40" s="13" t="n"/>
      <c r="F40" s="11" t="n"/>
      <c r="G40" s="13">
        <f>IF(A40="","",IF(E40&lt;&gt;"",E40,IF(COUNTIFS(Submissions!$A:$A,A40,Submissions!$E:$E,"Accepted")&gt;0,"Accepted",IF(COUNTIFS(Submissions!$A:$A,A40,Submissions!$E:$E,"Revision requested")&gt;0,"Revision due",IF(COUNTIFS(Submissions!$A:$A,A40,Submissions!$E:$E,"Under review")&gt;0,"Under review",IF(I40&gt;0,"Needs resubmission","Not yet submitted"))))))</f>
        <v/>
      </c>
      <c r="H40" s="13">
        <f>IF(A40="","",IFERROR(INDEX(Submissions!$B:$B,MATCH(A40&amp;"|Under review",Submissions!$Q:$Q,0)),""))</f>
        <v/>
      </c>
      <c r="I40" s="13">
        <f>IF(A40="","",COUNTIFS(Submissions!$A:$A,A40,Submissions!$B:$B,"&lt;&gt;",Submissions!$E:$E,"&lt;&gt;Planned"))</f>
        <v/>
      </c>
      <c r="J40" s="13">
        <f>IF(A40="","",COUNTIFS(Submissions!$A:$A,A40,Submissions!$E:$E,"Rejected"))</f>
        <v/>
      </c>
      <c r="K40" s="13">
        <f>IF(A40="","",IFERROR(INDEX(Submissions!$B:$B,MATCH(A40&amp;"|Planned",Submissions!$Q:$Q,0)),""))</f>
        <v/>
      </c>
      <c r="L40" s="11" t="n"/>
      <c r="M40" s="13" t="n"/>
      <c r="N40" s="13" t="n"/>
      <c r="O40" s="13">
        <f>IF(OR(G40="Revision due",G40="Needs resubmission",G40="Not yet submitted"),COUNTIF($G$2:$G$200,"Revision due")*(G40&lt;&gt;"Revision due")+COUNTIF($G$2:$G$200,"Needs resubmission")*(G40="Not yet submitted")+COUNTIFS($G$2:G40,G40),"")</f>
        <v/>
      </c>
    </row>
    <row r="41">
      <c r="A41" s="13" t="n"/>
      <c r="B41" s="11" t="n"/>
      <c r="C41" s="13" t="n"/>
      <c r="D41" s="13" t="n"/>
      <c r="E41" s="13" t="n"/>
      <c r="F41" s="11" t="n"/>
      <c r="G41" s="13">
        <f>IF(A41="","",IF(E41&lt;&gt;"",E41,IF(COUNTIFS(Submissions!$A:$A,A41,Submissions!$E:$E,"Accepted")&gt;0,"Accepted",IF(COUNTIFS(Submissions!$A:$A,A41,Submissions!$E:$E,"Revision requested")&gt;0,"Revision due",IF(COUNTIFS(Submissions!$A:$A,A41,Submissions!$E:$E,"Under review")&gt;0,"Under review",IF(I41&gt;0,"Needs resubmission","Not yet submitted"))))))</f>
        <v/>
      </c>
      <c r="H41" s="13">
        <f>IF(A41="","",IFERROR(INDEX(Submissions!$B:$B,MATCH(A41&amp;"|Under review",Submissions!$Q:$Q,0)),""))</f>
        <v/>
      </c>
      <c r="I41" s="13">
        <f>IF(A41="","",COUNTIFS(Submissions!$A:$A,A41,Submissions!$B:$B,"&lt;&gt;",Submissions!$E:$E,"&lt;&gt;Planned"))</f>
        <v/>
      </c>
      <c r="J41" s="13">
        <f>IF(A41="","",COUNTIFS(Submissions!$A:$A,A41,Submissions!$E:$E,"Rejected"))</f>
        <v/>
      </c>
      <c r="K41" s="13">
        <f>IF(A41="","",IFERROR(INDEX(Submissions!$B:$B,MATCH(A41&amp;"|Planned",Submissions!$Q:$Q,0)),""))</f>
        <v/>
      </c>
      <c r="L41" s="11" t="n"/>
      <c r="M41" s="13" t="n"/>
      <c r="N41" s="13" t="n"/>
      <c r="O41" s="13">
        <f>IF(OR(G41="Revision due",G41="Needs resubmission",G41="Not yet submitted"),COUNTIF($G$2:$G$200,"Revision due")*(G41&lt;&gt;"Revision due")+COUNTIF($G$2:$G$200,"Needs resubmission")*(G41="Not yet submitted")+COUNTIFS($G$2:G41,G41),"")</f>
        <v/>
      </c>
    </row>
    <row r="42">
      <c r="A42" s="13" t="n"/>
      <c r="B42" s="11" t="n"/>
      <c r="C42" s="13" t="n"/>
      <c r="D42" s="13" t="n"/>
      <c r="E42" s="13" t="n"/>
      <c r="F42" s="11" t="n"/>
      <c r="G42" s="13">
        <f>IF(A42="","",IF(E42&lt;&gt;"",E42,IF(COUNTIFS(Submissions!$A:$A,A42,Submissions!$E:$E,"Accepted")&gt;0,"Accepted",IF(COUNTIFS(Submissions!$A:$A,A42,Submissions!$E:$E,"Revision requested")&gt;0,"Revision due",IF(COUNTIFS(Submissions!$A:$A,A42,Submissions!$E:$E,"Under review")&gt;0,"Under review",IF(I42&gt;0,"Needs resubmission","Not yet submitted"))))))</f>
        <v/>
      </c>
      <c r="H42" s="13">
        <f>IF(A42="","",IFERROR(INDEX(Submissions!$B:$B,MATCH(A42&amp;"|Under review",Submissions!$Q:$Q,0)),""))</f>
        <v/>
      </c>
      <c r="I42" s="13">
        <f>IF(A42="","",COUNTIFS(Submissions!$A:$A,A42,Submissions!$B:$B,"&lt;&gt;",Submissions!$E:$E,"&lt;&gt;Planned"))</f>
        <v/>
      </c>
      <c r="J42" s="13">
        <f>IF(A42="","",COUNTIFS(Submissions!$A:$A,A42,Submissions!$E:$E,"Rejected"))</f>
        <v/>
      </c>
      <c r="K42" s="13">
        <f>IF(A42="","",IFERROR(INDEX(Submissions!$B:$B,MATCH(A42&amp;"|Planned",Submissions!$Q:$Q,0)),""))</f>
        <v/>
      </c>
      <c r="L42" s="11" t="n"/>
      <c r="M42" s="13" t="n"/>
      <c r="N42" s="13" t="n"/>
      <c r="O42" s="13">
        <f>IF(OR(G42="Revision due",G42="Needs resubmission",G42="Not yet submitted"),COUNTIF($G$2:$G$200,"Revision due")*(G42&lt;&gt;"Revision due")+COUNTIF($G$2:$G$200,"Needs resubmission")*(G42="Not yet submitted")+COUNTIFS($G$2:G42,G42),"")</f>
        <v/>
      </c>
    </row>
    <row r="43">
      <c r="A43" s="13" t="n"/>
      <c r="B43" s="11" t="n"/>
      <c r="C43" s="13" t="n"/>
      <c r="D43" s="13" t="n"/>
      <c r="E43" s="13" t="n"/>
      <c r="F43" s="11" t="n"/>
      <c r="G43" s="13">
        <f>IF(A43="","",IF(E43&lt;&gt;"",E43,IF(COUNTIFS(Submissions!$A:$A,A43,Submissions!$E:$E,"Accepted")&gt;0,"Accepted",IF(COUNTIFS(Submissions!$A:$A,A43,Submissions!$E:$E,"Revision requested")&gt;0,"Revision due",IF(COUNTIFS(Submissions!$A:$A,A43,Submissions!$E:$E,"Under review")&gt;0,"Under review",IF(I43&gt;0,"Needs resubmission","Not yet submitted"))))))</f>
        <v/>
      </c>
      <c r="H43" s="13">
        <f>IF(A43="","",IFERROR(INDEX(Submissions!$B:$B,MATCH(A43&amp;"|Under review",Submissions!$Q:$Q,0)),""))</f>
        <v/>
      </c>
      <c r="I43" s="13">
        <f>IF(A43="","",COUNTIFS(Submissions!$A:$A,A43,Submissions!$B:$B,"&lt;&gt;",Submissions!$E:$E,"&lt;&gt;Planned"))</f>
        <v/>
      </c>
      <c r="J43" s="13">
        <f>IF(A43="","",COUNTIFS(Submissions!$A:$A,A43,Submissions!$E:$E,"Rejected"))</f>
        <v/>
      </c>
      <c r="K43" s="13">
        <f>IF(A43="","",IFERROR(INDEX(Submissions!$B:$B,MATCH(A43&amp;"|Planned",Submissions!$Q:$Q,0)),""))</f>
        <v/>
      </c>
      <c r="L43" s="11" t="n"/>
      <c r="M43" s="13" t="n"/>
      <c r="N43" s="13" t="n"/>
      <c r="O43" s="13">
        <f>IF(OR(G43="Revision due",G43="Needs resubmission",G43="Not yet submitted"),COUNTIF($G$2:$G$200,"Revision due")*(G43&lt;&gt;"Revision due")+COUNTIF($G$2:$G$200,"Needs resubmission")*(G43="Not yet submitted")+COUNTIFS($G$2:G43,G43),"")</f>
        <v/>
      </c>
    </row>
    <row r="44">
      <c r="A44" s="13" t="n"/>
      <c r="B44" s="11" t="n"/>
      <c r="C44" s="13" t="n"/>
      <c r="D44" s="13" t="n"/>
      <c r="E44" s="13" t="n"/>
      <c r="F44" s="11" t="n"/>
      <c r="G44" s="13">
        <f>IF(A44="","",IF(E44&lt;&gt;"",E44,IF(COUNTIFS(Submissions!$A:$A,A44,Submissions!$E:$E,"Accepted")&gt;0,"Accepted",IF(COUNTIFS(Submissions!$A:$A,A44,Submissions!$E:$E,"Revision requested")&gt;0,"Revision due",IF(COUNTIFS(Submissions!$A:$A,A44,Submissions!$E:$E,"Under review")&gt;0,"Under review",IF(I44&gt;0,"Needs resubmission","Not yet submitted"))))))</f>
        <v/>
      </c>
      <c r="H44" s="13">
        <f>IF(A44="","",IFERROR(INDEX(Submissions!$B:$B,MATCH(A44&amp;"|Under review",Submissions!$Q:$Q,0)),""))</f>
        <v/>
      </c>
      <c r="I44" s="13">
        <f>IF(A44="","",COUNTIFS(Submissions!$A:$A,A44,Submissions!$B:$B,"&lt;&gt;",Submissions!$E:$E,"&lt;&gt;Planned"))</f>
        <v/>
      </c>
      <c r="J44" s="13">
        <f>IF(A44="","",COUNTIFS(Submissions!$A:$A,A44,Submissions!$E:$E,"Rejected"))</f>
        <v/>
      </c>
      <c r="K44" s="13">
        <f>IF(A44="","",IFERROR(INDEX(Submissions!$B:$B,MATCH(A44&amp;"|Planned",Submissions!$Q:$Q,0)),""))</f>
        <v/>
      </c>
      <c r="L44" s="11" t="n"/>
      <c r="M44" s="13" t="n"/>
      <c r="N44" s="13" t="n"/>
      <c r="O44" s="13">
        <f>IF(OR(G44="Revision due",G44="Needs resubmission",G44="Not yet submitted"),COUNTIF($G$2:$G$200,"Revision due")*(G44&lt;&gt;"Revision due")+COUNTIF($G$2:$G$200,"Needs resubmission")*(G44="Not yet submitted")+COUNTIFS($G$2:G44,G44),"")</f>
        <v/>
      </c>
    </row>
    <row r="45">
      <c r="A45" s="13" t="n"/>
      <c r="B45" s="11" t="n"/>
      <c r="C45" s="13" t="n"/>
      <c r="D45" s="13" t="n"/>
      <c r="E45" s="13" t="n"/>
      <c r="F45" s="11" t="n"/>
      <c r="G45" s="13">
        <f>IF(A45="","",IF(E45&lt;&gt;"",E45,IF(COUNTIFS(Submissions!$A:$A,A45,Submissions!$E:$E,"Accepted")&gt;0,"Accepted",IF(COUNTIFS(Submissions!$A:$A,A45,Submissions!$E:$E,"Revision requested")&gt;0,"Revision due",IF(COUNTIFS(Submissions!$A:$A,A45,Submissions!$E:$E,"Under review")&gt;0,"Under review",IF(I45&gt;0,"Needs resubmission","Not yet submitted"))))))</f>
        <v/>
      </c>
      <c r="H45" s="13">
        <f>IF(A45="","",IFERROR(INDEX(Submissions!$B:$B,MATCH(A45&amp;"|Under review",Submissions!$Q:$Q,0)),""))</f>
        <v/>
      </c>
      <c r="I45" s="13">
        <f>IF(A45="","",COUNTIFS(Submissions!$A:$A,A45,Submissions!$B:$B,"&lt;&gt;",Submissions!$E:$E,"&lt;&gt;Planned"))</f>
        <v/>
      </c>
      <c r="J45" s="13">
        <f>IF(A45="","",COUNTIFS(Submissions!$A:$A,A45,Submissions!$E:$E,"Rejected"))</f>
        <v/>
      </c>
      <c r="K45" s="13">
        <f>IF(A45="","",IFERROR(INDEX(Submissions!$B:$B,MATCH(A45&amp;"|Planned",Submissions!$Q:$Q,0)),""))</f>
        <v/>
      </c>
      <c r="L45" s="11" t="n"/>
      <c r="M45" s="13" t="n"/>
      <c r="N45" s="13" t="n"/>
      <c r="O45" s="13">
        <f>IF(OR(G45="Revision due",G45="Needs resubmission",G45="Not yet submitted"),COUNTIF($G$2:$G$200,"Revision due")*(G45&lt;&gt;"Revision due")+COUNTIF($G$2:$G$200,"Needs resubmission")*(G45="Not yet submitted")+COUNTIFS($G$2:G45,G45),"")</f>
        <v/>
      </c>
    </row>
    <row r="46">
      <c r="A46" s="13" t="n"/>
      <c r="B46" s="11" t="n"/>
      <c r="C46" s="13" t="n"/>
      <c r="D46" s="13" t="n"/>
      <c r="E46" s="13" t="n"/>
      <c r="F46" s="11" t="n"/>
      <c r="G46" s="13">
        <f>IF(A46="","",IF(E46&lt;&gt;"",E46,IF(COUNTIFS(Submissions!$A:$A,A46,Submissions!$E:$E,"Accepted")&gt;0,"Accepted",IF(COUNTIFS(Submissions!$A:$A,A46,Submissions!$E:$E,"Revision requested")&gt;0,"Revision due",IF(COUNTIFS(Submissions!$A:$A,A46,Submissions!$E:$E,"Under review")&gt;0,"Under review",IF(I46&gt;0,"Needs resubmission","Not yet submitted"))))))</f>
        <v/>
      </c>
      <c r="H46" s="13">
        <f>IF(A46="","",IFERROR(INDEX(Submissions!$B:$B,MATCH(A46&amp;"|Under review",Submissions!$Q:$Q,0)),""))</f>
        <v/>
      </c>
      <c r="I46" s="13">
        <f>IF(A46="","",COUNTIFS(Submissions!$A:$A,A46,Submissions!$B:$B,"&lt;&gt;",Submissions!$E:$E,"&lt;&gt;Planned"))</f>
        <v/>
      </c>
      <c r="J46" s="13">
        <f>IF(A46="","",COUNTIFS(Submissions!$A:$A,A46,Submissions!$E:$E,"Rejected"))</f>
        <v/>
      </c>
      <c r="K46" s="13">
        <f>IF(A46="","",IFERROR(INDEX(Submissions!$B:$B,MATCH(A46&amp;"|Planned",Submissions!$Q:$Q,0)),""))</f>
        <v/>
      </c>
      <c r="L46" s="11" t="n"/>
      <c r="M46" s="13" t="n"/>
      <c r="N46" s="13" t="n"/>
      <c r="O46" s="13">
        <f>IF(OR(G46="Revision due",G46="Needs resubmission",G46="Not yet submitted"),COUNTIF($G$2:$G$200,"Revision due")*(G46&lt;&gt;"Revision due")+COUNTIF($G$2:$G$200,"Needs resubmission")*(G46="Not yet submitted")+COUNTIFS($G$2:G46,G46),"")</f>
        <v/>
      </c>
    </row>
    <row r="47">
      <c r="A47" s="13" t="n"/>
      <c r="B47" s="11" t="n"/>
      <c r="C47" s="13" t="n"/>
      <c r="D47" s="13" t="n"/>
      <c r="E47" s="13" t="n"/>
      <c r="F47" s="11" t="n"/>
      <c r="G47" s="13">
        <f>IF(A47="","",IF(E47&lt;&gt;"",E47,IF(COUNTIFS(Submissions!$A:$A,A47,Submissions!$E:$E,"Accepted")&gt;0,"Accepted",IF(COUNTIFS(Submissions!$A:$A,A47,Submissions!$E:$E,"Revision requested")&gt;0,"Revision due",IF(COUNTIFS(Submissions!$A:$A,A47,Submissions!$E:$E,"Under review")&gt;0,"Under review",IF(I47&gt;0,"Needs resubmission","Not yet submitted"))))))</f>
        <v/>
      </c>
      <c r="H47" s="13">
        <f>IF(A47="","",IFERROR(INDEX(Submissions!$B:$B,MATCH(A47&amp;"|Under review",Submissions!$Q:$Q,0)),""))</f>
        <v/>
      </c>
      <c r="I47" s="13">
        <f>IF(A47="","",COUNTIFS(Submissions!$A:$A,A47,Submissions!$B:$B,"&lt;&gt;",Submissions!$E:$E,"&lt;&gt;Planned"))</f>
        <v/>
      </c>
      <c r="J47" s="13">
        <f>IF(A47="","",COUNTIFS(Submissions!$A:$A,A47,Submissions!$E:$E,"Rejected"))</f>
        <v/>
      </c>
      <c r="K47" s="13">
        <f>IF(A47="","",IFERROR(INDEX(Submissions!$B:$B,MATCH(A47&amp;"|Planned",Submissions!$Q:$Q,0)),""))</f>
        <v/>
      </c>
      <c r="L47" s="11" t="n"/>
      <c r="M47" s="13" t="n"/>
      <c r="N47" s="13" t="n"/>
      <c r="O47" s="13">
        <f>IF(OR(G47="Revision due",G47="Needs resubmission",G47="Not yet submitted"),COUNTIF($G$2:$G$200,"Revision due")*(G47&lt;&gt;"Revision due")+COUNTIF($G$2:$G$200,"Needs resubmission")*(G47="Not yet submitted")+COUNTIFS($G$2:G47,G47),"")</f>
        <v/>
      </c>
    </row>
    <row r="48">
      <c r="A48" s="13" t="n"/>
      <c r="B48" s="11" t="n"/>
      <c r="C48" s="13" t="n"/>
      <c r="D48" s="13" t="n"/>
      <c r="E48" s="13" t="n"/>
      <c r="F48" s="11" t="n"/>
      <c r="G48" s="13">
        <f>IF(A48="","",IF(E48&lt;&gt;"",E48,IF(COUNTIFS(Submissions!$A:$A,A48,Submissions!$E:$E,"Accepted")&gt;0,"Accepted",IF(COUNTIFS(Submissions!$A:$A,A48,Submissions!$E:$E,"Revision requested")&gt;0,"Revision due",IF(COUNTIFS(Submissions!$A:$A,A48,Submissions!$E:$E,"Under review")&gt;0,"Under review",IF(I48&gt;0,"Needs resubmission","Not yet submitted"))))))</f>
        <v/>
      </c>
      <c r="H48" s="13">
        <f>IF(A48="","",IFERROR(INDEX(Submissions!$B:$B,MATCH(A48&amp;"|Under review",Submissions!$Q:$Q,0)),""))</f>
        <v/>
      </c>
      <c r="I48" s="13">
        <f>IF(A48="","",COUNTIFS(Submissions!$A:$A,A48,Submissions!$B:$B,"&lt;&gt;",Submissions!$E:$E,"&lt;&gt;Planned"))</f>
        <v/>
      </c>
      <c r="J48" s="13">
        <f>IF(A48="","",COUNTIFS(Submissions!$A:$A,A48,Submissions!$E:$E,"Rejected"))</f>
        <v/>
      </c>
      <c r="K48" s="13">
        <f>IF(A48="","",IFERROR(INDEX(Submissions!$B:$B,MATCH(A48&amp;"|Planned",Submissions!$Q:$Q,0)),""))</f>
        <v/>
      </c>
      <c r="L48" s="11" t="n"/>
      <c r="M48" s="13" t="n"/>
      <c r="N48" s="13" t="n"/>
      <c r="O48" s="13">
        <f>IF(OR(G48="Revision due",G48="Needs resubmission",G48="Not yet submitted"),COUNTIF($G$2:$G$200,"Revision due")*(G48&lt;&gt;"Revision due")+COUNTIF($G$2:$G$200,"Needs resubmission")*(G48="Not yet submitted")+COUNTIFS($G$2:G48,G48),"")</f>
        <v/>
      </c>
    </row>
    <row r="49">
      <c r="A49" s="13" t="n"/>
      <c r="B49" s="11" t="n"/>
      <c r="C49" s="13" t="n"/>
      <c r="D49" s="13" t="n"/>
      <c r="E49" s="13" t="n"/>
      <c r="F49" s="11" t="n"/>
      <c r="G49" s="13">
        <f>IF(A49="","",IF(E49&lt;&gt;"",E49,IF(COUNTIFS(Submissions!$A:$A,A49,Submissions!$E:$E,"Accepted")&gt;0,"Accepted",IF(COUNTIFS(Submissions!$A:$A,A49,Submissions!$E:$E,"Revision requested")&gt;0,"Revision due",IF(COUNTIFS(Submissions!$A:$A,A49,Submissions!$E:$E,"Under review")&gt;0,"Under review",IF(I49&gt;0,"Needs resubmission","Not yet submitted"))))))</f>
        <v/>
      </c>
      <c r="H49" s="13">
        <f>IF(A49="","",IFERROR(INDEX(Submissions!$B:$B,MATCH(A49&amp;"|Under review",Submissions!$Q:$Q,0)),""))</f>
        <v/>
      </c>
      <c r="I49" s="13">
        <f>IF(A49="","",COUNTIFS(Submissions!$A:$A,A49,Submissions!$B:$B,"&lt;&gt;",Submissions!$E:$E,"&lt;&gt;Planned"))</f>
        <v/>
      </c>
      <c r="J49" s="13">
        <f>IF(A49="","",COUNTIFS(Submissions!$A:$A,A49,Submissions!$E:$E,"Rejected"))</f>
        <v/>
      </c>
      <c r="K49" s="13">
        <f>IF(A49="","",IFERROR(INDEX(Submissions!$B:$B,MATCH(A49&amp;"|Planned",Submissions!$Q:$Q,0)),""))</f>
        <v/>
      </c>
      <c r="L49" s="11" t="n"/>
      <c r="M49" s="13" t="n"/>
      <c r="N49" s="13" t="n"/>
      <c r="O49" s="13">
        <f>IF(OR(G49="Revision due",G49="Needs resubmission",G49="Not yet submitted"),COUNTIF($G$2:$G$200,"Revision due")*(G49&lt;&gt;"Revision due")+COUNTIF($G$2:$G$200,"Needs resubmission")*(G49="Not yet submitted")+COUNTIFS($G$2:G49,G49),"")</f>
        <v/>
      </c>
    </row>
    <row r="50">
      <c r="A50" s="13" t="n"/>
      <c r="B50" s="11" t="n"/>
      <c r="C50" s="13" t="n"/>
      <c r="D50" s="13" t="n"/>
      <c r="E50" s="13" t="n"/>
      <c r="F50" s="11" t="n"/>
      <c r="G50" s="13">
        <f>IF(A50="","",IF(E50&lt;&gt;"",E50,IF(COUNTIFS(Submissions!$A:$A,A50,Submissions!$E:$E,"Accepted")&gt;0,"Accepted",IF(COUNTIFS(Submissions!$A:$A,A50,Submissions!$E:$E,"Revision requested")&gt;0,"Revision due",IF(COUNTIFS(Submissions!$A:$A,A50,Submissions!$E:$E,"Under review")&gt;0,"Under review",IF(I50&gt;0,"Needs resubmission","Not yet submitted"))))))</f>
        <v/>
      </c>
      <c r="H50" s="13">
        <f>IF(A50="","",IFERROR(INDEX(Submissions!$B:$B,MATCH(A50&amp;"|Under review",Submissions!$Q:$Q,0)),""))</f>
        <v/>
      </c>
      <c r="I50" s="13">
        <f>IF(A50="","",COUNTIFS(Submissions!$A:$A,A50,Submissions!$B:$B,"&lt;&gt;",Submissions!$E:$E,"&lt;&gt;Planned"))</f>
        <v/>
      </c>
      <c r="J50" s="13">
        <f>IF(A50="","",COUNTIFS(Submissions!$A:$A,A50,Submissions!$E:$E,"Rejected"))</f>
        <v/>
      </c>
      <c r="K50" s="13">
        <f>IF(A50="","",IFERROR(INDEX(Submissions!$B:$B,MATCH(A50&amp;"|Planned",Submissions!$Q:$Q,0)),""))</f>
        <v/>
      </c>
      <c r="L50" s="11" t="n"/>
      <c r="M50" s="13" t="n"/>
      <c r="N50" s="13" t="n"/>
      <c r="O50" s="13">
        <f>IF(OR(G50="Revision due",G50="Needs resubmission",G50="Not yet submitted"),COUNTIF($G$2:$G$200,"Revision due")*(G50&lt;&gt;"Revision due")+COUNTIF($G$2:$G$200,"Needs resubmission")*(G50="Not yet submitted")+COUNTIFS($G$2:G50,G50),"")</f>
        <v/>
      </c>
    </row>
    <row r="51">
      <c r="A51" s="13" t="n"/>
      <c r="B51" s="11" t="n"/>
      <c r="C51" s="13" t="n"/>
      <c r="D51" s="13" t="n"/>
      <c r="E51" s="13" t="n"/>
      <c r="F51" s="11" t="n"/>
      <c r="G51" s="13">
        <f>IF(A51="","",IF(E51&lt;&gt;"",E51,IF(COUNTIFS(Submissions!$A:$A,A51,Submissions!$E:$E,"Accepted")&gt;0,"Accepted",IF(COUNTIFS(Submissions!$A:$A,A51,Submissions!$E:$E,"Revision requested")&gt;0,"Revision due",IF(COUNTIFS(Submissions!$A:$A,A51,Submissions!$E:$E,"Under review")&gt;0,"Under review",IF(I51&gt;0,"Needs resubmission","Not yet submitted"))))))</f>
        <v/>
      </c>
      <c r="H51" s="13">
        <f>IF(A51="","",IFERROR(INDEX(Submissions!$B:$B,MATCH(A51&amp;"|Under review",Submissions!$Q:$Q,0)),""))</f>
        <v/>
      </c>
      <c r="I51" s="13">
        <f>IF(A51="","",COUNTIFS(Submissions!$A:$A,A51,Submissions!$B:$B,"&lt;&gt;",Submissions!$E:$E,"&lt;&gt;Planned"))</f>
        <v/>
      </c>
      <c r="J51" s="13">
        <f>IF(A51="","",COUNTIFS(Submissions!$A:$A,A51,Submissions!$E:$E,"Rejected"))</f>
        <v/>
      </c>
      <c r="K51" s="13">
        <f>IF(A51="","",IFERROR(INDEX(Submissions!$B:$B,MATCH(A51&amp;"|Planned",Submissions!$Q:$Q,0)),""))</f>
        <v/>
      </c>
      <c r="L51" s="11" t="n"/>
      <c r="M51" s="13" t="n"/>
      <c r="N51" s="13" t="n"/>
      <c r="O51" s="13">
        <f>IF(OR(G51="Revision due",G51="Needs resubmission",G51="Not yet submitted"),COUNTIF($G$2:$G$200,"Revision due")*(G51&lt;&gt;"Revision due")+COUNTIF($G$2:$G$200,"Needs resubmission")*(G51="Not yet submitted")+COUNTIFS($G$2:G51,G51),"")</f>
        <v/>
      </c>
    </row>
    <row r="52">
      <c r="A52" s="13" t="n"/>
      <c r="B52" s="11" t="n"/>
      <c r="C52" s="13" t="n"/>
      <c r="D52" s="13" t="n"/>
      <c r="E52" s="13" t="n"/>
      <c r="F52" s="11" t="n"/>
      <c r="G52" s="13">
        <f>IF(A52="","",IF(E52&lt;&gt;"",E52,IF(COUNTIFS(Submissions!$A:$A,A52,Submissions!$E:$E,"Accepted")&gt;0,"Accepted",IF(COUNTIFS(Submissions!$A:$A,A52,Submissions!$E:$E,"Revision requested")&gt;0,"Revision due",IF(COUNTIFS(Submissions!$A:$A,A52,Submissions!$E:$E,"Under review")&gt;0,"Under review",IF(I52&gt;0,"Needs resubmission","Not yet submitted"))))))</f>
        <v/>
      </c>
      <c r="H52" s="13">
        <f>IF(A52="","",IFERROR(INDEX(Submissions!$B:$B,MATCH(A52&amp;"|Under review",Submissions!$Q:$Q,0)),""))</f>
        <v/>
      </c>
      <c r="I52" s="13">
        <f>IF(A52="","",COUNTIFS(Submissions!$A:$A,A52,Submissions!$B:$B,"&lt;&gt;",Submissions!$E:$E,"&lt;&gt;Planned"))</f>
        <v/>
      </c>
      <c r="J52" s="13">
        <f>IF(A52="","",COUNTIFS(Submissions!$A:$A,A52,Submissions!$E:$E,"Rejected"))</f>
        <v/>
      </c>
      <c r="K52" s="13">
        <f>IF(A52="","",IFERROR(INDEX(Submissions!$B:$B,MATCH(A52&amp;"|Planned",Submissions!$Q:$Q,0)),""))</f>
        <v/>
      </c>
      <c r="L52" s="11" t="n"/>
      <c r="M52" s="13" t="n"/>
      <c r="N52" s="13" t="n"/>
      <c r="O52" s="13">
        <f>IF(OR(G52="Revision due",G52="Needs resubmission",G52="Not yet submitted"),COUNTIF($G$2:$G$200,"Revision due")*(G52&lt;&gt;"Revision due")+COUNTIF($G$2:$G$200,"Needs resubmission")*(G52="Not yet submitted")+COUNTIFS($G$2:G52,G52),"")</f>
        <v/>
      </c>
    </row>
    <row r="53">
      <c r="A53" s="13" t="n"/>
      <c r="B53" s="11" t="n"/>
      <c r="C53" s="13" t="n"/>
      <c r="D53" s="13" t="n"/>
      <c r="E53" s="13" t="n"/>
      <c r="F53" s="11" t="n"/>
      <c r="G53" s="13">
        <f>IF(A53="","",IF(E53&lt;&gt;"",E53,IF(COUNTIFS(Submissions!$A:$A,A53,Submissions!$E:$E,"Accepted")&gt;0,"Accepted",IF(COUNTIFS(Submissions!$A:$A,A53,Submissions!$E:$E,"Revision requested")&gt;0,"Revision due",IF(COUNTIFS(Submissions!$A:$A,A53,Submissions!$E:$E,"Under review")&gt;0,"Under review",IF(I53&gt;0,"Needs resubmission","Not yet submitted"))))))</f>
        <v/>
      </c>
      <c r="H53" s="13">
        <f>IF(A53="","",IFERROR(INDEX(Submissions!$B:$B,MATCH(A53&amp;"|Under review",Submissions!$Q:$Q,0)),""))</f>
        <v/>
      </c>
      <c r="I53" s="13">
        <f>IF(A53="","",COUNTIFS(Submissions!$A:$A,A53,Submissions!$B:$B,"&lt;&gt;",Submissions!$E:$E,"&lt;&gt;Planned"))</f>
        <v/>
      </c>
      <c r="J53" s="13">
        <f>IF(A53="","",COUNTIFS(Submissions!$A:$A,A53,Submissions!$E:$E,"Rejected"))</f>
        <v/>
      </c>
      <c r="K53" s="13">
        <f>IF(A53="","",IFERROR(INDEX(Submissions!$B:$B,MATCH(A53&amp;"|Planned",Submissions!$Q:$Q,0)),""))</f>
        <v/>
      </c>
      <c r="L53" s="11" t="n"/>
      <c r="M53" s="13" t="n"/>
      <c r="N53" s="13" t="n"/>
      <c r="O53" s="13">
        <f>IF(OR(G53="Revision due",G53="Needs resubmission",G53="Not yet submitted"),COUNTIF($G$2:$G$200,"Revision due")*(G53&lt;&gt;"Revision due")+COUNTIF($G$2:$G$200,"Needs resubmission")*(G53="Not yet submitted")+COUNTIFS($G$2:G53,G53),"")</f>
        <v/>
      </c>
    </row>
    <row r="54">
      <c r="A54" s="13" t="n"/>
      <c r="B54" s="11" t="n"/>
      <c r="C54" s="13" t="n"/>
      <c r="D54" s="13" t="n"/>
      <c r="E54" s="13" t="n"/>
      <c r="F54" s="11" t="n"/>
      <c r="G54" s="13">
        <f>IF(A54="","",IF(E54&lt;&gt;"",E54,IF(COUNTIFS(Submissions!$A:$A,A54,Submissions!$E:$E,"Accepted")&gt;0,"Accepted",IF(COUNTIFS(Submissions!$A:$A,A54,Submissions!$E:$E,"Revision requested")&gt;0,"Revision due",IF(COUNTIFS(Submissions!$A:$A,A54,Submissions!$E:$E,"Under review")&gt;0,"Under review",IF(I54&gt;0,"Needs resubmission","Not yet submitted"))))))</f>
        <v/>
      </c>
      <c r="H54" s="13">
        <f>IF(A54="","",IFERROR(INDEX(Submissions!$B:$B,MATCH(A54&amp;"|Under review",Submissions!$Q:$Q,0)),""))</f>
        <v/>
      </c>
      <c r="I54" s="13">
        <f>IF(A54="","",COUNTIFS(Submissions!$A:$A,A54,Submissions!$B:$B,"&lt;&gt;",Submissions!$E:$E,"&lt;&gt;Planned"))</f>
        <v/>
      </c>
      <c r="J54" s="13">
        <f>IF(A54="","",COUNTIFS(Submissions!$A:$A,A54,Submissions!$E:$E,"Rejected"))</f>
        <v/>
      </c>
      <c r="K54" s="13">
        <f>IF(A54="","",IFERROR(INDEX(Submissions!$B:$B,MATCH(A54&amp;"|Planned",Submissions!$Q:$Q,0)),""))</f>
        <v/>
      </c>
      <c r="L54" s="11" t="n"/>
      <c r="M54" s="13" t="n"/>
      <c r="N54" s="13" t="n"/>
      <c r="O54" s="13">
        <f>IF(OR(G54="Revision due",G54="Needs resubmission",G54="Not yet submitted"),COUNTIF($G$2:$G$200,"Revision due")*(G54&lt;&gt;"Revision due")+COUNTIF($G$2:$G$200,"Needs resubmission")*(G54="Not yet submitted")+COUNTIFS($G$2:G54,G54),"")</f>
        <v/>
      </c>
    </row>
    <row r="55">
      <c r="A55" s="13" t="n"/>
      <c r="B55" s="11" t="n"/>
      <c r="C55" s="13" t="n"/>
      <c r="D55" s="13" t="n"/>
      <c r="E55" s="13" t="n"/>
      <c r="F55" s="11" t="n"/>
      <c r="G55" s="13">
        <f>IF(A55="","",IF(E55&lt;&gt;"",E55,IF(COUNTIFS(Submissions!$A:$A,A55,Submissions!$E:$E,"Accepted")&gt;0,"Accepted",IF(COUNTIFS(Submissions!$A:$A,A55,Submissions!$E:$E,"Revision requested")&gt;0,"Revision due",IF(COUNTIFS(Submissions!$A:$A,A55,Submissions!$E:$E,"Under review")&gt;0,"Under review",IF(I55&gt;0,"Needs resubmission","Not yet submitted"))))))</f>
        <v/>
      </c>
      <c r="H55" s="13">
        <f>IF(A55="","",IFERROR(INDEX(Submissions!$B:$B,MATCH(A55&amp;"|Under review",Submissions!$Q:$Q,0)),""))</f>
        <v/>
      </c>
      <c r="I55" s="13">
        <f>IF(A55="","",COUNTIFS(Submissions!$A:$A,A55,Submissions!$B:$B,"&lt;&gt;",Submissions!$E:$E,"&lt;&gt;Planned"))</f>
        <v/>
      </c>
      <c r="J55" s="13">
        <f>IF(A55="","",COUNTIFS(Submissions!$A:$A,A55,Submissions!$E:$E,"Rejected"))</f>
        <v/>
      </c>
      <c r="K55" s="13">
        <f>IF(A55="","",IFERROR(INDEX(Submissions!$B:$B,MATCH(A55&amp;"|Planned",Submissions!$Q:$Q,0)),""))</f>
        <v/>
      </c>
      <c r="L55" s="11" t="n"/>
      <c r="M55" s="13" t="n"/>
      <c r="N55" s="13" t="n"/>
      <c r="O55" s="13">
        <f>IF(OR(G55="Revision due",G55="Needs resubmission",G55="Not yet submitted"),COUNTIF($G$2:$G$200,"Revision due")*(G55&lt;&gt;"Revision due")+COUNTIF($G$2:$G$200,"Needs resubmission")*(G55="Not yet submitted")+COUNTIFS($G$2:G55,G55),"")</f>
        <v/>
      </c>
    </row>
    <row r="56">
      <c r="A56" s="13" t="n"/>
      <c r="B56" s="11" t="n"/>
      <c r="C56" s="13" t="n"/>
      <c r="D56" s="13" t="n"/>
      <c r="E56" s="13" t="n"/>
      <c r="F56" s="11" t="n"/>
      <c r="G56" s="13">
        <f>IF(A56="","",IF(E56&lt;&gt;"",E56,IF(COUNTIFS(Submissions!$A:$A,A56,Submissions!$E:$E,"Accepted")&gt;0,"Accepted",IF(COUNTIFS(Submissions!$A:$A,A56,Submissions!$E:$E,"Revision requested")&gt;0,"Revision due",IF(COUNTIFS(Submissions!$A:$A,A56,Submissions!$E:$E,"Under review")&gt;0,"Under review",IF(I56&gt;0,"Needs resubmission","Not yet submitted"))))))</f>
        <v/>
      </c>
      <c r="H56" s="13">
        <f>IF(A56="","",IFERROR(INDEX(Submissions!$B:$B,MATCH(A56&amp;"|Under review",Submissions!$Q:$Q,0)),""))</f>
        <v/>
      </c>
      <c r="I56" s="13">
        <f>IF(A56="","",COUNTIFS(Submissions!$A:$A,A56,Submissions!$B:$B,"&lt;&gt;",Submissions!$E:$E,"&lt;&gt;Planned"))</f>
        <v/>
      </c>
      <c r="J56" s="13">
        <f>IF(A56="","",COUNTIFS(Submissions!$A:$A,A56,Submissions!$E:$E,"Rejected"))</f>
        <v/>
      </c>
      <c r="K56" s="13">
        <f>IF(A56="","",IFERROR(INDEX(Submissions!$B:$B,MATCH(A56&amp;"|Planned",Submissions!$Q:$Q,0)),""))</f>
        <v/>
      </c>
      <c r="L56" s="11" t="n"/>
      <c r="M56" s="13" t="n"/>
      <c r="N56" s="13" t="n"/>
      <c r="O56" s="13">
        <f>IF(OR(G56="Revision due",G56="Needs resubmission",G56="Not yet submitted"),COUNTIF($G$2:$G$200,"Revision due")*(G56&lt;&gt;"Revision due")+COUNTIF($G$2:$G$200,"Needs resubmission")*(G56="Not yet submitted")+COUNTIFS($G$2:G56,G56),"")</f>
        <v/>
      </c>
    </row>
    <row r="57">
      <c r="A57" s="13" t="n"/>
      <c r="B57" s="11" t="n"/>
      <c r="C57" s="13" t="n"/>
      <c r="D57" s="13" t="n"/>
      <c r="E57" s="13" t="n"/>
      <c r="F57" s="11" t="n"/>
      <c r="G57" s="13">
        <f>IF(A57="","",IF(E57&lt;&gt;"",E57,IF(COUNTIFS(Submissions!$A:$A,A57,Submissions!$E:$E,"Accepted")&gt;0,"Accepted",IF(COUNTIFS(Submissions!$A:$A,A57,Submissions!$E:$E,"Revision requested")&gt;0,"Revision due",IF(COUNTIFS(Submissions!$A:$A,A57,Submissions!$E:$E,"Under review")&gt;0,"Under review",IF(I57&gt;0,"Needs resubmission","Not yet submitted"))))))</f>
        <v/>
      </c>
      <c r="H57" s="13">
        <f>IF(A57="","",IFERROR(INDEX(Submissions!$B:$B,MATCH(A57&amp;"|Under review",Submissions!$Q:$Q,0)),""))</f>
        <v/>
      </c>
      <c r="I57" s="13">
        <f>IF(A57="","",COUNTIFS(Submissions!$A:$A,A57,Submissions!$B:$B,"&lt;&gt;",Submissions!$E:$E,"&lt;&gt;Planned"))</f>
        <v/>
      </c>
      <c r="J57" s="13">
        <f>IF(A57="","",COUNTIFS(Submissions!$A:$A,A57,Submissions!$E:$E,"Rejected"))</f>
        <v/>
      </c>
      <c r="K57" s="13">
        <f>IF(A57="","",IFERROR(INDEX(Submissions!$B:$B,MATCH(A57&amp;"|Planned",Submissions!$Q:$Q,0)),""))</f>
        <v/>
      </c>
      <c r="L57" s="11" t="n"/>
      <c r="M57" s="13" t="n"/>
      <c r="N57" s="13" t="n"/>
      <c r="O57" s="13">
        <f>IF(OR(G57="Revision due",G57="Needs resubmission",G57="Not yet submitted"),COUNTIF($G$2:$G$200,"Revision due")*(G57&lt;&gt;"Revision due")+COUNTIF($G$2:$G$200,"Needs resubmission")*(G57="Not yet submitted")+COUNTIFS($G$2:G57,G57),"")</f>
        <v/>
      </c>
    </row>
    <row r="58">
      <c r="A58" s="13" t="n"/>
      <c r="B58" s="11" t="n"/>
      <c r="C58" s="13" t="n"/>
      <c r="D58" s="13" t="n"/>
      <c r="E58" s="13" t="n"/>
      <c r="F58" s="11" t="n"/>
      <c r="G58" s="13">
        <f>IF(A58="","",IF(E58&lt;&gt;"",E58,IF(COUNTIFS(Submissions!$A:$A,A58,Submissions!$E:$E,"Accepted")&gt;0,"Accepted",IF(COUNTIFS(Submissions!$A:$A,A58,Submissions!$E:$E,"Revision requested")&gt;0,"Revision due",IF(COUNTIFS(Submissions!$A:$A,A58,Submissions!$E:$E,"Under review")&gt;0,"Under review",IF(I58&gt;0,"Needs resubmission","Not yet submitted"))))))</f>
        <v/>
      </c>
      <c r="H58" s="13">
        <f>IF(A58="","",IFERROR(INDEX(Submissions!$B:$B,MATCH(A58&amp;"|Under review",Submissions!$Q:$Q,0)),""))</f>
        <v/>
      </c>
      <c r="I58" s="13">
        <f>IF(A58="","",COUNTIFS(Submissions!$A:$A,A58,Submissions!$B:$B,"&lt;&gt;",Submissions!$E:$E,"&lt;&gt;Planned"))</f>
        <v/>
      </c>
      <c r="J58" s="13">
        <f>IF(A58="","",COUNTIFS(Submissions!$A:$A,A58,Submissions!$E:$E,"Rejected"))</f>
        <v/>
      </c>
      <c r="K58" s="13">
        <f>IF(A58="","",IFERROR(INDEX(Submissions!$B:$B,MATCH(A58&amp;"|Planned",Submissions!$Q:$Q,0)),""))</f>
        <v/>
      </c>
      <c r="L58" s="11" t="n"/>
      <c r="M58" s="13" t="n"/>
      <c r="N58" s="13" t="n"/>
      <c r="O58" s="13">
        <f>IF(OR(G58="Revision due",G58="Needs resubmission",G58="Not yet submitted"),COUNTIF($G$2:$G$200,"Revision due")*(G58&lt;&gt;"Revision due")+COUNTIF($G$2:$G$200,"Needs resubmission")*(G58="Not yet submitted")+COUNTIFS($G$2:G58,G58),"")</f>
        <v/>
      </c>
    </row>
    <row r="59">
      <c r="A59" s="13" t="n"/>
      <c r="B59" s="11" t="n"/>
      <c r="C59" s="13" t="n"/>
      <c r="D59" s="13" t="n"/>
      <c r="E59" s="13" t="n"/>
      <c r="F59" s="11" t="n"/>
      <c r="G59" s="13">
        <f>IF(A59="","",IF(E59&lt;&gt;"",E59,IF(COUNTIFS(Submissions!$A:$A,A59,Submissions!$E:$E,"Accepted")&gt;0,"Accepted",IF(COUNTIFS(Submissions!$A:$A,A59,Submissions!$E:$E,"Revision requested")&gt;0,"Revision due",IF(COUNTIFS(Submissions!$A:$A,A59,Submissions!$E:$E,"Under review")&gt;0,"Under review",IF(I59&gt;0,"Needs resubmission","Not yet submitted"))))))</f>
        <v/>
      </c>
      <c r="H59" s="13">
        <f>IF(A59="","",IFERROR(INDEX(Submissions!$B:$B,MATCH(A59&amp;"|Under review",Submissions!$Q:$Q,0)),""))</f>
        <v/>
      </c>
      <c r="I59" s="13">
        <f>IF(A59="","",COUNTIFS(Submissions!$A:$A,A59,Submissions!$B:$B,"&lt;&gt;",Submissions!$E:$E,"&lt;&gt;Planned"))</f>
        <v/>
      </c>
      <c r="J59" s="13">
        <f>IF(A59="","",COUNTIFS(Submissions!$A:$A,A59,Submissions!$E:$E,"Rejected"))</f>
        <v/>
      </c>
      <c r="K59" s="13">
        <f>IF(A59="","",IFERROR(INDEX(Submissions!$B:$B,MATCH(A59&amp;"|Planned",Submissions!$Q:$Q,0)),""))</f>
        <v/>
      </c>
      <c r="L59" s="11" t="n"/>
      <c r="M59" s="13" t="n"/>
      <c r="N59" s="13" t="n"/>
      <c r="O59" s="13">
        <f>IF(OR(G59="Revision due",G59="Needs resubmission",G59="Not yet submitted"),COUNTIF($G$2:$G$200,"Revision due")*(G59&lt;&gt;"Revision due")+COUNTIF($G$2:$G$200,"Needs resubmission")*(G59="Not yet submitted")+COUNTIFS($G$2:G59,G59),"")</f>
        <v/>
      </c>
    </row>
    <row r="60">
      <c r="A60" s="13" t="n"/>
      <c r="B60" s="11" t="n"/>
      <c r="C60" s="13" t="n"/>
      <c r="D60" s="13" t="n"/>
      <c r="E60" s="13" t="n"/>
      <c r="F60" s="11" t="n"/>
      <c r="G60" s="13">
        <f>IF(A60="","",IF(E60&lt;&gt;"",E60,IF(COUNTIFS(Submissions!$A:$A,A60,Submissions!$E:$E,"Accepted")&gt;0,"Accepted",IF(COUNTIFS(Submissions!$A:$A,A60,Submissions!$E:$E,"Revision requested")&gt;0,"Revision due",IF(COUNTIFS(Submissions!$A:$A,A60,Submissions!$E:$E,"Under review")&gt;0,"Under review",IF(I60&gt;0,"Needs resubmission","Not yet submitted"))))))</f>
        <v/>
      </c>
      <c r="H60" s="13">
        <f>IF(A60="","",IFERROR(INDEX(Submissions!$B:$B,MATCH(A60&amp;"|Under review",Submissions!$Q:$Q,0)),""))</f>
        <v/>
      </c>
      <c r="I60" s="13">
        <f>IF(A60="","",COUNTIFS(Submissions!$A:$A,A60,Submissions!$B:$B,"&lt;&gt;",Submissions!$E:$E,"&lt;&gt;Planned"))</f>
        <v/>
      </c>
      <c r="J60" s="13">
        <f>IF(A60="","",COUNTIFS(Submissions!$A:$A,A60,Submissions!$E:$E,"Rejected"))</f>
        <v/>
      </c>
      <c r="K60" s="13">
        <f>IF(A60="","",IFERROR(INDEX(Submissions!$B:$B,MATCH(A60&amp;"|Planned",Submissions!$Q:$Q,0)),""))</f>
        <v/>
      </c>
      <c r="L60" s="11" t="n"/>
      <c r="M60" s="13" t="n"/>
      <c r="N60" s="13" t="n"/>
      <c r="O60" s="13">
        <f>IF(OR(G60="Revision due",G60="Needs resubmission",G60="Not yet submitted"),COUNTIF($G$2:$G$200,"Revision due")*(G60&lt;&gt;"Revision due")+COUNTIF($G$2:$G$200,"Needs resubmission")*(G60="Not yet submitted")+COUNTIFS($G$2:G60,G60),"")</f>
        <v/>
      </c>
    </row>
    <row r="61">
      <c r="A61" s="13" t="n"/>
      <c r="B61" s="11" t="n"/>
      <c r="C61" s="13" t="n"/>
      <c r="D61" s="13" t="n"/>
      <c r="E61" s="13" t="n"/>
      <c r="F61" s="11" t="n"/>
      <c r="G61" s="13">
        <f>IF(A61="","",IF(E61&lt;&gt;"",E61,IF(COUNTIFS(Submissions!$A:$A,A61,Submissions!$E:$E,"Accepted")&gt;0,"Accepted",IF(COUNTIFS(Submissions!$A:$A,A61,Submissions!$E:$E,"Revision requested")&gt;0,"Revision due",IF(COUNTIFS(Submissions!$A:$A,A61,Submissions!$E:$E,"Under review")&gt;0,"Under review",IF(I61&gt;0,"Needs resubmission","Not yet submitted"))))))</f>
        <v/>
      </c>
      <c r="H61" s="13">
        <f>IF(A61="","",IFERROR(INDEX(Submissions!$B:$B,MATCH(A61&amp;"|Under review",Submissions!$Q:$Q,0)),""))</f>
        <v/>
      </c>
      <c r="I61" s="13">
        <f>IF(A61="","",COUNTIFS(Submissions!$A:$A,A61,Submissions!$B:$B,"&lt;&gt;",Submissions!$E:$E,"&lt;&gt;Planned"))</f>
        <v/>
      </c>
      <c r="J61" s="13">
        <f>IF(A61="","",COUNTIFS(Submissions!$A:$A,A61,Submissions!$E:$E,"Rejected"))</f>
        <v/>
      </c>
      <c r="K61" s="13">
        <f>IF(A61="","",IFERROR(INDEX(Submissions!$B:$B,MATCH(A61&amp;"|Planned",Submissions!$Q:$Q,0)),""))</f>
        <v/>
      </c>
      <c r="L61" s="11" t="n"/>
      <c r="M61" s="13" t="n"/>
      <c r="N61" s="13" t="n"/>
      <c r="O61" s="13">
        <f>IF(OR(G61="Revision due",G61="Needs resubmission",G61="Not yet submitted"),COUNTIF($G$2:$G$200,"Revision due")*(G61&lt;&gt;"Revision due")+COUNTIF($G$2:$G$200,"Needs resubmission")*(G61="Not yet submitted")+COUNTIFS($G$2:G61,G61),"")</f>
        <v/>
      </c>
    </row>
    <row r="62">
      <c r="A62" s="13" t="n"/>
      <c r="B62" s="11" t="n"/>
      <c r="C62" s="13" t="n"/>
      <c r="D62" s="13" t="n"/>
      <c r="E62" s="13" t="n"/>
      <c r="F62" s="11" t="n"/>
      <c r="G62" s="13">
        <f>IF(A62="","",IF(E62&lt;&gt;"",E62,IF(COUNTIFS(Submissions!$A:$A,A62,Submissions!$E:$E,"Accepted")&gt;0,"Accepted",IF(COUNTIFS(Submissions!$A:$A,A62,Submissions!$E:$E,"Revision requested")&gt;0,"Revision due",IF(COUNTIFS(Submissions!$A:$A,A62,Submissions!$E:$E,"Under review")&gt;0,"Under review",IF(I62&gt;0,"Needs resubmission","Not yet submitted"))))))</f>
        <v/>
      </c>
      <c r="H62" s="13">
        <f>IF(A62="","",IFERROR(INDEX(Submissions!$B:$B,MATCH(A62&amp;"|Under review",Submissions!$Q:$Q,0)),""))</f>
        <v/>
      </c>
      <c r="I62" s="13">
        <f>IF(A62="","",COUNTIFS(Submissions!$A:$A,A62,Submissions!$B:$B,"&lt;&gt;",Submissions!$E:$E,"&lt;&gt;Planned"))</f>
        <v/>
      </c>
      <c r="J62" s="13">
        <f>IF(A62="","",COUNTIFS(Submissions!$A:$A,A62,Submissions!$E:$E,"Rejected"))</f>
        <v/>
      </c>
      <c r="K62" s="13">
        <f>IF(A62="","",IFERROR(INDEX(Submissions!$B:$B,MATCH(A62&amp;"|Planned",Submissions!$Q:$Q,0)),""))</f>
        <v/>
      </c>
      <c r="L62" s="11" t="n"/>
      <c r="M62" s="13" t="n"/>
      <c r="N62" s="13" t="n"/>
      <c r="O62" s="13">
        <f>IF(OR(G62="Revision due",G62="Needs resubmission",G62="Not yet submitted"),COUNTIF($G$2:$G$200,"Revision due")*(G62&lt;&gt;"Revision due")+COUNTIF($G$2:$G$200,"Needs resubmission")*(G62="Not yet submitted")+COUNTIFS($G$2:G62,G62),"")</f>
        <v/>
      </c>
    </row>
    <row r="63">
      <c r="A63" s="13" t="n"/>
      <c r="B63" s="11" t="n"/>
      <c r="C63" s="13" t="n"/>
      <c r="D63" s="13" t="n"/>
      <c r="E63" s="13" t="n"/>
      <c r="F63" s="11" t="n"/>
      <c r="G63" s="13">
        <f>IF(A63="","",IF(E63&lt;&gt;"",E63,IF(COUNTIFS(Submissions!$A:$A,A63,Submissions!$E:$E,"Accepted")&gt;0,"Accepted",IF(COUNTIFS(Submissions!$A:$A,A63,Submissions!$E:$E,"Revision requested")&gt;0,"Revision due",IF(COUNTIFS(Submissions!$A:$A,A63,Submissions!$E:$E,"Under review")&gt;0,"Under review",IF(I63&gt;0,"Needs resubmission","Not yet submitted"))))))</f>
        <v/>
      </c>
      <c r="H63" s="13">
        <f>IF(A63="","",IFERROR(INDEX(Submissions!$B:$B,MATCH(A63&amp;"|Under review",Submissions!$Q:$Q,0)),""))</f>
        <v/>
      </c>
      <c r="I63" s="13">
        <f>IF(A63="","",COUNTIFS(Submissions!$A:$A,A63,Submissions!$B:$B,"&lt;&gt;",Submissions!$E:$E,"&lt;&gt;Planned"))</f>
        <v/>
      </c>
      <c r="J63" s="13">
        <f>IF(A63="","",COUNTIFS(Submissions!$A:$A,A63,Submissions!$E:$E,"Rejected"))</f>
        <v/>
      </c>
      <c r="K63" s="13">
        <f>IF(A63="","",IFERROR(INDEX(Submissions!$B:$B,MATCH(A63&amp;"|Planned",Submissions!$Q:$Q,0)),""))</f>
        <v/>
      </c>
      <c r="L63" s="11" t="n"/>
      <c r="M63" s="13" t="n"/>
      <c r="N63" s="13" t="n"/>
      <c r="O63" s="13">
        <f>IF(OR(G63="Revision due",G63="Needs resubmission",G63="Not yet submitted"),COUNTIF($G$2:$G$200,"Revision due")*(G63&lt;&gt;"Revision due")+COUNTIF($G$2:$G$200,"Needs resubmission")*(G63="Not yet submitted")+COUNTIFS($G$2:G63,G63),"")</f>
        <v/>
      </c>
    </row>
    <row r="64">
      <c r="A64" s="13" t="n"/>
      <c r="B64" s="11" t="n"/>
      <c r="C64" s="13" t="n"/>
      <c r="D64" s="13" t="n"/>
      <c r="E64" s="13" t="n"/>
      <c r="F64" s="11" t="n"/>
      <c r="G64" s="13">
        <f>IF(A64="","",IF(E64&lt;&gt;"",E64,IF(COUNTIFS(Submissions!$A:$A,A64,Submissions!$E:$E,"Accepted")&gt;0,"Accepted",IF(COUNTIFS(Submissions!$A:$A,A64,Submissions!$E:$E,"Revision requested")&gt;0,"Revision due",IF(COUNTIFS(Submissions!$A:$A,A64,Submissions!$E:$E,"Under review")&gt;0,"Under review",IF(I64&gt;0,"Needs resubmission","Not yet submitted"))))))</f>
        <v/>
      </c>
      <c r="H64" s="13">
        <f>IF(A64="","",IFERROR(INDEX(Submissions!$B:$B,MATCH(A64&amp;"|Under review",Submissions!$Q:$Q,0)),""))</f>
        <v/>
      </c>
      <c r="I64" s="13">
        <f>IF(A64="","",COUNTIFS(Submissions!$A:$A,A64,Submissions!$B:$B,"&lt;&gt;",Submissions!$E:$E,"&lt;&gt;Planned"))</f>
        <v/>
      </c>
      <c r="J64" s="13">
        <f>IF(A64="","",COUNTIFS(Submissions!$A:$A,A64,Submissions!$E:$E,"Rejected"))</f>
        <v/>
      </c>
      <c r="K64" s="13">
        <f>IF(A64="","",IFERROR(INDEX(Submissions!$B:$B,MATCH(A64&amp;"|Planned",Submissions!$Q:$Q,0)),""))</f>
        <v/>
      </c>
      <c r="L64" s="11" t="n"/>
      <c r="M64" s="13" t="n"/>
      <c r="N64" s="13" t="n"/>
      <c r="O64" s="13">
        <f>IF(OR(G64="Revision due",G64="Needs resubmission",G64="Not yet submitted"),COUNTIF($G$2:$G$200,"Revision due")*(G64&lt;&gt;"Revision due")+COUNTIF($G$2:$G$200,"Needs resubmission")*(G64="Not yet submitted")+COUNTIFS($G$2:G64,G64),"")</f>
        <v/>
      </c>
    </row>
    <row r="65">
      <c r="A65" s="13" t="n"/>
      <c r="B65" s="11" t="n"/>
      <c r="C65" s="13" t="n"/>
      <c r="D65" s="13" t="n"/>
      <c r="E65" s="13" t="n"/>
      <c r="F65" s="11" t="n"/>
      <c r="G65" s="13">
        <f>IF(A65="","",IF(E65&lt;&gt;"",E65,IF(COUNTIFS(Submissions!$A:$A,A65,Submissions!$E:$E,"Accepted")&gt;0,"Accepted",IF(COUNTIFS(Submissions!$A:$A,A65,Submissions!$E:$E,"Revision requested")&gt;0,"Revision due",IF(COUNTIFS(Submissions!$A:$A,A65,Submissions!$E:$E,"Under review")&gt;0,"Under review",IF(I65&gt;0,"Needs resubmission","Not yet submitted"))))))</f>
        <v/>
      </c>
      <c r="H65" s="13">
        <f>IF(A65="","",IFERROR(INDEX(Submissions!$B:$B,MATCH(A65&amp;"|Under review",Submissions!$Q:$Q,0)),""))</f>
        <v/>
      </c>
      <c r="I65" s="13">
        <f>IF(A65="","",COUNTIFS(Submissions!$A:$A,A65,Submissions!$B:$B,"&lt;&gt;",Submissions!$E:$E,"&lt;&gt;Planned"))</f>
        <v/>
      </c>
      <c r="J65" s="13">
        <f>IF(A65="","",COUNTIFS(Submissions!$A:$A,A65,Submissions!$E:$E,"Rejected"))</f>
        <v/>
      </c>
      <c r="K65" s="13">
        <f>IF(A65="","",IFERROR(INDEX(Submissions!$B:$B,MATCH(A65&amp;"|Planned",Submissions!$Q:$Q,0)),""))</f>
        <v/>
      </c>
      <c r="L65" s="11" t="n"/>
      <c r="M65" s="13" t="n"/>
      <c r="N65" s="13" t="n"/>
      <c r="O65" s="13">
        <f>IF(OR(G65="Revision due",G65="Needs resubmission",G65="Not yet submitted"),COUNTIF($G$2:$G$200,"Revision due")*(G65&lt;&gt;"Revision due")+COUNTIF($G$2:$G$200,"Needs resubmission")*(G65="Not yet submitted")+COUNTIFS($G$2:G65,G65),"")</f>
        <v/>
      </c>
    </row>
    <row r="66">
      <c r="A66" s="13" t="n"/>
      <c r="B66" s="11" t="n"/>
      <c r="C66" s="13" t="n"/>
      <c r="D66" s="13" t="n"/>
      <c r="E66" s="13" t="n"/>
      <c r="F66" s="11" t="n"/>
      <c r="G66" s="13">
        <f>IF(A66="","",IF(E66&lt;&gt;"",E66,IF(COUNTIFS(Submissions!$A:$A,A66,Submissions!$E:$E,"Accepted")&gt;0,"Accepted",IF(COUNTIFS(Submissions!$A:$A,A66,Submissions!$E:$E,"Revision requested")&gt;0,"Revision due",IF(COUNTIFS(Submissions!$A:$A,A66,Submissions!$E:$E,"Under review")&gt;0,"Under review",IF(I66&gt;0,"Needs resubmission","Not yet submitted"))))))</f>
        <v/>
      </c>
      <c r="H66" s="13">
        <f>IF(A66="","",IFERROR(INDEX(Submissions!$B:$B,MATCH(A66&amp;"|Under review",Submissions!$Q:$Q,0)),""))</f>
        <v/>
      </c>
      <c r="I66" s="13">
        <f>IF(A66="","",COUNTIFS(Submissions!$A:$A,A66,Submissions!$B:$B,"&lt;&gt;",Submissions!$E:$E,"&lt;&gt;Planned"))</f>
        <v/>
      </c>
      <c r="J66" s="13">
        <f>IF(A66="","",COUNTIFS(Submissions!$A:$A,A66,Submissions!$E:$E,"Rejected"))</f>
        <v/>
      </c>
      <c r="K66" s="13">
        <f>IF(A66="","",IFERROR(INDEX(Submissions!$B:$B,MATCH(A66&amp;"|Planned",Submissions!$Q:$Q,0)),""))</f>
        <v/>
      </c>
      <c r="L66" s="11" t="n"/>
      <c r="M66" s="13" t="n"/>
      <c r="N66" s="13" t="n"/>
      <c r="O66" s="13">
        <f>IF(OR(G66="Revision due",G66="Needs resubmission",G66="Not yet submitted"),COUNTIF($G$2:$G$200,"Revision due")*(G66&lt;&gt;"Revision due")+COUNTIF($G$2:$G$200,"Needs resubmission")*(G66="Not yet submitted")+COUNTIFS($G$2:G66,G66),"")</f>
        <v/>
      </c>
    </row>
    <row r="67">
      <c r="A67" s="13" t="n"/>
      <c r="B67" s="11" t="n"/>
      <c r="C67" s="13" t="n"/>
      <c r="D67" s="13" t="n"/>
      <c r="E67" s="13" t="n"/>
      <c r="F67" s="11" t="n"/>
      <c r="G67" s="13">
        <f>IF(A67="","",IF(E67&lt;&gt;"",E67,IF(COUNTIFS(Submissions!$A:$A,A67,Submissions!$E:$E,"Accepted")&gt;0,"Accepted",IF(COUNTIFS(Submissions!$A:$A,A67,Submissions!$E:$E,"Revision requested")&gt;0,"Revision due",IF(COUNTIFS(Submissions!$A:$A,A67,Submissions!$E:$E,"Under review")&gt;0,"Under review",IF(I67&gt;0,"Needs resubmission","Not yet submitted"))))))</f>
        <v/>
      </c>
      <c r="H67" s="13">
        <f>IF(A67="","",IFERROR(INDEX(Submissions!$B:$B,MATCH(A67&amp;"|Under review",Submissions!$Q:$Q,0)),""))</f>
        <v/>
      </c>
      <c r="I67" s="13">
        <f>IF(A67="","",COUNTIFS(Submissions!$A:$A,A67,Submissions!$B:$B,"&lt;&gt;",Submissions!$E:$E,"&lt;&gt;Planned"))</f>
        <v/>
      </c>
      <c r="J67" s="13">
        <f>IF(A67="","",COUNTIFS(Submissions!$A:$A,A67,Submissions!$E:$E,"Rejected"))</f>
        <v/>
      </c>
      <c r="K67" s="13">
        <f>IF(A67="","",IFERROR(INDEX(Submissions!$B:$B,MATCH(A67&amp;"|Planned",Submissions!$Q:$Q,0)),""))</f>
        <v/>
      </c>
      <c r="L67" s="11" t="n"/>
      <c r="M67" s="13" t="n"/>
      <c r="N67" s="13" t="n"/>
      <c r="O67" s="13">
        <f>IF(OR(G67="Revision due",G67="Needs resubmission",G67="Not yet submitted"),COUNTIF($G$2:$G$200,"Revision due")*(G67&lt;&gt;"Revision due")+COUNTIF($G$2:$G$200,"Needs resubmission")*(G67="Not yet submitted")+COUNTIFS($G$2:G67,G67),"")</f>
        <v/>
      </c>
    </row>
    <row r="68">
      <c r="A68" s="13" t="n"/>
      <c r="B68" s="11" t="n"/>
      <c r="C68" s="13" t="n"/>
      <c r="D68" s="13" t="n"/>
      <c r="E68" s="13" t="n"/>
      <c r="F68" s="11" t="n"/>
      <c r="G68" s="13">
        <f>IF(A68="","",IF(E68&lt;&gt;"",E68,IF(COUNTIFS(Submissions!$A:$A,A68,Submissions!$E:$E,"Accepted")&gt;0,"Accepted",IF(COUNTIFS(Submissions!$A:$A,A68,Submissions!$E:$E,"Revision requested")&gt;0,"Revision due",IF(COUNTIFS(Submissions!$A:$A,A68,Submissions!$E:$E,"Under review")&gt;0,"Under review",IF(I68&gt;0,"Needs resubmission","Not yet submitted"))))))</f>
        <v/>
      </c>
      <c r="H68" s="13">
        <f>IF(A68="","",IFERROR(INDEX(Submissions!$B:$B,MATCH(A68&amp;"|Under review",Submissions!$Q:$Q,0)),""))</f>
        <v/>
      </c>
      <c r="I68" s="13">
        <f>IF(A68="","",COUNTIFS(Submissions!$A:$A,A68,Submissions!$B:$B,"&lt;&gt;",Submissions!$E:$E,"&lt;&gt;Planned"))</f>
        <v/>
      </c>
      <c r="J68" s="13">
        <f>IF(A68="","",COUNTIFS(Submissions!$A:$A,A68,Submissions!$E:$E,"Rejected"))</f>
        <v/>
      </c>
      <c r="K68" s="13">
        <f>IF(A68="","",IFERROR(INDEX(Submissions!$B:$B,MATCH(A68&amp;"|Planned",Submissions!$Q:$Q,0)),""))</f>
        <v/>
      </c>
      <c r="L68" s="11" t="n"/>
      <c r="M68" s="13" t="n"/>
      <c r="N68" s="13" t="n"/>
      <c r="O68" s="13">
        <f>IF(OR(G68="Revision due",G68="Needs resubmission",G68="Not yet submitted"),COUNTIF($G$2:$G$200,"Revision due")*(G68&lt;&gt;"Revision due")+COUNTIF($G$2:$G$200,"Needs resubmission")*(G68="Not yet submitted")+COUNTIFS($G$2:G68,G68),"")</f>
        <v/>
      </c>
    </row>
    <row r="69">
      <c r="A69" s="13" t="n"/>
      <c r="B69" s="11" t="n"/>
      <c r="C69" s="13" t="n"/>
      <c r="D69" s="13" t="n"/>
      <c r="E69" s="13" t="n"/>
      <c r="F69" s="11" t="n"/>
      <c r="G69" s="13">
        <f>IF(A69="","",IF(E69&lt;&gt;"",E69,IF(COUNTIFS(Submissions!$A:$A,A69,Submissions!$E:$E,"Accepted")&gt;0,"Accepted",IF(COUNTIFS(Submissions!$A:$A,A69,Submissions!$E:$E,"Revision requested")&gt;0,"Revision due",IF(COUNTIFS(Submissions!$A:$A,A69,Submissions!$E:$E,"Under review")&gt;0,"Under review",IF(I69&gt;0,"Needs resubmission","Not yet submitted"))))))</f>
        <v/>
      </c>
      <c r="H69" s="13">
        <f>IF(A69="","",IFERROR(INDEX(Submissions!$B:$B,MATCH(A69&amp;"|Under review",Submissions!$Q:$Q,0)),""))</f>
        <v/>
      </c>
      <c r="I69" s="13">
        <f>IF(A69="","",COUNTIFS(Submissions!$A:$A,A69,Submissions!$B:$B,"&lt;&gt;",Submissions!$E:$E,"&lt;&gt;Planned"))</f>
        <v/>
      </c>
      <c r="J69" s="13">
        <f>IF(A69="","",COUNTIFS(Submissions!$A:$A,A69,Submissions!$E:$E,"Rejected"))</f>
        <v/>
      </c>
      <c r="K69" s="13">
        <f>IF(A69="","",IFERROR(INDEX(Submissions!$B:$B,MATCH(A69&amp;"|Planned",Submissions!$Q:$Q,0)),""))</f>
        <v/>
      </c>
      <c r="L69" s="11" t="n"/>
      <c r="M69" s="13" t="n"/>
      <c r="N69" s="13" t="n"/>
      <c r="O69" s="13">
        <f>IF(OR(G69="Revision due",G69="Needs resubmission",G69="Not yet submitted"),COUNTIF($G$2:$G$200,"Revision due")*(G69&lt;&gt;"Revision due")+COUNTIF($G$2:$G$200,"Needs resubmission")*(G69="Not yet submitted")+COUNTIFS($G$2:G69,G69),"")</f>
        <v/>
      </c>
    </row>
    <row r="70">
      <c r="A70" s="13" t="n"/>
      <c r="B70" s="11" t="n"/>
      <c r="C70" s="13" t="n"/>
      <c r="D70" s="13" t="n"/>
      <c r="E70" s="13" t="n"/>
      <c r="F70" s="11" t="n"/>
      <c r="G70" s="13">
        <f>IF(A70="","",IF(E70&lt;&gt;"",E70,IF(COUNTIFS(Submissions!$A:$A,A70,Submissions!$E:$E,"Accepted")&gt;0,"Accepted",IF(COUNTIFS(Submissions!$A:$A,A70,Submissions!$E:$E,"Revision requested")&gt;0,"Revision due",IF(COUNTIFS(Submissions!$A:$A,A70,Submissions!$E:$E,"Under review")&gt;0,"Under review",IF(I70&gt;0,"Needs resubmission","Not yet submitted"))))))</f>
        <v/>
      </c>
      <c r="H70" s="13">
        <f>IF(A70="","",IFERROR(INDEX(Submissions!$B:$B,MATCH(A70&amp;"|Under review",Submissions!$Q:$Q,0)),""))</f>
        <v/>
      </c>
      <c r="I70" s="13">
        <f>IF(A70="","",COUNTIFS(Submissions!$A:$A,A70,Submissions!$B:$B,"&lt;&gt;",Submissions!$E:$E,"&lt;&gt;Planned"))</f>
        <v/>
      </c>
      <c r="J70" s="13">
        <f>IF(A70="","",COUNTIFS(Submissions!$A:$A,A70,Submissions!$E:$E,"Rejected"))</f>
        <v/>
      </c>
      <c r="K70" s="13">
        <f>IF(A70="","",IFERROR(INDEX(Submissions!$B:$B,MATCH(A70&amp;"|Planned",Submissions!$Q:$Q,0)),""))</f>
        <v/>
      </c>
      <c r="L70" s="11" t="n"/>
      <c r="M70" s="13" t="n"/>
      <c r="N70" s="13" t="n"/>
      <c r="O70" s="13">
        <f>IF(OR(G70="Revision due",G70="Needs resubmission",G70="Not yet submitted"),COUNTIF($G$2:$G$200,"Revision due")*(G70&lt;&gt;"Revision due")+COUNTIF($G$2:$G$200,"Needs resubmission")*(G70="Not yet submitted")+COUNTIFS($G$2:G70,G70),"")</f>
        <v/>
      </c>
    </row>
    <row r="71">
      <c r="A71" s="13" t="n"/>
      <c r="B71" s="11" t="n"/>
      <c r="C71" s="13" t="n"/>
      <c r="D71" s="13" t="n"/>
      <c r="E71" s="13" t="n"/>
      <c r="F71" s="11" t="n"/>
      <c r="G71" s="13">
        <f>IF(A71="","",IF(E71&lt;&gt;"",E71,IF(COUNTIFS(Submissions!$A:$A,A71,Submissions!$E:$E,"Accepted")&gt;0,"Accepted",IF(COUNTIFS(Submissions!$A:$A,A71,Submissions!$E:$E,"Revision requested")&gt;0,"Revision due",IF(COUNTIFS(Submissions!$A:$A,A71,Submissions!$E:$E,"Under review")&gt;0,"Under review",IF(I71&gt;0,"Needs resubmission","Not yet submitted"))))))</f>
        <v/>
      </c>
      <c r="H71" s="13">
        <f>IF(A71="","",IFERROR(INDEX(Submissions!$B:$B,MATCH(A71&amp;"|Under review",Submissions!$Q:$Q,0)),""))</f>
        <v/>
      </c>
      <c r="I71" s="13">
        <f>IF(A71="","",COUNTIFS(Submissions!$A:$A,A71,Submissions!$B:$B,"&lt;&gt;",Submissions!$E:$E,"&lt;&gt;Planned"))</f>
        <v/>
      </c>
      <c r="J71" s="13">
        <f>IF(A71="","",COUNTIFS(Submissions!$A:$A,A71,Submissions!$E:$E,"Rejected"))</f>
        <v/>
      </c>
      <c r="K71" s="13">
        <f>IF(A71="","",IFERROR(INDEX(Submissions!$B:$B,MATCH(A71&amp;"|Planned",Submissions!$Q:$Q,0)),""))</f>
        <v/>
      </c>
      <c r="L71" s="11" t="n"/>
      <c r="M71" s="13" t="n"/>
      <c r="N71" s="13" t="n"/>
      <c r="O71" s="13">
        <f>IF(OR(G71="Revision due",G71="Needs resubmission",G71="Not yet submitted"),COUNTIF($G$2:$G$200,"Revision due")*(G71&lt;&gt;"Revision due")+COUNTIF($G$2:$G$200,"Needs resubmission")*(G71="Not yet submitted")+COUNTIFS($G$2:G71,G71),"")</f>
        <v/>
      </c>
    </row>
    <row r="72">
      <c r="A72" s="13" t="n"/>
      <c r="B72" s="11" t="n"/>
      <c r="C72" s="13" t="n"/>
      <c r="D72" s="13" t="n"/>
      <c r="E72" s="13" t="n"/>
      <c r="F72" s="11" t="n"/>
      <c r="G72" s="13">
        <f>IF(A72="","",IF(E72&lt;&gt;"",E72,IF(COUNTIFS(Submissions!$A:$A,A72,Submissions!$E:$E,"Accepted")&gt;0,"Accepted",IF(COUNTIFS(Submissions!$A:$A,A72,Submissions!$E:$E,"Revision requested")&gt;0,"Revision due",IF(COUNTIFS(Submissions!$A:$A,A72,Submissions!$E:$E,"Under review")&gt;0,"Under review",IF(I72&gt;0,"Needs resubmission","Not yet submitted"))))))</f>
        <v/>
      </c>
      <c r="H72" s="13">
        <f>IF(A72="","",IFERROR(INDEX(Submissions!$B:$B,MATCH(A72&amp;"|Under review",Submissions!$Q:$Q,0)),""))</f>
        <v/>
      </c>
      <c r="I72" s="13">
        <f>IF(A72="","",COUNTIFS(Submissions!$A:$A,A72,Submissions!$B:$B,"&lt;&gt;",Submissions!$E:$E,"&lt;&gt;Planned"))</f>
        <v/>
      </c>
      <c r="J72" s="13">
        <f>IF(A72="","",COUNTIFS(Submissions!$A:$A,A72,Submissions!$E:$E,"Rejected"))</f>
        <v/>
      </c>
      <c r="K72" s="13">
        <f>IF(A72="","",IFERROR(INDEX(Submissions!$B:$B,MATCH(A72&amp;"|Planned",Submissions!$Q:$Q,0)),""))</f>
        <v/>
      </c>
      <c r="L72" s="11" t="n"/>
      <c r="M72" s="13" t="n"/>
      <c r="N72" s="13" t="n"/>
      <c r="O72" s="13">
        <f>IF(OR(G72="Revision due",G72="Needs resubmission",G72="Not yet submitted"),COUNTIF($G$2:$G$200,"Revision due")*(G72&lt;&gt;"Revision due")+COUNTIF($G$2:$G$200,"Needs resubmission")*(G72="Not yet submitted")+COUNTIFS($G$2:G72,G72),"")</f>
        <v/>
      </c>
    </row>
    <row r="73">
      <c r="A73" s="13" t="n"/>
      <c r="B73" s="11" t="n"/>
      <c r="C73" s="13" t="n"/>
      <c r="D73" s="13" t="n"/>
      <c r="E73" s="13" t="n"/>
      <c r="F73" s="11" t="n"/>
      <c r="G73" s="13">
        <f>IF(A73="","",IF(E73&lt;&gt;"",E73,IF(COUNTIFS(Submissions!$A:$A,A73,Submissions!$E:$E,"Accepted")&gt;0,"Accepted",IF(COUNTIFS(Submissions!$A:$A,A73,Submissions!$E:$E,"Revision requested")&gt;0,"Revision due",IF(COUNTIFS(Submissions!$A:$A,A73,Submissions!$E:$E,"Under review")&gt;0,"Under review",IF(I73&gt;0,"Needs resubmission","Not yet submitted"))))))</f>
        <v/>
      </c>
      <c r="H73" s="13">
        <f>IF(A73="","",IFERROR(INDEX(Submissions!$B:$B,MATCH(A73&amp;"|Under review",Submissions!$Q:$Q,0)),""))</f>
        <v/>
      </c>
      <c r="I73" s="13">
        <f>IF(A73="","",COUNTIFS(Submissions!$A:$A,A73,Submissions!$B:$B,"&lt;&gt;",Submissions!$E:$E,"&lt;&gt;Planned"))</f>
        <v/>
      </c>
      <c r="J73" s="13">
        <f>IF(A73="","",COUNTIFS(Submissions!$A:$A,A73,Submissions!$E:$E,"Rejected"))</f>
        <v/>
      </c>
      <c r="K73" s="13">
        <f>IF(A73="","",IFERROR(INDEX(Submissions!$B:$B,MATCH(A73&amp;"|Planned",Submissions!$Q:$Q,0)),""))</f>
        <v/>
      </c>
      <c r="L73" s="11" t="n"/>
      <c r="M73" s="13" t="n"/>
      <c r="N73" s="13" t="n"/>
      <c r="O73" s="13">
        <f>IF(OR(G73="Revision due",G73="Needs resubmission",G73="Not yet submitted"),COUNTIF($G$2:$G$200,"Revision due")*(G73&lt;&gt;"Revision due")+COUNTIF($G$2:$G$200,"Needs resubmission")*(G73="Not yet submitted")+COUNTIFS($G$2:G73,G73),"")</f>
        <v/>
      </c>
    </row>
    <row r="74">
      <c r="A74" s="13" t="n"/>
      <c r="B74" s="11" t="n"/>
      <c r="C74" s="13" t="n"/>
      <c r="D74" s="13" t="n"/>
      <c r="E74" s="13" t="n"/>
      <c r="F74" s="11" t="n"/>
      <c r="G74" s="13">
        <f>IF(A74="","",IF(E74&lt;&gt;"",E74,IF(COUNTIFS(Submissions!$A:$A,A74,Submissions!$E:$E,"Accepted")&gt;0,"Accepted",IF(COUNTIFS(Submissions!$A:$A,A74,Submissions!$E:$E,"Revision requested")&gt;0,"Revision due",IF(COUNTIFS(Submissions!$A:$A,A74,Submissions!$E:$E,"Under review")&gt;0,"Under review",IF(I74&gt;0,"Needs resubmission","Not yet submitted"))))))</f>
        <v/>
      </c>
      <c r="H74" s="13">
        <f>IF(A74="","",IFERROR(INDEX(Submissions!$B:$B,MATCH(A74&amp;"|Under review",Submissions!$Q:$Q,0)),""))</f>
        <v/>
      </c>
      <c r="I74" s="13">
        <f>IF(A74="","",COUNTIFS(Submissions!$A:$A,A74,Submissions!$B:$B,"&lt;&gt;",Submissions!$E:$E,"&lt;&gt;Planned"))</f>
        <v/>
      </c>
      <c r="J74" s="13">
        <f>IF(A74="","",COUNTIFS(Submissions!$A:$A,A74,Submissions!$E:$E,"Rejected"))</f>
        <v/>
      </c>
      <c r="K74" s="13">
        <f>IF(A74="","",IFERROR(INDEX(Submissions!$B:$B,MATCH(A74&amp;"|Planned",Submissions!$Q:$Q,0)),""))</f>
        <v/>
      </c>
      <c r="L74" s="11" t="n"/>
      <c r="M74" s="13" t="n"/>
      <c r="N74" s="13" t="n"/>
      <c r="O74" s="13">
        <f>IF(OR(G74="Revision due",G74="Needs resubmission",G74="Not yet submitted"),COUNTIF($G$2:$G$200,"Revision due")*(G74&lt;&gt;"Revision due")+COUNTIF($G$2:$G$200,"Needs resubmission")*(G74="Not yet submitted")+COUNTIFS($G$2:G74,G74),"")</f>
        <v/>
      </c>
    </row>
    <row r="75">
      <c r="A75" s="13" t="n"/>
      <c r="B75" s="11" t="n"/>
      <c r="C75" s="13" t="n"/>
      <c r="D75" s="13" t="n"/>
      <c r="E75" s="13" t="n"/>
      <c r="F75" s="11" t="n"/>
      <c r="G75" s="13">
        <f>IF(A75="","",IF(E75&lt;&gt;"",E75,IF(COUNTIFS(Submissions!$A:$A,A75,Submissions!$E:$E,"Accepted")&gt;0,"Accepted",IF(COUNTIFS(Submissions!$A:$A,A75,Submissions!$E:$E,"Revision requested")&gt;0,"Revision due",IF(COUNTIFS(Submissions!$A:$A,A75,Submissions!$E:$E,"Under review")&gt;0,"Under review",IF(I75&gt;0,"Needs resubmission","Not yet submitted"))))))</f>
        <v/>
      </c>
      <c r="H75" s="13">
        <f>IF(A75="","",IFERROR(INDEX(Submissions!$B:$B,MATCH(A75&amp;"|Under review",Submissions!$Q:$Q,0)),""))</f>
        <v/>
      </c>
      <c r="I75" s="13">
        <f>IF(A75="","",COUNTIFS(Submissions!$A:$A,A75,Submissions!$B:$B,"&lt;&gt;",Submissions!$E:$E,"&lt;&gt;Planned"))</f>
        <v/>
      </c>
      <c r="J75" s="13">
        <f>IF(A75="","",COUNTIFS(Submissions!$A:$A,A75,Submissions!$E:$E,"Rejected"))</f>
        <v/>
      </c>
      <c r="K75" s="13">
        <f>IF(A75="","",IFERROR(INDEX(Submissions!$B:$B,MATCH(A75&amp;"|Planned",Submissions!$Q:$Q,0)),""))</f>
        <v/>
      </c>
      <c r="L75" s="11" t="n"/>
      <c r="M75" s="13" t="n"/>
      <c r="N75" s="13" t="n"/>
      <c r="O75" s="13">
        <f>IF(OR(G75="Revision due",G75="Needs resubmission",G75="Not yet submitted"),COUNTIF($G$2:$G$200,"Revision due")*(G75&lt;&gt;"Revision due")+COUNTIF($G$2:$G$200,"Needs resubmission")*(G75="Not yet submitted")+COUNTIFS($G$2:G75,G75),"")</f>
        <v/>
      </c>
    </row>
    <row r="76">
      <c r="A76" s="13" t="n"/>
      <c r="B76" s="11" t="n"/>
      <c r="C76" s="13" t="n"/>
      <c r="D76" s="13" t="n"/>
      <c r="E76" s="13" t="n"/>
      <c r="F76" s="11" t="n"/>
      <c r="G76" s="13">
        <f>IF(A76="","",IF(E76&lt;&gt;"",E76,IF(COUNTIFS(Submissions!$A:$A,A76,Submissions!$E:$E,"Accepted")&gt;0,"Accepted",IF(COUNTIFS(Submissions!$A:$A,A76,Submissions!$E:$E,"Revision requested")&gt;0,"Revision due",IF(COUNTIFS(Submissions!$A:$A,A76,Submissions!$E:$E,"Under review")&gt;0,"Under review",IF(I76&gt;0,"Needs resubmission","Not yet submitted"))))))</f>
        <v/>
      </c>
      <c r="H76" s="13">
        <f>IF(A76="","",IFERROR(INDEX(Submissions!$B:$B,MATCH(A76&amp;"|Under review",Submissions!$Q:$Q,0)),""))</f>
        <v/>
      </c>
      <c r="I76" s="13">
        <f>IF(A76="","",COUNTIFS(Submissions!$A:$A,A76,Submissions!$B:$B,"&lt;&gt;",Submissions!$E:$E,"&lt;&gt;Planned"))</f>
        <v/>
      </c>
      <c r="J76" s="13">
        <f>IF(A76="","",COUNTIFS(Submissions!$A:$A,A76,Submissions!$E:$E,"Rejected"))</f>
        <v/>
      </c>
      <c r="K76" s="13">
        <f>IF(A76="","",IFERROR(INDEX(Submissions!$B:$B,MATCH(A76&amp;"|Planned",Submissions!$Q:$Q,0)),""))</f>
        <v/>
      </c>
      <c r="L76" s="11" t="n"/>
      <c r="M76" s="13" t="n"/>
      <c r="N76" s="13" t="n"/>
      <c r="O76" s="13">
        <f>IF(OR(G76="Revision due",G76="Needs resubmission",G76="Not yet submitted"),COUNTIF($G$2:$G$200,"Revision due")*(G76&lt;&gt;"Revision due")+COUNTIF($G$2:$G$200,"Needs resubmission")*(G76="Not yet submitted")+COUNTIFS($G$2:G76,G76),"")</f>
        <v/>
      </c>
    </row>
    <row r="77">
      <c r="A77" s="13" t="n"/>
      <c r="B77" s="11" t="n"/>
      <c r="C77" s="13" t="n"/>
      <c r="D77" s="13" t="n"/>
      <c r="E77" s="13" t="n"/>
      <c r="F77" s="11" t="n"/>
      <c r="G77" s="13">
        <f>IF(A77="","",IF(E77&lt;&gt;"",E77,IF(COUNTIFS(Submissions!$A:$A,A77,Submissions!$E:$E,"Accepted")&gt;0,"Accepted",IF(COUNTIFS(Submissions!$A:$A,A77,Submissions!$E:$E,"Revision requested")&gt;0,"Revision due",IF(COUNTIFS(Submissions!$A:$A,A77,Submissions!$E:$E,"Under review")&gt;0,"Under review",IF(I77&gt;0,"Needs resubmission","Not yet submitted"))))))</f>
        <v/>
      </c>
      <c r="H77" s="13">
        <f>IF(A77="","",IFERROR(INDEX(Submissions!$B:$B,MATCH(A77&amp;"|Under review",Submissions!$Q:$Q,0)),""))</f>
        <v/>
      </c>
      <c r="I77" s="13">
        <f>IF(A77="","",COUNTIFS(Submissions!$A:$A,A77,Submissions!$B:$B,"&lt;&gt;",Submissions!$E:$E,"&lt;&gt;Planned"))</f>
        <v/>
      </c>
      <c r="J77" s="13">
        <f>IF(A77="","",COUNTIFS(Submissions!$A:$A,A77,Submissions!$E:$E,"Rejected"))</f>
        <v/>
      </c>
      <c r="K77" s="13">
        <f>IF(A77="","",IFERROR(INDEX(Submissions!$B:$B,MATCH(A77&amp;"|Planned",Submissions!$Q:$Q,0)),""))</f>
        <v/>
      </c>
      <c r="L77" s="11" t="n"/>
      <c r="M77" s="13" t="n"/>
      <c r="N77" s="13" t="n"/>
      <c r="O77" s="13">
        <f>IF(OR(G77="Revision due",G77="Needs resubmission",G77="Not yet submitted"),COUNTIF($G$2:$G$200,"Revision due")*(G77&lt;&gt;"Revision due")+COUNTIF($G$2:$G$200,"Needs resubmission")*(G77="Not yet submitted")+COUNTIFS($G$2:G77,G77),"")</f>
        <v/>
      </c>
    </row>
    <row r="78">
      <c r="A78" s="13" t="n"/>
      <c r="B78" s="11" t="n"/>
      <c r="C78" s="13" t="n"/>
      <c r="D78" s="13" t="n"/>
      <c r="E78" s="13" t="n"/>
      <c r="F78" s="11" t="n"/>
      <c r="G78" s="13">
        <f>IF(A78="","",IF(E78&lt;&gt;"",E78,IF(COUNTIFS(Submissions!$A:$A,A78,Submissions!$E:$E,"Accepted")&gt;0,"Accepted",IF(COUNTIFS(Submissions!$A:$A,A78,Submissions!$E:$E,"Revision requested")&gt;0,"Revision due",IF(COUNTIFS(Submissions!$A:$A,A78,Submissions!$E:$E,"Under review")&gt;0,"Under review",IF(I78&gt;0,"Needs resubmission","Not yet submitted"))))))</f>
        <v/>
      </c>
      <c r="H78" s="13">
        <f>IF(A78="","",IFERROR(INDEX(Submissions!$B:$B,MATCH(A78&amp;"|Under review",Submissions!$Q:$Q,0)),""))</f>
        <v/>
      </c>
      <c r="I78" s="13">
        <f>IF(A78="","",COUNTIFS(Submissions!$A:$A,A78,Submissions!$B:$B,"&lt;&gt;",Submissions!$E:$E,"&lt;&gt;Planned"))</f>
        <v/>
      </c>
      <c r="J78" s="13">
        <f>IF(A78="","",COUNTIFS(Submissions!$A:$A,A78,Submissions!$E:$E,"Rejected"))</f>
        <v/>
      </c>
      <c r="K78" s="13">
        <f>IF(A78="","",IFERROR(INDEX(Submissions!$B:$B,MATCH(A78&amp;"|Planned",Submissions!$Q:$Q,0)),""))</f>
        <v/>
      </c>
      <c r="L78" s="11" t="n"/>
      <c r="M78" s="13" t="n"/>
      <c r="N78" s="13" t="n"/>
      <c r="O78" s="13">
        <f>IF(OR(G78="Revision due",G78="Needs resubmission",G78="Not yet submitted"),COUNTIF($G$2:$G$200,"Revision due")*(G78&lt;&gt;"Revision due")+COUNTIF($G$2:$G$200,"Needs resubmission")*(G78="Not yet submitted")+COUNTIFS($G$2:G78,G78),"")</f>
        <v/>
      </c>
    </row>
    <row r="79">
      <c r="A79" s="13" t="n"/>
      <c r="B79" s="11" t="n"/>
      <c r="C79" s="13" t="n"/>
      <c r="D79" s="13" t="n"/>
      <c r="E79" s="13" t="n"/>
      <c r="F79" s="11" t="n"/>
      <c r="G79" s="13">
        <f>IF(A79="","",IF(E79&lt;&gt;"",E79,IF(COUNTIFS(Submissions!$A:$A,A79,Submissions!$E:$E,"Accepted")&gt;0,"Accepted",IF(COUNTIFS(Submissions!$A:$A,A79,Submissions!$E:$E,"Revision requested")&gt;0,"Revision due",IF(COUNTIFS(Submissions!$A:$A,A79,Submissions!$E:$E,"Under review")&gt;0,"Under review",IF(I79&gt;0,"Needs resubmission","Not yet submitted"))))))</f>
        <v/>
      </c>
      <c r="H79" s="13">
        <f>IF(A79="","",IFERROR(INDEX(Submissions!$B:$B,MATCH(A79&amp;"|Under review",Submissions!$Q:$Q,0)),""))</f>
        <v/>
      </c>
      <c r="I79" s="13">
        <f>IF(A79="","",COUNTIFS(Submissions!$A:$A,A79,Submissions!$B:$B,"&lt;&gt;",Submissions!$E:$E,"&lt;&gt;Planned"))</f>
        <v/>
      </c>
      <c r="J79" s="13">
        <f>IF(A79="","",COUNTIFS(Submissions!$A:$A,A79,Submissions!$E:$E,"Rejected"))</f>
        <v/>
      </c>
      <c r="K79" s="13">
        <f>IF(A79="","",IFERROR(INDEX(Submissions!$B:$B,MATCH(A79&amp;"|Planned",Submissions!$Q:$Q,0)),""))</f>
        <v/>
      </c>
      <c r="L79" s="11" t="n"/>
      <c r="M79" s="13" t="n"/>
      <c r="N79" s="13" t="n"/>
      <c r="O79" s="13">
        <f>IF(OR(G79="Revision due",G79="Needs resubmission",G79="Not yet submitted"),COUNTIF($G$2:$G$200,"Revision due")*(G79&lt;&gt;"Revision due")+COUNTIF($G$2:$G$200,"Needs resubmission")*(G79="Not yet submitted")+COUNTIFS($G$2:G79,G79),"")</f>
        <v/>
      </c>
    </row>
    <row r="80">
      <c r="A80" s="13" t="n"/>
      <c r="B80" s="11" t="n"/>
      <c r="C80" s="13" t="n"/>
      <c r="D80" s="13" t="n"/>
      <c r="E80" s="13" t="n"/>
      <c r="F80" s="11" t="n"/>
      <c r="G80" s="13">
        <f>IF(A80="","",IF(E80&lt;&gt;"",E80,IF(COUNTIFS(Submissions!$A:$A,A80,Submissions!$E:$E,"Accepted")&gt;0,"Accepted",IF(COUNTIFS(Submissions!$A:$A,A80,Submissions!$E:$E,"Revision requested")&gt;0,"Revision due",IF(COUNTIFS(Submissions!$A:$A,A80,Submissions!$E:$E,"Under review")&gt;0,"Under review",IF(I80&gt;0,"Needs resubmission","Not yet submitted"))))))</f>
        <v/>
      </c>
      <c r="H80" s="13">
        <f>IF(A80="","",IFERROR(INDEX(Submissions!$B:$B,MATCH(A80&amp;"|Under review",Submissions!$Q:$Q,0)),""))</f>
        <v/>
      </c>
      <c r="I80" s="13">
        <f>IF(A80="","",COUNTIFS(Submissions!$A:$A,A80,Submissions!$B:$B,"&lt;&gt;",Submissions!$E:$E,"&lt;&gt;Planned"))</f>
        <v/>
      </c>
      <c r="J80" s="13">
        <f>IF(A80="","",COUNTIFS(Submissions!$A:$A,A80,Submissions!$E:$E,"Rejected"))</f>
        <v/>
      </c>
      <c r="K80" s="13">
        <f>IF(A80="","",IFERROR(INDEX(Submissions!$B:$B,MATCH(A80&amp;"|Planned",Submissions!$Q:$Q,0)),""))</f>
        <v/>
      </c>
      <c r="L80" s="11" t="n"/>
      <c r="M80" s="13" t="n"/>
      <c r="N80" s="13" t="n"/>
      <c r="O80" s="13">
        <f>IF(OR(G80="Revision due",G80="Needs resubmission",G80="Not yet submitted"),COUNTIF($G$2:$G$200,"Revision due")*(G80&lt;&gt;"Revision due")+COUNTIF($G$2:$G$200,"Needs resubmission")*(G80="Not yet submitted")+COUNTIFS($G$2:G80,G80),"")</f>
        <v/>
      </c>
    </row>
    <row r="81">
      <c r="A81" s="13" t="n"/>
      <c r="B81" s="11" t="n"/>
      <c r="C81" s="13" t="n"/>
      <c r="D81" s="13" t="n"/>
      <c r="E81" s="13" t="n"/>
      <c r="F81" s="11" t="n"/>
      <c r="G81" s="13">
        <f>IF(A81="","",IF(E81&lt;&gt;"",E81,IF(COUNTIFS(Submissions!$A:$A,A81,Submissions!$E:$E,"Accepted")&gt;0,"Accepted",IF(COUNTIFS(Submissions!$A:$A,A81,Submissions!$E:$E,"Revision requested")&gt;0,"Revision due",IF(COUNTIFS(Submissions!$A:$A,A81,Submissions!$E:$E,"Under review")&gt;0,"Under review",IF(I81&gt;0,"Needs resubmission","Not yet submitted"))))))</f>
        <v/>
      </c>
      <c r="H81" s="13">
        <f>IF(A81="","",IFERROR(INDEX(Submissions!$B:$B,MATCH(A81&amp;"|Under review",Submissions!$Q:$Q,0)),""))</f>
        <v/>
      </c>
      <c r="I81" s="13">
        <f>IF(A81="","",COUNTIFS(Submissions!$A:$A,A81,Submissions!$B:$B,"&lt;&gt;",Submissions!$E:$E,"&lt;&gt;Planned"))</f>
        <v/>
      </c>
      <c r="J81" s="13">
        <f>IF(A81="","",COUNTIFS(Submissions!$A:$A,A81,Submissions!$E:$E,"Rejected"))</f>
        <v/>
      </c>
      <c r="K81" s="13">
        <f>IF(A81="","",IFERROR(INDEX(Submissions!$B:$B,MATCH(A81&amp;"|Planned",Submissions!$Q:$Q,0)),""))</f>
        <v/>
      </c>
      <c r="L81" s="11" t="n"/>
      <c r="M81" s="13" t="n"/>
      <c r="N81" s="13" t="n"/>
      <c r="O81" s="13">
        <f>IF(OR(G81="Revision due",G81="Needs resubmission",G81="Not yet submitted"),COUNTIF($G$2:$G$200,"Revision due")*(G81&lt;&gt;"Revision due")+COUNTIF($G$2:$G$200,"Needs resubmission")*(G81="Not yet submitted")+COUNTIFS($G$2:G81,G81),"")</f>
        <v/>
      </c>
    </row>
    <row r="82">
      <c r="A82" s="13" t="n"/>
      <c r="B82" s="11" t="n"/>
      <c r="C82" s="13" t="n"/>
      <c r="D82" s="13" t="n"/>
      <c r="E82" s="13" t="n"/>
      <c r="F82" s="11" t="n"/>
      <c r="G82" s="13">
        <f>IF(A82="","",IF(E82&lt;&gt;"",E82,IF(COUNTIFS(Submissions!$A:$A,A82,Submissions!$E:$E,"Accepted")&gt;0,"Accepted",IF(COUNTIFS(Submissions!$A:$A,A82,Submissions!$E:$E,"Revision requested")&gt;0,"Revision due",IF(COUNTIFS(Submissions!$A:$A,A82,Submissions!$E:$E,"Under review")&gt;0,"Under review",IF(I82&gt;0,"Needs resubmission","Not yet submitted"))))))</f>
        <v/>
      </c>
      <c r="H82" s="13">
        <f>IF(A82="","",IFERROR(INDEX(Submissions!$B:$B,MATCH(A82&amp;"|Under review",Submissions!$Q:$Q,0)),""))</f>
        <v/>
      </c>
      <c r="I82" s="13">
        <f>IF(A82="","",COUNTIFS(Submissions!$A:$A,A82,Submissions!$B:$B,"&lt;&gt;",Submissions!$E:$E,"&lt;&gt;Planned"))</f>
        <v/>
      </c>
      <c r="J82" s="13">
        <f>IF(A82="","",COUNTIFS(Submissions!$A:$A,A82,Submissions!$E:$E,"Rejected"))</f>
        <v/>
      </c>
      <c r="K82" s="13">
        <f>IF(A82="","",IFERROR(INDEX(Submissions!$B:$B,MATCH(A82&amp;"|Planned",Submissions!$Q:$Q,0)),""))</f>
        <v/>
      </c>
      <c r="L82" s="11" t="n"/>
      <c r="M82" s="13" t="n"/>
      <c r="N82" s="13" t="n"/>
      <c r="O82" s="13">
        <f>IF(OR(G82="Revision due",G82="Needs resubmission",G82="Not yet submitted"),COUNTIF($G$2:$G$200,"Revision due")*(G82&lt;&gt;"Revision due")+COUNTIF($G$2:$G$200,"Needs resubmission")*(G82="Not yet submitted")+COUNTIFS($G$2:G82,G82),"")</f>
        <v/>
      </c>
    </row>
    <row r="83">
      <c r="A83" s="13" t="n"/>
      <c r="B83" s="11" t="n"/>
      <c r="C83" s="13" t="n"/>
      <c r="D83" s="13" t="n"/>
      <c r="E83" s="13" t="n"/>
      <c r="F83" s="11" t="n"/>
      <c r="G83" s="13">
        <f>IF(A83="","",IF(E83&lt;&gt;"",E83,IF(COUNTIFS(Submissions!$A:$A,A83,Submissions!$E:$E,"Accepted")&gt;0,"Accepted",IF(COUNTIFS(Submissions!$A:$A,A83,Submissions!$E:$E,"Revision requested")&gt;0,"Revision due",IF(COUNTIFS(Submissions!$A:$A,A83,Submissions!$E:$E,"Under review")&gt;0,"Under review",IF(I83&gt;0,"Needs resubmission","Not yet submitted"))))))</f>
        <v/>
      </c>
      <c r="H83" s="13">
        <f>IF(A83="","",IFERROR(INDEX(Submissions!$B:$B,MATCH(A83&amp;"|Under review",Submissions!$Q:$Q,0)),""))</f>
        <v/>
      </c>
      <c r="I83" s="13">
        <f>IF(A83="","",COUNTIFS(Submissions!$A:$A,A83,Submissions!$B:$B,"&lt;&gt;",Submissions!$E:$E,"&lt;&gt;Planned"))</f>
        <v/>
      </c>
      <c r="J83" s="13">
        <f>IF(A83="","",COUNTIFS(Submissions!$A:$A,A83,Submissions!$E:$E,"Rejected"))</f>
        <v/>
      </c>
      <c r="K83" s="13">
        <f>IF(A83="","",IFERROR(INDEX(Submissions!$B:$B,MATCH(A83&amp;"|Planned",Submissions!$Q:$Q,0)),""))</f>
        <v/>
      </c>
      <c r="L83" s="11" t="n"/>
      <c r="M83" s="13" t="n"/>
      <c r="N83" s="13" t="n"/>
      <c r="O83" s="13">
        <f>IF(OR(G83="Revision due",G83="Needs resubmission",G83="Not yet submitted"),COUNTIF($G$2:$G$200,"Revision due")*(G83&lt;&gt;"Revision due")+COUNTIF($G$2:$G$200,"Needs resubmission")*(G83="Not yet submitted")+COUNTIFS($G$2:G83,G83),"")</f>
        <v/>
      </c>
    </row>
    <row r="84">
      <c r="A84" s="13" t="n"/>
      <c r="B84" s="11" t="n"/>
      <c r="C84" s="13" t="n"/>
      <c r="D84" s="13" t="n"/>
      <c r="E84" s="13" t="n"/>
      <c r="F84" s="11" t="n"/>
      <c r="G84" s="13">
        <f>IF(A84="","",IF(E84&lt;&gt;"",E84,IF(COUNTIFS(Submissions!$A:$A,A84,Submissions!$E:$E,"Accepted")&gt;0,"Accepted",IF(COUNTIFS(Submissions!$A:$A,A84,Submissions!$E:$E,"Revision requested")&gt;0,"Revision due",IF(COUNTIFS(Submissions!$A:$A,A84,Submissions!$E:$E,"Under review")&gt;0,"Under review",IF(I84&gt;0,"Needs resubmission","Not yet submitted"))))))</f>
        <v/>
      </c>
      <c r="H84" s="13">
        <f>IF(A84="","",IFERROR(INDEX(Submissions!$B:$B,MATCH(A84&amp;"|Under review",Submissions!$Q:$Q,0)),""))</f>
        <v/>
      </c>
      <c r="I84" s="13">
        <f>IF(A84="","",COUNTIFS(Submissions!$A:$A,A84,Submissions!$B:$B,"&lt;&gt;",Submissions!$E:$E,"&lt;&gt;Planned"))</f>
        <v/>
      </c>
      <c r="J84" s="13">
        <f>IF(A84="","",COUNTIFS(Submissions!$A:$A,A84,Submissions!$E:$E,"Rejected"))</f>
        <v/>
      </c>
      <c r="K84" s="13">
        <f>IF(A84="","",IFERROR(INDEX(Submissions!$B:$B,MATCH(A84&amp;"|Planned",Submissions!$Q:$Q,0)),""))</f>
        <v/>
      </c>
      <c r="L84" s="11" t="n"/>
      <c r="M84" s="13" t="n"/>
      <c r="N84" s="13" t="n"/>
      <c r="O84" s="13">
        <f>IF(OR(G84="Revision due",G84="Needs resubmission",G84="Not yet submitted"),COUNTIF($G$2:$G$200,"Revision due")*(G84&lt;&gt;"Revision due")+COUNTIF($G$2:$G$200,"Needs resubmission")*(G84="Not yet submitted")+COUNTIFS($G$2:G84,G84),"")</f>
        <v/>
      </c>
    </row>
    <row r="85">
      <c r="A85" s="13" t="n"/>
      <c r="B85" s="11" t="n"/>
      <c r="C85" s="13" t="n"/>
      <c r="D85" s="13" t="n"/>
      <c r="E85" s="13" t="n"/>
      <c r="F85" s="11" t="n"/>
      <c r="G85" s="13">
        <f>IF(A85="","",IF(E85&lt;&gt;"",E85,IF(COUNTIFS(Submissions!$A:$A,A85,Submissions!$E:$E,"Accepted")&gt;0,"Accepted",IF(COUNTIFS(Submissions!$A:$A,A85,Submissions!$E:$E,"Revision requested")&gt;0,"Revision due",IF(COUNTIFS(Submissions!$A:$A,A85,Submissions!$E:$E,"Under review")&gt;0,"Under review",IF(I85&gt;0,"Needs resubmission","Not yet submitted"))))))</f>
        <v/>
      </c>
      <c r="H85" s="13">
        <f>IF(A85="","",IFERROR(INDEX(Submissions!$B:$B,MATCH(A85&amp;"|Under review",Submissions!$Q:$Q,0)),""))</f>
        <v/>
      </c>
      <c r="I85" s="13">
        <f>IF(A85="","",COUNTIFS(Submissions!$A:$A,A85,Submissions!$B:$B,"&lt;&gt;",Submissions!$E:$E,"&lt;&gt;Planned"))</f>
        <v/>
      </c>
      <c r="J85" s="13">
        <f>IF(A85="","",COUNTIFS(Submissions!$A:$A,A85,Submissions!$E:$E,"Rejected"))</f>
        <v/>
      </c>
      <c r="K85" s="13">
        <f>IF(A85="","",IFERROR(INDEX(Submissions!$B:$B,MATCH(A85&amp;"|Planned",Submissions!$Q:$Q,0)),""))</f>
        <v/>
      </c>
      <c r="L85" s="11" t="n"/>
      <c r="M85" s="13" t="n"/>
      <c r="N85" s="13" t="n"/>
      <c r="O85" s="13">
        <f>IF(OR(G85="Revision due",G85="Needs resubmission",G85="Not yet submitted"),COUNTIF($G$2:$G$200,"Revision due")*(G85&lt;&gt;"Revision due")+COUNTIF($G$2:$G$200,"Needs resubmission")*(G85="Not yet submitted")+COUNTIFS($G$2:G85,G85),"")</f>
        <v/>
      </c>
    </row>
    <row r="86">
      <c r="A86" s="13" t="n"/>
      <c r="B86" s="11" t="n"/>
      <c r="C86" s="13" t="n"/>
      <c r="D86" s="13" t="n"/>
      <c r="E86" s="13" t="n"/>
      <c r="F86" s="11" t="n"/>
      <c r="G86" s="13">
        <f>IF(A86="","",IF(E86&lt;&gt;"",E86,IF(COUNTIFS(Submissions!$A:$A,A86,Submissions!$E:$E,"Accepted")&gt;0,"Accepted",IF(COUNTIFS(Submissions!$A:$A,A86,Submissions!$E:$E,"Revision requested")&gt;0,"Revision due",IF(COUNTIFS(Submissions!$A:$A,A86,Submissions!$E:$E,"Under review")&gt;0,"Under review",IF(I86&gt;0,"Needs resubmission","Not yet submitted"))))))</f>
        <v/>
      </c>
      <c r="H86" s="13">
        <f>IF(A86="","",IFERROR(INDEX(Submissions!$B:$B,MATCH(A86&amp;"|Under review",Submissions!$Q:$Q,0)),""))</f>
        <v/>
      </c>
      <c r="I86" s="13">
        <f>IF(A86="","",COUNTIFS(Submissions!$A:$A,A86,Submissions!$B:$B,"&lt;&gt;",Submissions!$E:$E,"&lt;&gt;Planned"))</f>
        <v/>
      </c>
      <c r="J86" s="13">
        <f>IF(A86="","",COUNTIFS(Submissions!$A:$A,A86,Submissions!$E:$E,"Rejected"))</f>
        <v/>
      </c>
      <c r="K86" s="13">
        <f>IF(A86="","",IFERROR(INDEX(Submissions!$B:$B,MATCH(A86&amp;"|Planned",Submissions!$Q:$Q,0)),""))</f>
        <v/>
      </c>
      <c r="L86" s="11" t="n"/>
      <c r="M86" s="13" t="n"/>
      <c r="N86" s="13" t="n"/>
      <c r="O86" s="13">
        <f>IF(OR(G86="Revision due",G86="Needs resubmission",G86="Not yet submitted"),COUNTIF($G$2:$G$200,"Revision due")*(G86&lt;&gt;"Revision due")+COUNTIF($G$2:$G$200,"Needs resubmission")*(G86="Not yet submitted")+COUNTIFS($G$2:G86,G86),"")</f>
        <v/>
      </c>
    </row>
    <row r="87">
      <c r="A87" s="13" t="n"/>
      <c r="B87" s="11" t="n"/>
      <c r="C87" s="13" t="n"/>
      <c r="D87" s="13" t="n"/>
      <c r="E87" s="13" t="n"/>
      <c r="F87" s="11" t="n"/>
      <c r="G87" s="13">
        <f>IF(A87="","",IF(E87&lt;&gt;"",E87,IF(COUNTIFS(Submissions!$A:$A,A87,Submissions!$E:$E,"Accepted")&gt;0,"Accepted",IF(COUNTIFS(Submissions!$A:$A,A87,Submissions!$E:$E,"Revision requested")&gt;0,"Revision due",IF(COUNTIFS(Submissions!$A:$A,A87,Submissions!$E:$E,"Under review")&gt;0,"Under review",IF(I87&gt;0,"Needs resubmission","Not yet submitted"))))))</f>
        <v/>
      </c>
      <c r="H87" s="13">
        <f>IF(A87="","",IFERROR(INDEX(Submissions!$B:$B,MATCH(A87&amp;"|Under review",Submissions!$Q:$Q,0)),""))</f>
        <v/>
      </c>
      <c r="I87" s="13">
        <f>IF(A87="","",COUNTIFS(Submissions!$A:$A,A87,Submissions!$B:$B,"&lt;&gt;",Submissions!$E:$E,"&lt;&gt;Planned"))</f>
        <v/>
      </c>
      <c r="J87" s="13">
        <f>IF(A87="","",COUNTIFS(Submissions!$A:$A,A87,Submissions!$E:$E,"Rejected"))</f>
        <v/>
      </c>
      <c r="K87" s="13">
        <f>IF(A87="","",IFERROR(INDEX(Submissions!$B:$B,MATCH(A87&amp;"|Planned",Submissions!$Q:$Q,0)),""))</f>
        <v/>
      </c>
      <c r="L87" s="11" t="n"/>
      <c r="M87" s="13" t="n"/>
      <c r="N87" s="13" t="n"/>
      <c r="O87" s="13">
        <f>IF(OR(G87="Revision due",G87="Needs resubmission",G87="Not yet submitted"),COUNTIF($G$2:$G$200,"Revision due")*(G87&lt;&gt;"Revision due")+COUNTIF($G$2:$G$200,"Needs resubmission")*(G87="Not yet submitted")+COUNTIFS($G$2:G87,G87),"")</f>
        <v/>
      </c>
    </row>
    <row r="88">
      <c r="A88" s="13" t="n"/>
      <c r="B88" s="11" t="n"/>
      <c r="C88" s="13" t="n"/>
      <c r="D88" s="13" t="n"/>
      <c r="E88" s="13" t="n"/>
      <c r="F88" s="11" t="n"/>
      <c r="G88" s="13">
        <f>IF(A88="","",IF(E88&lt;&gt;"",E88,IF(COUNTIFS(Submissions!$A:$A,A88,Submissions!$E:$E,"Accepted")&gt;0,"Accepted",IF(COUNTIFS(Submissions!$A:$A,A88,Submissions!$E:$E,"Revision requested")&gt;0,"Revision due",IF(COUNTIFS(Submissions!$A:$A,A88,Submissions!$E:$E,"Under review")&gt;0,"Under review",IF(I88&gt;0,"Needs resubmission","Not yet submitted"))))))</f>
        <v/>
      </c>
      <c r="H88" s="13">
        <f>IF(A88="","",IFERROR(INDEX(Submissions!$B:$B,MATCH(A88&amp;"|Under review",Submissions!$Q:$Q,0)),""))</f>
        <v/>
      </c>
      <c r="I88" s="13">
        <f>IF(A88="","",COUNTIFS(Submissions!$A:$A,A88,Submissions!$B:$B,"&lt;&gt;",Submissions!$E:$E,"&lt;&gt;Planned"))</f>
        <v/>
      </c>
      <c r="J88" s="13">
        <f>IF(A88="","",COUNTIFS(Submissions!$A:$A,A88,Submissions!$E:$E,"Rejected"))</f>
        <v/>
      </c>
      <c r="K88" s="13">
        <f>IF(A88="","",IFERROR(INDEX(Submissions!$B:$B,MATCH(A88&amp;"|Planned",Submissions!$Q:$Q,0)),""))</f>
        <v/>
      </c>
      <c r="L88" s="11" t="n"/>
      <c r="M88" s="13" t="n"/>
      <c r="N88" s="13" t="n"/>
      <c r="O88" s="13">
        <f>IF(OR(G88="Revision due",G88="Needs resubmission",G88="Not yet submitted"),COUNTIF($G$2:$G$200,"Revision due")*(G88&lt;&gt;"Revision due")+COUNTIF($G$2:$G$200,"Needs resubmission")*(G88="Not yet submitted")+COUNTIFS($G$2:G88,G88),"")</f>
        <v/>
      </c>
    </row>
    <row r="89">
      <c r="A89" s="13" t="n"/>
      <c r="B89" s="11" t="n"/>
      <c r="C89" s="13" t="n"/>
      <c r="D89" s="13" t="n"/>
      <c r="E89" s="13" t="n"/>
      <c r="F89" s="11" t="n"/>
      <c r="G89" s="13">
        <f>IF(A89="","",IF(E89&lt;&gt;"",E89,IF(COUNTIFS(Submissions!$A:$A,A89,Submissions!$E:$E,"Accepted")&gt;0,"Accepted",IF(COUNTIFS(Submissions!$A:$A,A89,Submissions!$E:$E,"Revision requested")&gt;0,"Revision due",IF(COUNTIFS(Submissions!$A:$A,A89,Submissions!$E:$E,"Under review")&gt;0,"Under review",IF(I89&gt;0,"Needs resubmission","Not yet submitted"))))))</f>
        <v/>
      </c>
      <c r="H89" s="13">
        <f>IF(A89="","",IFERROR(INDEX(Submissions!$B:$B,MATCH(A89&amp;"|Under review",Submissions!$Q:$Q,0)),""))</f>
        <v/>
      </c>
      <c r="I89" s="13">
        <f>IF(A89="","",COUNTIFS(Submissions!$A:$A,A89,Submissions!$B:$B,"&lt;&gt;",Submissions!$E:$E,"&lt;&gt;Planned"))</f>
        <v/>
      </c>
      <c r="J89" s="13">
        <f>IF(A89="","",COUNTIFS(Submissions!$A:$A,A89,Submissions!$E:$E,"Rejected"))</f>
        <v/>
      </c>
      <c r="K89" s="13">
        <f>IF(A89="","",IFERROR(INDEX(Submissions!$B:$B,MATCH(A89&amp;"|Planned",Submissions!$Q:$Q,0)),""))</f>
        <v/>
      </c>
      <c r="L89" s="11" t="n"/>
      <c r="M89" s="13" t="n"/>
      <c r="N89" s="13" t="n"/>
      <c r="O89" s="13">
        <f>IF(OR(G89="Revision due",G89="Needs resubmission",G89="Not yet submitted"),COUNTIF($G$2:$G$200,"Revision due")*(G89&lt;&gt;"Revision due")+COUNTIF($G$2:$G$200,"Needs resubmission")*(G89="Not yet submitted")+COUNTIFS($G$2:G89,G89),"")</f>
        <v/>
      </c>
    </row>
    <row r="90">
      <c r="A90" s="13" t="n"/>
      <c r="B90" s="11" t="n"/>
      <c r="C90" s="13" t="n"/>
      <c r="D90" s="13" t="n"/>
      <c r="E90" s="13" t="n"/>
      <c r="F90" s="11" t="n"/>
      <c r="G90" s="13">
        <f>IF(A90="","",IF(E90&lt;&gt;"",E90,IF(COUNTIFS(Submissions!$A:$A,A90,Submissions!$E:$E,"Accepted")&gt;0,"Accepted",IF(COUNTIFS(Submissions!$A:$A,A90,Submissions!$E:$E,"Revision requested")&gt;0,"Revision due",IF(COUNTIFS(Submissions!$A:$A,A90,Submissions!$E:$E,"Under review")&gt;0,"Under review",IF(I90&gt;0,"Needs resubmission","Not yet submitted"))))))</f>
        <v/>
      </c>
      <c r="H90" s="13">
        <f>IF(A90="","",IFERROR(INDEX(Submissions!$B:$B,MATCH(A90&amp;"|Under review",Submissions!$Q:$Q,0)),""))</f>
        <v/>
      </c>
      <c r="I90" s="13">
        <f>IF(A90="","",COUNTIFS(Submissions!$A:$A,A90,Submissions!$B:$B,"&lt;&gt;",Submissions!$E:$E,"&lt;&gt;Planned"))</f>
        <v/>
      </c>
      <c r="J90" s="13">
        <f>IF(A90="","",COUNTIFS(Submissions!$A:$A,A90,Submissions!$E:$E,"Rejected"))</f>
        <v/>
      </c>
      <c r="K90" s="13">
        <f>IF(A90="","",IFERROR(INDEX(Submissions!$B:$B,MATCH(A90&amp;"|Planned",Submissions!$Q:$Q,0)),""))</f>
        <v/>
      </c>
      <c r="L90" s="11" t="n"/>
      <c r="M90" s="13" t="n"/>
      <c r="N90" s="13" t="n"/>
      <c r="O90" s="13">
        <f>IF(OR(G90="Revision due",G90="Needs resubmission",G90="Not yet submitted"),COUNTIF($G$2:$G$200,"Revision due")*(G90&lt;&gt;"Revision due")+COUNTIF($G$2:$G$200,"Needs resubmission")*(G90="Not yet submitted")+COUNTIFS($G$2:G90,G90),"")</f>
        <v/>
      </c>
    </row>
    <row r="91">
      <c r="A91" s="13" t="n"/>
      <c r="B91" s="11" t="n"/>
      <c r="C91" s="13" t="n"/>
      <c r="D91" s="13" t="n"/>
      <c r="E91" s="13" t="n"/>
      <c r="F91" s="11" t="n"/>
      <c r="G91" s="13">
        <f>IF(A91="","",IF(E91&lt;&gt;"",E91,IF(COUNTIFS(Submissions!$A:$A,A91,Submissions!$E:$E,"Accepted")&gt;0,"Accepted",IF(COUNTIFS(Submissions!$A:$A,A91,Submissions!$E:$E,"Revision requested")&gt;0,"Revision due",IF(COUNTIFS(Submissions!$A:$A,A91,Submissions!$E:$E,"Under review")&gt;0,"Under review",IF(I91&gt;0,"Needs resubmission","Not yet submitted"))))))</f>
        <v/>
      </c>
      <c r="H91" s="13">
        <f>IF(A91="","",IFERROR(INDEX(Submissions!$B:$B,MATCH(A91&amp;"|Under review",Submissions!$Q:$Q,0)),""))</f>
        <v/>
      </c>
      <c r="I91" s="13">
        <f>IF(A91="","",COUNTIFS(Submissions!$A:$A,A91,Submissions!$B:$B,"&lt;&gt;",Submissions!$E:$E,"&lt;&gt;Planned"))</f>
        <v/>
      </c>
      <c r="J91" s="13">
        <f>IF(A91="","",COUNTIFS(Submissions!$A:$A,A91,Submissions!$E:$E,"Rejected"))</f>
        <v/>
      </c>
      <c r="K91" s="13">
        <f>IF(A91="","",IFERROR(INDEX(Submissions!$B:$B,MATCH(A91&amp;"|Planned",Submissions!$Q:$Q,0)),""))</f>
        <v/>
      </c>
      <c r="L91" s="11" t="n"/>
      <c r="M91" s="13" t="n"/>
      <c r="N91" s="13" t="n"/>
      <c r="O91" s="13">
        <f>IF(OR(G91="Revision due",G91="Needs resubmission",G91="Not yet submitted"),COUNTIF($G$2:$G$200,"Revision due")*(G91&lt;&gt;"Revision due")+COUNTIF($G$2:$G$200,"Needs resubmission")*(G91="Not yet submitted")+COUNTIFS($G$2:G91,G91),"")</f>
        <v/>
      </c>
    </row>
    <row r="92">
      <c r="A92" s="13" t="n"/>
      <c r="B92" s="11" t="n"/>
      <c r="C92" s="13" t="n"/>
      <c r="D92" s="13" t="n"/>
      <c r="E92" s="13" t="n"/>
      <c r="F92" s="11" t="n"/>
      <c r="G92" s="13">
        <f>IF(A92="","",IF(E92&lt;&gt;"",E92,IF(COUNTIFS(Submissions!$A:$A,A92,Submissions!$E:$E,"Accepted")&gt;0,"Accepted",IF(COUNTIFS(Submissions!$A:$A,A92,Submissions!$E:$E,"Revision requested")&gt;0,"Revision due",IF(COUNTIFS(Submissions!$A:$A,A92,Submissions!$E:$E,"Under review")&gt;0,"Under review",IF(I92&gt;0,"Needs resubmission","Not yet submitted"))))))</f>
        <v/>
      </c>
      <c r="H92" s="13">
        <f>IF(A92="","",IFERROR(INDEX(Submissions!$B:$B,MATCH(A92&amp;"|Under review",Submissions!$Q:$Q,0)),""))</f>
        <v/>
      </c>
      <c r="I92" s="13">
        <f>IF(A92="","",COUNTIFS(Submissions!$A:$A,A92,Submissions!$B:$B,"&lt;&gt;",Submissions!$E:$E,"&lt;&gt;Planned"))</f>
        <v/>
      </c>
      <c r="J92" s="13">
        <f>IF(A92="","",COUNTIFS(Submissions!$A:$A,A92,Submissions!$E:$E,"Rejected"))</f>
        <v/>
      </c>
      <c r="K92" s="13">
        <f>IF(A92="","",IFERROR(INDEX(Submissions!$B:$B,MATCH(A92&amp;"|Planned",Submissions!$Q:$Q,0)),""))</f>
        <v/>
      </c>
      <c r="L92" s="11" t="n"/>
      <c r="M92" s="13" t="n"/>
      <c r="N92" s="13" t="n"/>
      <c r="O92" s="13">
        <f>IF(OR(G92="Revision due",G92="Needs resubmission",G92="Not yet submitted"),COUNTIF($G$2:$G$200,"Revision due")*(G92&lt;&gt;"Revision due")+COUNTIF($G$2:$G$200,"Needs resubmission")*(G92="Not yet submitted")+COUNTIFS($G$2:G92,G92),"")</f>
        <v/>
      </c>
    </row>
    <row r="93">
      <c r="A93" s="13" t="n"/>
      <c r="B93" s="11" t="n"/>
      <c r="C93" s="13" t="n"/>
      <c r="D93" s="13" t="n"/>
      <c r="E93" s="13" t="n"/>
      <c r="F93" s="11" t="n"/>
      <c r="G93" s="13">
        <f>IF(A93="","",IF(E93&lt;&gt;"",E93,IF(COUNTIFS(Submissions!$A:$A,A93,Submissions!$E:$E,"Accepted")&gt;0,"Accepted",IF(COUNTIFS(Submissions!$A:$A,A93,Submissions!$E:$E,"Revision requested")&gt;0,"Revision due",IF(COUNTIFS(Submissions!$A:$A,A93,Submissions!$E:$E,"Under review")&gt;0,"Under review",IF(I93&gt;0,"Needs resubmission","Not yet submitted"))))))</f>
        <v/>
      </c>
      <c r="H93" s="13">
        <f>IF(A93="","",IFERROR(INDEX(Submissions!$B:$B,MATCH(A93&amp;"|Under review",Submissions!$Q:$Q,0)),""))</f>
        <v/>
      </c>
      <c r="I93" s="13">
        <f>IF(A93="","",COUNTIFS(Submissions!$A:$A,A93,Submissions!$B:$B,"&lt;&gt;",Submissions!$E:$E,"&lt;&gt;Planned"))</f>
        <v/>
      </c>
      <c r="J93" s="13">
        <f>IF(A93="","",COUNTIFS(Submissions!$A:$A,A93,Submissions!$E:$E,"Rejected"))</f>
        <v/>
      </c>
      <c r="K93" s="13">
        <f>IF(A93="","",IFERROR(INDEX(Submissions!$B:$B,MATCH(A93&amp;"|Planned",Submissions!$Q:$Q,0)),""))</f>
        <v/>
      </c>
      <c r="L93" s="11" t="n"/>
      <c r="M93" s="13" t="n"/>
      <c r="N93" s="13" t="n"/>
      <c r="O93" s="13">
        <f>IF(OR(G93="Revision due",G93="Needs resubmission",G93="Not yet submitted"),COUNTIF($G$2:$G$200,"Revision due")*(G93&lt;&gt;"Revision due")+COUNTIF($G$2:$G$200,"Needs resubmission")*(G93="Not yet submitted")+COUNTIFS($G$2:G93,G93),"")</f>
        <v/>
      </c>
    </row>
    <row r="94">
      <c r="A94" s="13" t="n"/>
      <c r="B94" s="11" t="n"/>
      <c r="C94" s="13" t="n"/>
      <c r="D94" s="13" t="n"/>
      <c r="E94" s="13" t="n"/>
      <c r="F94" s="11" t="n"/>
      <c r="G94" s="13">
        <f>IF(A94="","",IF(E94&lt;&gt;"",E94,IF(COUNTIFS(Submissions!$A:$A,A94,Submissions!$E:$E,"Accepted")&gt;0,"Accepted",IF(COUNTIFS(Submissions!$A:$A,A94,Submissions!$E:$E,"Revision requested")&gt;0,"Revision due",IF(COUNTIFS(Submissions!$A:$A,A94,Submissions!$E:$E,"Under review")&gt;0,"Under review",IF(I94&gt;0,"Needs resubmission","Not yet submitted"))))))</f>
        <v/>
      </c>
      <c r="H94" s="13">
        <f>IF(A94="","",IFERROR(INDEX(Submissions!$B:$B,MATCH(A94&amp;"|Under review",Submissions!$Q:$Q,0)),""))</f>
        <v/>
      </c>
      <c r="I94" s="13">
        <f>IF(A94="","",COUNTIFS(Submissions!$A:$A,A94,Submissions!$B:$B,"&lt;&gt;",Submissions!$E:$E,"&lt;&gt;Planned"))</f>
        <v/>
      </c>
      <c r="J94" s="13">
        <f>IF(A94="","",COUNTIFS(Submissions!$A:$A,A94,Submissions!$E:$E,"Rejected"))</f>
        <v/>
      </c>
      <c r="K94" s="13">
        <f>IF(A94="","",IFERROR(INDEX(Submissions!$B:$B,MATCH(A94&amp;"|Planned",Submissions!$Q:$Q,0)),""))</f>
        <v/>
      </c>
      <c r="L94" s="11" t="n"/>
      <c r="M94" s="13" t="n"/>
      <c r="N94" s="13" t="n"/>
      <c r="O94" s="13">
        <f>IF(OR(G94="Revision due",G94="Needs resubmission",G94="Not yet submitted"),COUNTIF($G$2:$G$200,"Revision due")*(G94&lt;&gt;"Revision due")+COUNTIF($G$2:$G$200,"Needs resubmission")*(G94="Not yet submitted")+COUNTIFS($G$2:G94,G94),"")</f>
        <v/>
      </c>
    </row>
    <row r="95">
      <c r="A95" s="13" t="n"/>
      <c r="B95" s="11" t="n"/>
      <c r="C95" s="13" t="n"/>
      <c r="D95" s="13" t="n"/>
      <c r="E95" s="13" t="n"/>
      <c r="F95" s="11" t="n"/>
      <c r="G95" s="13">
        <f>IF(A95="","",IF(E95&lt;&gt;"",E95,IF(COUNTIFS(Submissions!$A:$A,A95,Submissions!$E:$E,"Accepted")&gt;0,"Accepted",IF(COUNTIFS(Submissions!$A:$A,A95,Submissions!$E:$E,"Revision requested")&gt;0,"Revision due",IF(COUNTIFS(Submissions!$A:$A,A95,Submissions!$E:$E,"Under review")&gt;0,"Under review",IF(I95&gt;0,"Needs resubmission","Not yet submitted"))))))</f>
        <v/>
      </c>
      <c r="H95" s="13">
        <f>IF(A95="","",IFERROR(INDEX(Submissions!$B:$B,MATCH(A95&amp;"|Under review",Submissions!$Q:$Q,0)),""))</f>
        <v/>
      </c>
      <c r="I95" s="13">
        <f>IF(A95="","",COUNTIFS(Submissions!$A:$A,A95,Submissions!$B:$B,"&lt;&gt;",Submissions!$E:$E,"&lt;&gt;Planned"))</f>
        <v/>
      </c>
      <c r="J95" s="13">
        <f>IF(A95="","",COUNTIFS(Submissions!$A:$A,A95,Submissions!$E:$E,"Rejected"))</f>
        <v/>
      </c>
      <c r="K95" s="13">
        <f>IF(A95="","",IFERROR(INDEX(Submissions!$B:$B,MATCH(A95&amp;"|Planned",Submissions!$Q:$Q,0)),""))</f>
        <v/>
      </c>
      <c r="L95" s="11" t="n"/>
      <c r="M95" s="13" t="n"/>
      <c r="N95" s="13" t="n"/>
      <c r="O95" s="13">
        <f>IF(OR(G95="Revision due",G95="Needs resubmission",G95="Not yet submitted"),COUNTIF($G$2:$G$200,"Revision due")*(G95&lt;&gt;"Revision due")+COUNTIF($G$2:$G$200,"Needs resubmission")*(G95="Not yet submitted")+COUNTIFS($G$2:G95,G95),"")</f>
        <v/>
      </c>
    </row>
    <row r="96">
      <c r="A96" s="13" t="n"/>
      <c r="B96" s="11" t="n"/>
      <c r="C96" s="13" t="n"/>
      <c r="D96" s="13" t="n"/>
      <c r="E96" s="13" t="n"/>
      <c r="F96" s="11" t="n"/>
      <c r="G96" s="13">
        <f>IF(A96="","",IF(E96&lt;&gt;"",E96,IF(COUNTIFS(Submissions!$A:$A,A96,Submissions!$E:$E,"Accepted")&gt;0,"Accepted",IF(COUNTIFS(Submissions!$A:$A,A96,Submissions!$E:$E,"Revision requested")&gt;0,"Revision due",IF(COUNTIFS(Submissions!$A:$A,A96,Submissions!$E:$E,"Under review")&gt;0,"Under review",IF(I96&gt;0,"Needs resubmission","Not yet submitted"))))))</f>
        <v/>
      </c>
      <c r="H96" s="13">
        <f>IF(A96="","",IFERROR(INDEX(Submissions!$B:$B,MATCH(A96&amp;"|Under review",Submissions!$Q:$Q,0)),""))</f>
        <v/>
      </c>
      <c r="I96" s="13">
        <f>IF(A96="","",COUNTIFS(Submissions!$A:$A,A96,Submissions!$B:$B,"&lt;&gt;",Submissions!$E:$E,"&lt;&gt;Planned"))</f>
        <v/>
      </c>
      <c r="J96" s="13">
        <f>IF(A96="","",COUNTIFS(Submissions!$A:$A,A96,Submissions!$E:$E,"Rejected"))</f>
        <v/>
      </c>
      <c r="K96" s="13">
        <f>IF(A96="","",IFERROR(INDEX(Submissions!$B:$B,MATCH(A96&amp;"|Planned",Submissions!$Q:$Q,0)),""))</f>
        <v/>
      </c>
      <c r="L96" s="11" t="n"/>
      <c r="M96" s="13" t="n"/>
      <c r="N96" s="13" t="n"/>
      <c r="O96" s="13">
        <f>IF(OR(G96="Revision due",G96="Needs resubmission",G96="Not yet submitted"),COUNTIF($G$2:$G$200,"Revision due")*(G96&lt;&gt;"Revision due")+COUNTIF($G$2:$G$200,"Needs resubmission")*(G96="Not yet submitted")+COUNTIFS($G$2:G96,G96),"")</f>
        <v/>
      </c>
    </row>
    <row r="97">
      <c r="A97" s="13" t="n"/>
      <c r="B97" s="11" t="n"/>
      <c r="C97" s="13" t="n"/>
      <c r="D97" s="13" t="n"/>
      <c r="E97" s="13" t="n"/>
      <c r="F97" s="11" t="n"/>
      <c r="G97" s="13">
        <f>IF(A97="","",IF(E97&lt;&gt;"",E97,IF(COUNTIFS(Submissions!$A:$A,A97,Submissions!$E:$E,"Accepted")&gt;0,"Accepted",IF(COUNTIFS(Submissions!$A:$A,A97,Submissions!$E:$E,"Revision requested")&gt;0,"Revision due",IF(COUNTIFS(Submissions!$A:$A,A97,Submissions!$E:$E,"Under review")&gt;0,"Under review",IF(I97&gt;0,"Needs resubmission","Not yet submitted"))))))</f>
        <v/>
      </c>
      <c r="H97" s="13">
        <f>IF(A97="","",IFERROR(INDEX(Submissions!$B:$B,MATCH(A97&amp;"|Under review",Submissions!$Q:$Q,0)),""))</f>
        <v/>
      </c>
      <c r="I97" s="13">
        <f>IF(A97="","",COUNTIFS(Submissions!$A:$A,A97,Submissions!$B:$B,"&lt;&gt;",Submissions!$E:$E,"&lt;&gt;Planned"))</f>
        <v/>
      </c>
      <c r="J97" s="13">
        <f>IF(A97="","",COUNTIFS(Submissions!$A:$A,A97,Submissions!$E:$E,"Rejected"))</f>
        <v/>
      </c>
      <c r="K97" s="13">
        <f>IF(A97="","",IFERROR(INDEX(Submissions!$B:$B,MATCH(A97&amp;"|Planned",Submissions!$Q:$Q,0)),""))</f>
        <v/>
      </c>
      <c r="L97" s="11" t="n"/>
      <c r="M97" s="13" t="n"/>
      <c r="N97" s="13" t="n"/>
      <c r="O97" s="13">
        <f>IF(OR(G97="Revision due",G97="Needs resubmission",G97="Not yet submitted"),COUNTIF($G$2:$G$200,"Revision due")*(G97&lt;&gt;"Revision due")+COUNTIF($G$2:$G$200,"Needs resubmission")*(G97="Not yet submitted")+COUNTIFS($G$2:G97,G97),"")</f>
        <v/>
      </c>
    </row>
    <row r="98">
      <c r="A98" s="13" t="n"/>
      <c r="B98" s="11" t="n"/>
      <c r="C98" s="13" t="n"/>
      <c r="D98" s="13" t="n"/>
      <c r="E98" s="13" t="n"/>
      <c r="F98" s="11" t="n"/>
      <c r="G98" s="13">
        <f>IF(A98="","",IF(E98&lt;&gt;"",E98,IF(COUNTIFS(Submissions!$A:$A,A98,Submissions!$E:$E,"Accepted")&gt;0,"Accepted",IF(COUNTIFS(Submissions!$A:$A,A98,Submissions!$E:$E,"Revision requested")&gt;0,"Revision due",IF(COUNTIFS(Submissions!$A:$A,A98,Submissions!$E:$E,"Under review")&gt;0,"Under review",IF(I98&gt;0,"Needs resubmission","Not yet submitted"))))))</f>
        <v/>
      </c>
      <c r="H98" s="13">
        <f>IF(A98="","",IFERROR(INDEX(Submissions!$B:$B,MATCH(A98&amp;"|Under review",Submissions!$Q:$Q,0)),""))</f>
        <v/>
      </c>
      <c r="I98" s="13">
        <f>IF(A98="","",COUNTIFS(Submissions!$A:$A,A98,Submissions!$B:$B,"&lt;&gt;",Submissions!$E:$E,"&lt;&gt;Planned"))</f>
        <v/>
      </c>
      <c r="J98" s="13">
        <f>IF(A98="","",COUNTIFS(Submissions!$A:$A,A98,Submissions!$E:$E,"Rejected"))</f>
        <v/>
      </c>
      <c r="K98" s="13">
        <f>IF(A98="","",IFERROR(INDEX(Submissions!$B:$B,MATCH(A98&amp;"|Planned",Submissions!$Q:$Q,0)),""))</f>
        <v/>
      </c>
      <c r="L98" s="11" t="n"/>
      <c r="M98" s="13" t="n"/>
      <c r="N98" s="13" t="n"/>
      <c r="O98" s="13">
        <f>IF(OR(G98="Revision due",G98="Needs resubmission",G98="Not yet submitted"),COUNTIF($G$2:$G$200,"Revision due")*(G98&lt;&gt;"Revision due")+COUNTIF($G$2:$G$200,"Needs resubmission")*(G98="Not yet submitted")+COUNTIFS($G$2:G98,G98),"")</f>
        <v/>
      </c>
    </row>
    <row r="99">
      <c r="A99" s="13" t="n"/>
      <c r="B99" s="11" t="n"/>
      <c r="C99" s="13" t="n"/>
      <c r="D99" s="13" t="n"/>
      <c r="E99" s="13" t="n"/>
      <c r="F99" s="11" t="n"/>
      <c r="G99" s="13">
        <f>IF(A99="","",IF(E99&lt;&gt;"",E99,IF(COUNTIFS(Submissions!$A:$A,A99,Submissions!$E:$E,"Accepted")&gt;0,"Accepted",IF(COUNTIFS(Submissions!$A:$A,A99,Submissions!$E:$E,"Revision requested")&gt;0,"Revision due",IF(COUNTIFS(Submissions!$A:$A,A99,Submissions!$E:$E,"Under review")&gt;0,"Under review",IF(I99&gt;0,"Needs resubmission","Not yet submitted"))))))</f>
        <v/>
      </c>
      <c r="H99" s="13">
        <f>IF(A99="","",IFERROR(INDEX(Submissions!$B:$B,MATCH(A99&amp;"|Under review",Submissions!$Q:$Q,0)),""))</f>
        <v/>
      </c>
      <c r="I99" s="13">
        <f>IF(A99="","",COUNTIFS(Submissions!$A:$A,A99,Submissions!$B:$B,"&lt;&gt;",Submissions!$E:$E,"&lt;&gt;Planned"))</f>
        <v/>
      </c>
      <c r="J99" s="13">
        <f>IF(A99="","",COUNTIFS(Submissions!$A:$A,A99,Submissions!$E:$E,"Rejected"))</f>
        <v/>
      </c>
      <c r="K99" s="13">
        <f>IF(A99="","",IFERROR(INDEX(Submissions!$B:$B,MATCH(A99&amp;"|Planned",Submissions!$Q:$Q,0)),""))</f>
        <v/>
      </c>
      <c r="L99" s="11" t="n"/>
      <c r="M99" s="13" t="n"/>
      <c r="N99" s="13" t="n"/>
      <c r="O99" s="13">
        <f>IF(OR(G99="Revision due",G99="Needs resubmission",G99="Not yet submitted"),COUNTIF($G$2:$G$200,"Revision due")*(G99&lt;&gt;"Revision due")+COUNTIF($G$2:$G$200,"Needs resubmission")*(G99="Not yet submitted")+COUNTIFS($G$2:G99,G99),"")</f>
        <v/>
      </c>
    </row>
    <row r="100">
      <c r="A100" s="13" t="n"/>
      <c r="B100" s="11" t="n"/>
      <c r="C100" s="13" t="n"/>
      <c r="D100" s="13" t="n"/>
      <c r="E100" s="13" t="n"/>
      <c r="F100" s="11" t="n"/>
      <c r="G100" s="13">
        <f>IF(A100="","",IF(E100&lt;&gt;"",E100,IF(COUNTIFS(Submissions!$A:$A,A100,Submissions!$E:$E,"Accepted")&gt;0,"Accepted",IF(COUNTIFS(Submissions!$A:$A,A100,Submissions!$E:$E,"Revision requested")&gt;0,"Revision due",IF(COUNTIFS(Submissions!$A:$A,A100,Submissions!$E:$E,"Under review")&gt;0,"Under review",IF(I100&gt;0,"Needs resubmission","Not yet submitted"))))))</f>
        <v/>
      </c>
      <c r="H100" s="13">
        <f>IF(A100="","",IFERROR(INDEX(Submissions!$B:$B,MATCH(A100&amp;"|Under review",Submissions!$Q:$Q,0)),""))</f>
        <v/>
      </c>
      <c r="I100" s="13">
        <f>IF(A100="","",COUNTIFS(Submissions!$A:$A,A100,Submissions!$B:$B,"&lt;&gt;",Submissions!$E:$E,"&lt;&gt;Planned"))</f>
        <v/>
      </c>
      <c r="J100" s="13">
        <f>IF(A100="","",COUNTIFS(Submissions!$A:$A,A100,Submissions!$E:$E,"Rejected"))</f>
        <v/>
      </c>
      <c r="K100" s="13">
        <f>IF(A100="","",IFERROR(INDEX(Submissions!$B:$B,MATCH(A100&amp;"|Planned",Submissions!$Q:$Q,0)),""))</f>
        <v/>
      </c>
      <c r="L100" s="11" t="n"/>
      <c r="M100" s="13" t="n"/>
      <c r="N100" s="13" t="n"/>
      <c r="O100" s="13">
        <f>IF(OR(G100="Revision due",G100="Needs resubmission",G100="Not yet submitted"),COUNTIF($G$2:$G$200,"Revision due")*(G100&lt;&gt;"Revision due")+COUNTIF($G$2:$G$200,"Needs resubmission")*(G100="Not yet submitted")+COUNTIFS($G$2:G100,G100),"")</f>
        <v/>
      </c>
    </row>
    <row r="101">
      <c r="A101" s="13" t="n"/>
      <c r="B101" s="11" t="n"/>
      <c r="C101" s="13" t="n"/>
      <c r="D101" s="13" t="n"/>
      <c r="E101" s="13" t="n"/>
      <c r="F101" s="11" t="n"/>
      <c r="G101" s="13">
        <f>IF(A101="","",IF(E101&lt;&gt;"",E101,IF(COUNTIFS(Submissions!$A:$A,A101,Submissions!$E:$E,"Accepted")&gt;0,"Accepted",IF(COUNTIFS(Submissions!$A:$A,A101,Submissions!$E:$E,"Revision requested")&gt;0,"Revision due",IF(COUNTIFS(Submissions!$A:$A,A101,Submissions!$E:$E,"Under review")&gt;0,"Under review",IF(I101&gt;0,"Needs resubmission","Not yet submitted"))))))</f>
        <v/>
      </c>
      <c r="H101" s="13">
        <f>IF(A101="","",IFERROR(INDEX(Submissions!$B:$B,MATCH(A101&amp;"|Under review",Submissions!$Q:$Q,0)),""))</f>
        <v/>
      </c>
      <c r="I101" s="13">
        <f>IF(A101="","",COUNTIFS(Submissions!$A:$A,A101,Submissions!$B:$B,"&lt;&gt;",Submissions!$E:$E,"&lt;&gt;Planned"))</f>
        <v/>
      </c>
      <c r="J101" s="13">
        <f>IF(A101="","",COUNTIFS(Submissions!$A:$A,A101,Submissions!$E:$E,"Rejected"))</f>
        <v/>
      </c>
      <c r="K101" s="13">
        <f>IF(A101="","",IFERROR(INDEX(Submissions!$B:$B,MATCH(A101&amp;"|Planned",Submissions!$Q:$Q,0)),""))</f>
        <v/>
      </c>
      <c r="L101" s="11" t="n"/>
      <c r="M101" s="13" t="n"/>
      <c r="N101" s="13" t="n"/>
      <c r="O101" s="13">
        <f>IF(OR(G101="Revision due",G101="Needs resubmission",G101="Not yet submitted"),COUNTIF($G$2:$G$200,"Revision due")*(G101&lt;&gt;"Revision due")+COUNTIF($G$2:$G$200,"Needs resubmission")*(G101="Not yet submitted")+COUNTIFS($G$2:G101,G101),"")</f>
        <v/>
      </c>
    </row>
    <row r="102">
      <c r="A102" s="13" t="n"/>
      <c r="B102" s="11" t="n"/>
      <c r="C102" s="13" t="n"/>
      <c r="D102" s="13" t="n"/>
      <c r="E102" s="13" t="n"/>
      <c r="F102" s="11" t="n"/>
      <c r="G102" s="13">
        <f>IF(A102="","",IF(E102&lt;&gt;"",E102,IF(COUNTIFS(Submissions!$A:$A,A102,Submissions!$E:$E,"Accepted")&gt;0,"Accepted",IF(COUNTIFS(Submissions!$A:$A,A102,Submissions!$E:$E,"Revision requested")&gt;0,"Revision due",IF(COUNTIFS(Submissions!$A:$A,A102,Submissions!$E:$E,"Under review")&gt;0,"Under review",IF(I102&gt;0,"Needs resubmission","Not yet submitted"))))))</f>
        <v/>
      </c>
      <c r="H102" s="13">
        <f>IF(A102="","",IFERROR(INDEX(Submissions!$B:$B,MATCH(A102&amp;"|Under review",Submissions!$Q:$Q,0)),""))</f>
        <v/>
      </c>
      <c r="I102" s="13">
        <f>IF(A102="","",COUNTIFS(Submissions!$A:$A,A102,Submissions!$B:$B,"&lt;&gt;",Submissions!$E:$E,"&lt;&gt;Planned"))</f>
        <v/>
      </c>
      <c r="J102" s="13">
        <f>IF(A102="","",COUNTIFS(Submissions!$A:$A,A102,Submissions!$E:$E,"Rejected"))</f>
        <v/>
      </c>
      <c r="K102" s="13">
        <f>IF(A102="","",IFERROR(INDEX(Submissions!$B:$B,MATCH(A102&amp;"|Planned",Submissions!$Q:$Q,0)),""))</f>
        <v/>
      </c>
      <c r="L102" s="11" t="n"/>
      <c r="M102" s="13" t="n"/>
      <c r="N102" s="13" t="n"/>
      <c r="O102" s="13">
        <f>IF(OR(G102="Revision due",G102="Needs resubmission",G102="Not yet submitted"),COUNTIF($G$2:$G$200,"Revision due")*(G102&lt;&gt;"Revision due")+COUNTIF($G$2:$G$200,"Needs resubmission")*(G102="Not yet submitted")+COUNTIFS($G$2:G102,G102),"")</f>
        <v/>
      </c>
    </row>
    <row r="103">
      <c r="A103" s="13" t="n"/>
      <c r="B103" s="11" t="n"/>
      <c r="C103" s="13" t="n"/>
      <c r="D103" s="13" t="n"/>
      <c r="E103" s="13" t="n"/>
      <c r="F103" s="11" t="n"/>
      <c r="G103" s="13">
        <f>IF(A103="","",IF(E103&lt;&gt;"",E103,IF(COUNTIFS(Submissions!$A:$A,A103,Submissions!$E:$E,"Accepted")&gt;0,"Accepted",IF(COUNTIFS(Submissions!$A:$A,A103,Submissions!$E:$E,"Revision requested")&gt;0,"Revision due",IF(COUNTIFS(Submissions!$A:$A,A103,Submissions!$E:$E,"Under review")&gt;0,"Under review",IF(I103&gt;0,"Needs resubmission","Not yet submitted"))))))</f>
        <v/>
      </c>
      <c r="H103" s="13">
        <f>IF(A103="","",IFERROR(INDEX(Submissions!$B:$B,MATCH(A103&amp;"|Under review",Submissions!$Q:$Q,0)),""))</f>
        <v/>
      </c>
      <c r="I103" s="13">
        <f>IF(A103="","",COUNTIFS(Submissions!$A:$A,A103,Submissions!$B:$B,"&lt;&gt;",Submissions!$E:$E,"&lt;&gt;Planned"))</f>
        <v/>
      </c>
      <c r="J103" s="13">
        <f>IF(A103="","",COUNTIFS(Submissions!$A:$A,A103,Submissions!$E:$E,"Rejected"))</f>
        <v/>
      </c>
      <c r="K103" s="13">
        <f>IF(A103="","",IFERROR(INDEX(Submissions!$B:$B,MATCH(A103&amp;"|Planned",Submissions!$Q:$Q,0)),""))</f>
        <v/>
      </c>
      <c r="L103" s="11" t="n"/>
      <c r="M103" s="13" t="n"/>
      <c r="N103" s="13" t="n"/>
      <c r="O103" s="13">
        <f>IF(OR(G103="Revision due",G103="Needs resubmission",G103="Not yet submitted"),COUNTIF($G$2:$G$200,"Revision due")*(G103&lt;&gt;"Revision due")+COUNTIF($G$2:$G$200,"Needs resubmission")*(G103="Not yet submitted")+COUNTIFS($G$2:G103,G103),"")</f>
        <v/>
      </c>
    </row>
    <row r="104">
      <c r="A104" s="13" t="n"/>
      <c r="B104" s="11" t="n"/>
      <c r="C104" s="13" t="n"/>
      <c r="D104" s="13" t="n"/>
      <c r="E104" s="13" t="n"/>
      <c r="F104" s="11" t="n"/>
      <c r="G104" s="13">
        <f>IF(A104="","",IF(E104&lt;&gt;"",E104,IF(COUNTIFS(Submissions!$A:$A,A104,Submissions!$E:$E,"Accepted")&gt;0,"Accepted",IF(COUNTIFS(Submissions!$A:$A,A104,Submissions!$E:$E,"Revision requested")&gt;0,"Revision due",IF(COUNTIFS(Submissions!$A:$A,A104,Submissions!$E:$E,"Under review")&gt;0,"Under review",IF(I104&gt;0,"Needs resubmission","Not yet submitted"))))))</f>
        <v/>
      </c>
      <c r="H104" s="13">
        <f>IF(A104="","",IFERROR(INDEX(Submissions!$B:$B,MATCH(A104&amp;"|Under review",Submissions!$Q:$Q,0)),""))</f>
        <v/>
      </c>
      <c r="I104" s="13">
        <f>IF(A104="","",COUNTIFS(Submissions!$A:$A,A104,Submissions!$B:$B,"&lt;&gt;",Submissions!$E:$E,"&lt;&gt;Planned"))</f>
        <v/>
      </c>
      <c r="J104" s="13">
        <f>IF(A104="","",COUNTIFS(Submissions!$A:$A,A104,Submissions!$E:$E,"Rejected"))</f>
        <v/>
      </c>
      <c r="K104" s="13">
        <f>IF(A104="","",IFERROR(INDEX(Submissions!$B:$B,MATCH(A104&amp;"|Planned",Submissions!$Q:$Q,0)),""))</f>
        <v/>
      </c>
      <c r="L104" s="11" t="n"/>
      <c r="M104" s="13" t="n"/>
      <c r="N104" s="13" t="n"/>
      <c r="O104" s="13">
        <f>IF(OR(G104="Revision due",G104="Needs resubmission",G104="Not yet submitted"),COUNTIF($G$2:$G$200,"Revision due")*(G104&lt;&gt;"Revision due")+COUNTIF($G$2:$G$200,"Needs resubmission")*(G104="Not yet submitted")+COUNTIFS($G$2:G104,G104),"")</f>
        <v/>
      </c>
    </row>
    <row r="105">
      <c r="A105" s="13" t="n"/>
      <c r="B105" s="11" t="n"/>
      <c r="C105" s="13" t="n"/>
      <c r="D105" s="13" t="n"/>
      <c r="E105" s="13" t="n"/>
      <c r="F105" s="11" t="n"/>
      <c r="G105" s="13">
        <f>IF(A105="","",IF(E105&lt;&gt;"",E105,IF(COUNTIFS(Submissions!$A:$A,A105,Submissions!$E:$E,"Accepted")&gt;0,"Accepted",IF(COUNTIFS(Submissions!$A:$A,A105,Submissions!$E:$E,"Revision requested")&gt;0,"Revision due",IF(COUNTIFS(Submissions!$A:$A,A105,Submissions!$E:$E,"Under review")&gt;0,"Under review",IF(I105&gt;0,"Needs resubmission","Not yet submitted"))))))</f>
        <v/>
      </c>
      <c r="H105" s="13">
        <f>IF(A105="","",IFERROR(INDEX(Submissions!$B:$B,MATCH(A105&amp;"|Under review",Submissions!$Q:$Q,0)),""))</f>
        <v/>
      </c>
      <c r="I105" s="13">
        <f>IF(A105="","",COUNTIFS(Submissions!$A:$A,A105,Submissions!$B:$B,"&lt;&gt;",Submissions!$E:$E,"&lt;&gt;Planned"))</f>
        <v/>
      </c>
      <c r="J105" s="13">
        <f>IF(A105="","",COUNTIFS(Submissions!$A:$A,A105,Submissions!$E:$E,"Rejected"))</f>
        <v/>
      </c>
      <c r="K105" s="13">
        <f>IF(A105="","",IFERROR(INDEX(Submissions!$B:$B,MATCH(A105&amp;"|Planned",Submissions!$Q:$Q,0)),""))</f>
        <v/>
      </c>
      <c r="L105" s="11" t="n"/>
      <c r="M105" s="13" t="n"/>
      <c r="N105" s="13" t="n"/>
      <c r="O105" s="13">
        <f>IF(OR(G105="Revision due",G105="Needs resubmission",G105="Not yet submitted"),COUNTIF($G$2:$G$200,"Revision due")*(G105&lt;&gt;"Revision due")+COUNTIF($G$2:$G$200,"Needs resubmission")*(G105="Not yet submitted")+COUNTIFS($G$2:G105,G105),"")</f>
        <v/>
      </c>
    </row>
    <row r="106">
      <c r="A106" s="13" t="n"/>
      <c r="B106" s="11" t="n"/>
      <c r="C106" s="13" t="n"/>
      <c r="D106" s="13" t="n"/>
      <c r="E106" s="13" t="n"/>
      <c r="F106" s="11" t="n"/>
      <c r="G106" s="13">
        <f>IF(A106="","",IF(E106&lt;&gt;"",E106,IF(COUNTIFS(Submissions!$A:$A,A106,Submissions!$E:$E,"Accepted")&gt;0,"Accepted",IF(COUNTIFS(Submissions!$A:$A,A106,Submissions!$E:$E,"Revision requested")&gt;0,"Revision due",IF(COUNTIFS(Submissions!$A:$A,A106,Submissions!$E:$E,"Under review")&gt;0,"Under review",IF(I106&gt;0,"Needs resubmission","Not yet submitted"))))))</f>
        <v/>
      </c>
      <c r="H106" s="13">
        <f>IF(A106="","",IFERROR(INDEX(Submissions!$B:$B,MATCH(A106&amp;"|Under review",Submissions!$Q:$Q,0)),""))</f>
        <v/>
      </c>
      <c r="I106" s="13">
        <f>IF(A106="","",COUNTIFS(Submissions!$A:$A,A106,Submissions!$B:$B,"&lt;&gt;",Submissions!$E:$E,"&lt;&gt;Planned"))</f>
        <v/>
      </c>
      <c r="J106" s="13">
        <f>IF(A106="","",COUNTIFS(Submissions!$A:$A,A106,Submissions!$E:$E,"Rejected"))</f>
        <v/>
      </c>
      <c r="K106" s="13">
        <f>IF(A106="","",IFERROR(INDEX(Submissions!$B:$B,MATCH(A106&amp;"|Planned",Submissions!$Q:$Q,0)),""))</f>
        <v/>
      </c>
      <c r="L106" s="11" t="n"/>
      <c r="M106" s="13" t="n"/>
      <c r="N106" s="13" t="n"/>
      <c r="O106" s="13">
        <f>IF(OR(G106="Revision due",G106="Needs resubmission",G106="Not yet submitted"),COUNTIF($G$2:$G$200,"Revision due")*(G106&lt;&gt;"Revision due")+COUNTIF($G$2:$G$200,"Needs resubmission")*(G106="Not yet submitted")+COUNTIFS($G$2:G106,G106),"")</f>
        <v/>
      </c>
    </row>
    <row r="107">
      <c r="A107" s="13" t="n"/>
      <c r="B107" s="11" t="n"/>
      <c r="C107" s="13" t="n"/>
      <c r="D107" s="13" t="n"/>
      <c r="E107" s="13" t="n"/>
      <c r="F107" s="11" t="n"/>
      <c r="G107" s="13">
        <f>IF(A107="","",IF(E107&lt;&gt;"",E107,IF(COUNTIFS(Submissions!$A:$A,A107,Submissions!$E:$E,"Accepted")&gt;0,"Accepted",IF(COUNTIFS(Submissions!$A:$A,A107,Submissions!$E:$E,"Revision requested")&gt;0,"Revision due",IF(COUNTIFS(Submissions!$A:$A,A107,Submissions!$E:$E,"Under review")&gt;0,"Under review",IF(I107&gt;0,"Needs resubmission","Not yet submitted"))))))</f>
        <v/>
      </c>
      <c r="H107" s="13">
        <f>IF(A107="","",IFERROR(INDEX(Submissions!$B:$B,MATCH(A107&amp;"|Under review",Submissions!$Q:$Q,0)),""))</f>
        <v/>
      </c>
      <c r="I107" s="13">
        <f>IF(A107="","",COUNTIFS(Submissions!$A:$A,A107,Submissions!$B:$B,"&lt;&gt;",Submissions!$E:$E,"&lt;&gt;Planned"))</f>
        <v/>
      </c>
      <c r="J107" s="13">
        <f>IF(A107="","",COUNTIFS(Submissions!$A:$A,A107,Submissions!$E:$E,"Rejected"))</f>
        <v/>
      </c>
      <c r="K107" s="13">
        <f>IF(A107="","",IFERROR(INDEX(Submissions!$B:$B,MATCH(A107&amp;"|Planned",Submissions!$Q:$Q,0)),""))</f>
        <v/>
      </c>
      <c r="L107" s="11" t="n"/>
      <c r="M107" s="13" t="n"/>
      <c r="N107" s="13" t="n"/>
      <c r="O107" s="13">
        <f>IF(OR(G107="Revision due",G107="Needs resubmission",G107="Not yet submitted"),COUNTIF($G$2:$G$200,"Revision due")*(G107&lt;&gt;"Revision due")+COUNTIF($G$2:$G$200,"Needs resubmission")*(G107="Not yet submitted")+COUNTIFS($G$2:G107,G107),"")</f>
        <v/>
      </c>
    </row>
    <row r="108">
      <c r="A108" s="13" t="n"/>
      <c r="B108" s="11" t="n"/>
      <c r="C108" s="13" t="n"/>
      <c r="D108" s="13" t="n"/>
      <c r="E108" s="13" t="n"/>
      <c r="F108" s="11" t="n"/>
      <c r="G108" s="13">
        <f>IF(A108="","",IF(E108&lt;&gt;"",E108,IF(COUNTIFS(Submissions!$A:$A,A108,Submissions!$E:$E,"Accepted")&gt;0,"Accepted",IF(COUNTIFS(Submissions!$A:$A,A108,Submissions!$E:$E,"Revision requested")&gt;0,"Revision due",IF(COUNTIFS(Submissions!$A:$A,A108,Submissions!$E:$E,"Under review")&gt;0,"Under review",IF(I108&gt;0,"Needs resubmission","Not yet submitted"))))))</f>
        <v/>
      </c>
      <c r="H108" s="13">
        <f>IF(A108="","",IFERROR(INDEX(Submissions!$B:$B,MATCH(A108&amp;"|Under review",Submissions!$Q:$Q,0)),""))</f>
        <v/>
      </c>
      <c r="I108" s="13">
        <f>IF(A108="","",COUNTIFS(Submissions!$A:$A,A108,Submissions!$B:$B,"&lt;&gt;",Submissions!$E:$E,"&lt;&gt;Planned"))</f>
        <v/>
      </c>
      <c r="J108" s="13">
        <f>IF(A108="","",COUNTIFS(Submissions!$A:$A,A108,Submissions!$E:$E,"Rejected"))</f>
        <v/>
      </c>
      <c r="K108" s="13">
        <f>IF(A108="","",IFERROR(INDEX(Submissions!$B:$B,MATCH(A108&amp;"|Planned",Submissions!$Q:$Q,0)),""))</f>
        <v/>
      </c>
      <c r="L108" s="11" t="n"/>
      <c r="M108" s="13" t="n"/>
      <c r="N108" s="13" t="n"/>
      <c r="O108" s="13">
        <f>IF(OR(G108="Revision due",G108="Needs resubmission",G108="Not yet submitted"),COUNTIF($G$2:$G$200,"Revision due")*(G108&lt;&gt;"Revision due")+COUNTIF($G$2:$G$200,"Needs resubmission")*(G108="Not yet submitted")+COUNTIFS($G$2:G108,G108),"")</f>
        <v/>
      </c>
    </row>
    <row r="109">
      <c r="A109" s="13" t="n"/>
      <c r="B109" s="11" t="n"/>
      <c r="C109" s="13" t="n"/>
      <c r="D109" s="13" t="n"/>
      <c r="E109" s="13" t="n"/>
      <c r="F109" s="11" t="n"/>
      <c r="G109" s="13">
        <f>IF(A109="","",IF(E109&lt;&gt;"",E109,IF(COUNTIFS(Submissions!$A:$A,A109,Submissions!$E:$E,"Accepted")&gt;0,"Accepted",IF(COUNTIFS(Submissions!$A:$A,A109,Submissions!$E:$E,"Revision requested")&gt;0,"Revision due",IF(COUNTIFS(Submissions!$A:$A,A109,Submissions!$E:$E,"Under review")&gt;0,"Under review",IF(I109&gt;0,"Needs resubmission","Not yet submitted"))))))</f>
        <v/>
      </c>
      <c r="H109" s="13">
        <f>IF(A109="","",IFERROR(INDEX(Submissions!$B:$B,MATCH(A109&amp;"|Under review",Submissions!$Q:$Q,0)),""))</f>
        <v/>
      </c>
      <c r="I109" s="13">
        <f>IF(A109="","",COUNTIFS(Submissions!$A:$A,A109,Submissions!$B:$B,"&lt;&gt;",Submissions!$E:$E,"&lt;&gt;Planned"))</f>
        <v/>
      </c>
      <c r="J109" s="13">
        <f>IF(A109="","",COUNTIFS(Submissions!$A:$A,A109,Submissions!$E:$E,"Rejected"))</f>
        <v/>
      </c>
      <c r="K109" s="13">
        <f>IF(A109="","",IFERROR(INDEX(Submissions!$B:$B,MATCH(A109&amp;"|Planned",Submissions!$Q:$Q,0)),""))</f>
        <v/>
      </c>
      <c r="L109" s="11" t="n"/>
      <c r="M109" s="13" t="n"/>
      <c r="N109" s="13" t="n"/>
      <c r="O109" s="13">
        <f>IF(OR(G109="Revision due",G109="Needs resubmission",G109="Not yet submitted"),COUNTIF($G$2:$G$200,"Revision due")*(G109&lt;&gt;"Revision due")+COUNTIF($G$2:$G$200,"Needs resubmission")*(G109="Not yet submitted")+COUNTIFS($G$2:G109,G109),"")</f>
        <v/>
      </c>
    </row>
    <row r="110">
      <c r="A110" s="13" t="n"/>
      <c r="B110" s="11" t="n"/>
      <c r="C110" s="13" t="n"/>
      <c r="D110" s="13" t="n"/>
      <c r="E110" s="13" t="n"/>
      <c r="F110" s="11" t="n"/>
      <c r="G110" s="13">
        <f>IF(A110="","",IF(E110&lt;&gt;"",E110,IF(COUNTIFS(Submissions!$A:$A,A110,Submissions!$E:$E,"Accepted")&gt;0,"Accepted",IF(COUNTIFS(Submissions!$A:$A,A110,Submissions!$E:$E,"Revision requested")&gt;0,"Revision due",IF(COUNTIFS(Submissions!$A:$A,A110,Submissions!$E:$E,"Under review")&gt;0,"Under review",IF(I110&gt;0,"Needs resubmission","Not yet submitted"))))))</f>
        <v/>
      </c>
      <c r="H110" s="13">
        <f>IF(A110="","",IFERROR(INDEX(Submissions!$B:$B,MATCH(A110&amp;"|Under review",Submissions!$Q:$Q,0)),""))</f>
        <v/>
      </c>
      <c r="I110" s="13">
        <f>IF(A110="","",COUNTIFS(Submissions!$A:$A,A110,Submissions!$B:$B,"&lt;&gt;",Submissions!$E:$E,"&lt;&gt;Planned"))</f>
        <v/>
      </c>
      <c r="J110" s="13">
        <f>IF(A110="","",COUNTIFS(Submissions!$A:$A,A110,Submissions!$E:$E,"Rejected"))</f>
        <v/>
      </c>
      <c r="K110" s="13">
        <f>IF(A110="","",IFERROR(INDEX(Submissions!$B:$B,MATCH(A110&amp;"|Planned",Submissions!$Q:$Q,0)),""))</f>
        <v/>
      </c>
      <c r="L110" s="11" t="n"/>
      <c r="M110" s="13" t="n"/>
      <c r="N110" s="13" t="n"/>
      <c r="O110" s="13">
        <f>IF(OR(G110="Revision due",G110="Needs resubmission",G110="Not yet submitted"),COUNTIF($G$2:$G$200,"Revision due")*(G110&lt;&gt;"Revision due")+COUNTIF($G$2:$G$200,"Needs resubmission")*(G110="Not yet submitted")+COUNTIFS($G$2:G110,G110),"")</f>
        <v/>
      </c>
    </row>
    <row r="111">
      <c r="A111" s="13" t="n"/>
      <c r="B111" s="11" t="n"/>
      <c r="C111" s="13" t="n"/>
      <c r="D111" s="13" t="n"/>
      <c r="E111" s="13" t="n"/>
      <c r="F111" s="11" t="n"/>
      <c r="G111" s="13">
        <f>IF(A111="","",IF(E111&lt;&gt;"",E111,IF(COUNTIFS(Submissions!$A:$A,A111,Submissions!$E:$E,"Accepted")&gt;0,"Accepted",IF(COUNTIFS(Submissions!$A:$A,A111,Submissions!$E:$E,"Revision requested")&gt;0,"Revision due",IF(COUNTIFS(Submissions!$A:$A,A111,Submissions!$E:$E,"Under review")&gt;0,"Under review",IF(I111&gt;0,"Needs resubmission","Not yet submitted"))))))</f>
        <v/>
      </c>
      <c r="H111" s="13">
        <f>IF(A111="","",IFERROR(INDEX(Submissions!$B:$B,MATCH(A111&amp;"|Under review",Submissions!$Q:$Q,0)),""))</f>
        <v/>
      </c>
      <c r="I111" s="13">
        <f>IF(A111="","",COUNTIFS(Submissions!$A:$A,A111,Submissions!$B:$B,"&lt;&gt;",Submissions!$E:$E,"&lt;&gt;Planned"))</f>
        <v/>
      </c>
      <c r="J111" s="13">
        <f>IF(A111="","",COUNTIFS(Submissions!$A:$A,A111,Submissions!$E:$E,"Rejected"))</f>
        <v/>
      </c>
      <c r="K111" s="13">
        <f>IF(A111="","",IFERROR(INDEX(Submissions!$B:$B,MATCH(A111&amp;"|Planned",Submissions!$Q:$Q,0)),""))</f>
        <v/>
      </c>
      <c r="L111" s="11" t="n"/>
      <c r="M111" s="13" t="n"/>
      <c r="N111" s="13" t="n"/>
      <c r="O111" s="13">
        <f>IF(OR(G111="Revision due",G111="Needs resubmission",G111="Not yet submitted"),COUNTIF($G$2:$G$200,"Revision due")*(G111&lt;&gt;"Revision due")+COUNTIF($G$2:$G$200,"Needs resubmission")*(G111="Not yet submitted")+COUNTIFS($G$2:G111,G111),"")</f>
        <v/>
      </c>
    </row>
    <row r="112">
      <c r="A112" s="13" t="n"/>
      <c r="B112" s="11" t="n"/>
      <c r="C112" s="13" t="n"/>
      <c r="D112" s="13" t="n"/>
      <c r="E112" s="13" t="n"/>
      <c r="F112" s="11" t="n"/>
      <c r="G112" s="13">
        <f>IF(A112="","",IF(E112&lt;&gt;"",E112,IF(COUNTIFS(Submissions!$A:$A,A112,Submissions!$E:$E,"Accepted")&gt;0,"Accepted",IF(COUNTIFS(Submissions!$A:$A,A112,Submissions!$E:$E,"Revision requested")&gt;0,"Revision due",IF(COUNTIFS(Submissions!$A:$A,A112,Submissions!$E:$E,"Under review")&gt;0,"Under review",IF(I112&gt;0,"Needs resubmission","Not yet submitted"))))))</f>
        <v/>
      </c>
      <c r="H112" s="13">
        <f>IF(A112="","",IFERROR(INDEX(Submissions!$B:$B,MATCH(A112&amp;"|Under review",Submissions!$Q:$Q,0)),""))</f>
        <v/>
      </c>
      <c r="I112" s="13">
        <f>IF(A112="","",COUNTIFS(Submissions!$A:$A,A112,Submissions!$B:$B,"&lt;&gt;",Submissions!$E:$E,"&lt;&gt;Planned"))</f>
        <v/>
      </c>
      <c r="J112" s="13">
        <f>IF(A112="","",COUNTIFS(Submissions!$A:$A,A112,Submissions!$E:$E,"Rejected"))</f>
        <v/>
      </c>
      <c r="K112" s="13">
        <f>IF(A112="","",IFERROR(INDEX(Submissions!$B:$B,MATCH(A112&amp;"|Planned",Submissions!$Q:$Q,0)),""))</f>
        <v/>
      </c>
      <c r="L112" s="11" t="n"/>
      <c r="M112" s="13" t="n"/>
      <c r="N112" s="13" t="n"/>
      <c r="O112" s="13">
        <f>IF(OR(G112="Revision due",G112="Needs resubmission",G112="Not yet submitted"),COUNTIF($G$2:$G$200,"Revision due")*(G112&lt;&gt;"Revision due")+COUNTIF($G$2:$G$200,"Needs resubmission")*(G112="Not yet submitted")+COUNTIFS($G$2:G112,G112),"")</f>
        <v/>
      </c>
    </row>
    <row r="113">
      <c r="A113" s="13" t="n"/>
      <c r="B113" s="11" t="n"/>
      <c r="C113" s="13" t="n"/>
      <c r="D113" s="13" t="n"/>
      <c r="E113" s="13" t="n"/>
      <c r="F113" s="11" t="n"/>
      <c r="G113" s="13">
        <f>IF(A113="","",IF(E113&lt;&gt;"",E113,IF(COUNTIFS(Submissions!$A:$A,A113,Submissions!$E:$E,"Accepted")&gt;0,"Accepted",IF(COUNTIFS(Submissions!$A:$A,A113,Submissions!$E:$E,"Revision requested")&gt;0,"Revision due",IF(COUNTIFS(Submissions!$A:$A,A113,Submissions!$E:$E,"Under review")&gt;0,"Under review",IF(I113&gt;0,"Needs resubmission","Not yet submitted"))))))</f>
        <v/>
      </c>
      <c r="H113" s="13">
        <f>IF(A113="","",IFERROR(INDEX(Submissions!$B:$B,MATCH(A113&amp;"|Under review",Submissions!$Q:$Q,0)),""))</f>
        <v/>
      </c>
      <c r="I113" s="13">
        <f>IF(A113="","",COUNTIFS(Submissions!$A:$A,A113,Submissions!$B:$B,"&lt;&gt;",Submissions!$E:$E,"&lt;&gt;Planned"))</f>
        <v/>
      </c>
      <c r="J113" s="13">
        <f>IF(A113="","",COUNTIFS(Submissions!$A:$A,A113,Submissions!$E:$E,"Rejected"))</f>
        <v/>
      </c>
      <c r="K113" s="13">
        <f>IF(A113="","",IFERROR(INDEX(Submissions!$B:$B,MATCH(A113&amp;"|Planned",Submissions!$Q:$Q,0)),""))</f>
        <v/>
      </c>
      <c r="L113" s="11" t="n"/>
      <c r="M113" s="13" t="n"/>
      <c r="N113" s="13" t="n"/>
      <c r="O113" s="13">
        <f>IF(OR(G113="Revision due",G113="Needs resubmission",G113="Not yet submitted"),COUNTIF($G$2:$G$200,"Revision due")*(G113&lt;&gt;"Revision due")+COUNTIF($G$2:$G$200,"Needs resubmission")*(G113="Not yet submitted")+COUNTIFS($G$2:G113,G113),"")</f>
        <v/>
      </c>
    </row>
    <row r="114">
      <c r="A114" s="13" t="n"/>
      <c r="B114" s="11" t="n"/>
      <c r="C114" s="13" t="n"/>
      <c r="D114" s="13" t="n"/>
      <c r="E114" s="13" t="n"/>
      <c r="F114" s="11" t="n"/>
      <c r="G114" s="13">
        <f>IF(A114="","",IF(E114&lt;&gt;"",E114,IF(COUNTIFS(Submissions!$A:$A,A114,Submissions!$E:$E,"Accepted")&gt;0,"Accepted",IF(COUNTIFS(Submissions!$A:$A,A114,Submissions!$E:$E,"Revision requested")&gt;0,"Revision due",IF(COUNTIFS(Submissions!$A:$A,A114,Submissions!$E:$E,"Under review")&gt;0,"Under review",IF(I114&gt;0,"Needs resubmission","Not yet submitted"))))))</f>
        <v/>
      </c>
      <c r="H114" s="13">
        <f>IF(A114="","",IFERROR(INDEX(Submissions!$B:$B,MATCH(A114&amp;"|Under review",Submissions!$Q:$Q,0)),""))</f>
        <v/>
      </c>
      <c r="I114" s="13">
        <f>IF(A114="","",COUNTIFS(Submissions!$A:$A,A114,Submissions!$B:$B,"&lt;&gt;",Submissions!$E:$E,"&lt;&gt;Planned"))</f>
        <v/>
      </c>
      <c r="J114" s="13">
        <f>IF(A114="","",COUNTIFS(Submissions!$A:$A,A114,Submissions!$E:$E,"Rejected"))</f>
        <v/>
      </c>
      <c r="K114" s="13">
        <f>IF(A114="","",IFERROR(INDEX(Submissions!$B:$B,MATCH(A114&amp;"|Planned",Submissions!$Q:$Q,0)),""))</f>
        <v/>
      </c>
      <c r="L114" s="11" t="n"/>
      <c r="M114" s="13" t="n"/>
      <c r="N114" s="13" t="n"/>
      <c r="O114" s="13">
        <f>IF(OR(G114="Revision due",G114="Needs resubmission",G114="Not yet submitted"),COUNTIF($G$2:$G$200,"Revision due")*(G114&lt;&gt;"Revision due")+COUNTIF($G$2:$G$200,"Needs resubmission")*(G114="Not yet submitted")+COUNTIFS($G$2:G114,G114),"")</f>
        <v/>
      </c>
    </row>
    <row r="115">
      <c r="A115" s="13" t="n"/>
      <c r="B115" s="11" t="n"/>
      <c r="C115" s="13" t="n"/>
      <c r="D115" s="13" t="n"/>
      <c r="E115" s="13" t="n"/>
      <c r="F115" s="11" t="n"/>
      <c r="G115" s="13">
        <f>IF(A115="","",IF(E115&lt;&gt;"",E115,IF(COUNTIFS(Submissions!$A:$A,A115,Submissions!$E:$E,"Accepted")&gt;0,"Accepted",IF(COUNTIFS(Submissions!$A:$A,A115,Submissions!$E:$E,"Revision requested")&gt;0,"Revision due",IF(COUNTIFS(Submissions!$A:$A,A115,Submissions!$E:$E,"Under review")&gt;0,"Under review",IF(I115&gt;0,"Needs resubmission","Not yet submitted"))))))</f>
        <v/>
      </c>
      <c r="H115" s="13">
        <f>IF(A115="","",IFERROR(INDEX(Submissions!$B:$B,MATCH(A115&amp;"|Under review",Submissions!$Q:$Q,0)),""))</f>
        <v/>
      </c>
      <c r="I115" s="13">
        <f>IF(A115="","",COUNTIFS(Submissions!$A:$A,A115,Submissions!$B:$B,"&lt;&gt;",Submissions!$E:$E,"&lt;&gt;Planned"))</f>
        <v/>
      </c>
      <c r="J115" s="13">
        <f>IF(A115="","",COUNTIFS(Submissions!$A:$A,A115,Submissions!$E:$E,"Rejected"))</f>
        <v/>
      </c>
      <c r="K115" s="13">
        <f>IF(A115="","",IFERROR(INDEX(Submissions!$B:$B,MATCH(A115&amp;"|Planned",Submissions!$Q:$Q,0)),""))</f>
        <v/>
      </c>
      <c r="L115" s="11" t="n"/>
      <c r="M115" s="13" t="n"/>
      <c r="N115" s="13" t="n"/>
      <c r="O115" s="13">
        <f>IF(OR(G115="Revision due",G115="Needs resubmission",G115="Not yet submitted"),COUNTIF($G$2:$G$200,"Revision due")*(G115&lt;&gt;"Revision due")+COUNTIF($G$2:$G$200,"Needs resubmission")*(G115="Not yet submitted")+COUNTIFS($G$2:G115,G115),"")</f>
        <v/>
      </c>
    </row>
    <row r="116">
      <c r="A116" s="13" t="n"/>
      <c r="B116" s="11" t="n"/>
      <c r="C116" s="13" t="n"/>
      <c r="D116" s="13" t="n"/>
      <c r="E116" s="13" t="n"/>
      <c r="F116" s="11" t="n"/>
      <c r="G116" s="13">
        <f>IF(A116="","",IF(E116&lt;&gt;"",E116,IF(COUNTIFS(Submissions!$A:$A,A116,Submissions!$E:$E,"Accepted")&gt;0,"Accepted",IF(COUNTIFS(Submissions!$A:$A,A116,Submissions!$E:$E,"Revision requested")&gt;0,"Revision due",IF(COUNTIFS(Submissions!$A:$A,A116,Submissions!$E:$E,"Under review")&gt;0,"Under review",IF(I116&gt;0,"Needs resubmission","Not yet submitted"))))))</f>
        <v/>
      </c>
      <c r="H116" s="13">
        <f>IF(A116="","",IFERROR(INDEX(Submissions!$B:$B,MATCH(A116&amp;"|Under review",Submissions!$Q:$Q,0)),""))</f>
        <v/>
      </c>
      <c r="I116" s="13">
        <f>IF(A116="","",COUNTIFS(Submissions!$A:$A,A116,Submissions!$B:$B,"&lt;&gt;",Submissions!$E:$E,"&lt;&gt;Planned"))</f>
        <v/>
      </c>
      <c r="J116" s="13">
        <f>IF(A116="","",COUNTIFS(Submissions!$A:$A,A116,Submissions!$E:$E,"Rejected"))</f>
        <v/>
      </c>
      <c r="K116" s="13">
        <f>IF(A116="","",IFERROR(INDEX(Submissions!$B:$B,MATCH(A116&amp;"|Planned",Submissions!$Q:$Q,0)),""))</f>
        <v/>
      </c>
      <c r="L116" s="11" t="n"/>
      <c r="M116" s="13" t="n"/>
      <c r="N116" s="13" t="n"/>
      <c r="O116" s="13">
        <f>IF(OR(G116="Revision due",G116="Needs resubmission",G116="Not yet submitted"),COUNTIF($G$2:$G$200,"Revision due")*(G116&lt;&gt;"Revision due")+COUNTIF($G$2:$G$200,"Needs resubmission")*(G116="Not yet submitted")+COUNTIFS($G$2:G116,G116),"")</f>
        <v/>
      </c>
    </row>
    <row r="117">
      <c r="A117" s="13" t="n"/>
      <c r="B117" s="11" t="n"/>
      <c r="C117" s="13" t="n"/>
      <c r="D117" s="13" t="n"/>
      <c r="E117" s="13" t="n"/>
      <c r="F117" s="11" t="n"/>
      <c r="G117" s="13">
        <f>IF(A117="","",IF(E117&lt;&gt;"",E117,IF(COUNTIFS(Submissions!$A:$A,A117,Submissions!$E:$E,"Accepted")&gt;0,"Accepted",IF(COUNTIFS(Submissions!$A:$A,A117,Submissions!$E:$E,"Revision requested")&gt;0,"Revision due",IF(COUNTIFS(Submissions!$A:$A,A117,Submissions!$E:$E,"Under review")&gt;0,"Under review",IF(I117&gt;0,"Needs resubmission","Not yet submitted"))))))</f>
        <v/>
      </c>
      <c r="H117" s="13">
        <f>IF(A117="","",IFERROR(INDEX(Submissions!$B:$B,MATCH(A117&amp;"|Under review",Submissions!$Q:$Q,0)),""))</f>
        <v/>
      </c>
      <c r="I117" s="13">
        <f>IF(A117="","",COUNTIFS(Submissions!$A:$A,A117,Submissions!$B:$B,"&lt;&gt;",Submissions!$E:$E,"&lt;&gt;Planned"))</f>
        <v/>
      </c>
      <c r="J117" s="13">
        <f>IF(A117="","",COUNTIFS(Submissions!$A:$A,A117,Submissions!$E:$E,"Rejected"))</f>
        <v/>
      </c>
      <c r="K117" s="13">
        <f>IF(A117="","",IFERROR(INDEX(Submissions!$B:$B,MATCH(A117&amp;"|Planned",Submissions!$Q:$Q,0)),""))</f>
        <v/>
      </c>
      <c r="L117" s="11" t="n"/>
      <c r="M117" s="13" t="n"/>
      <c r="N117" s="13" t="n"/>
      <c r="O117" s="13">
        <f>IF(OR(G117="Revision due",G117="Needs resubmission",G117="Not yet submitted"),COUNTIF($G$2:$G$200,"Revision due")*(G117&lt;&gt;"Revision due")+COUNTIF($G$2:$G$200,"Needs resubmission")*(G117="Not yet submitted")+COUNTIFS($G$2:G117,G117),"")</f>
        <v/>
      </c>
    </row>
    <row r="118">
      <c r="A118" s="13" t="n"/>
      <c r="B118" s="11" t="n"/>
      <c r="C118" s="13" t="n"/>
      <c r="D118" s="13" t="n"/>
      <c r="E118" s="13" t="n"/>
      <c r="F118" s="11" t="n"/>
      <c r="G118" s="13">
        <f>IF(A118="","",IF(E118&lt;&gt;"",E118,IF(COUNTIFS(Submissions!$A:$A,A118,Submissions!$E:$E,"Accepted")&gt;0,"Accepted",IF(COUNTIFS(Submissions!$A:$A,A118,Submissions!$E:$E,"Revision requested")&gt;0,"Revision due",IF(COUNTIFS(Submissions!$A:$A,A118,Submissions!$E:$E,"Under review")&gt;0,"Under review",IF(I118&gt;0,"Needs resubmission","Not yet submitted"))))))</f>
        <v/>
      </c>
      <c r="H118" s="13">
        <f>IF(A118="","",IFERROR(INDEX(Submissions!$B:$B,MATCH(A118&amp;"|Under review",Submissions!$Q:$Q,0)),""))</f>
        <v/>
      </c>
      <c r="I118" s="13">
        <f>IF(A118="","",COUNTIFS(Submissions!$A:$A,A118,Submissions!$B:$B,"&lt;&gt;",Submissions!$E:$E,"&lt;&gt;Planned"))</f>
        <v/>
      </c>
      <c r="J118" s="13">
        <f>IF(A118="","",COUNTIFS(Submissions!$A:$A,A118,Submissions!$E:$E,"Rejected"))</f>
        <v/>
      </c>
      <c r="K118" s="13">
        <f>IF(A118="","",IFERROR(INDEX(Submissions!$B:$B,MATCH(A118&amp;"|Planned",Submissions!$Q:$Q,0)),""))</f>
        <v/>
      </c>
      <c r="L118" s="11" t="n"/>
      <c r="M118" s="13" t="n"/>
      <c r="N118" s="13" t="n"/>
      <c r="O118" s="13">
        <f>IF(OR(G118="Revision due",G118="Needs resubmission",G118="Not yet submitted"),COUNTIF($G$2:$G$200,"Revision due")*(G118&lt;&gt;"Revision due")+COUNTIF($G$2:$G$200,"Needs resubmission")*(G118="Not yet submitted")+COUNTIFS($G$2:G118,G118),"")</f>
        <v/>
      </c>
    </row>
    <row r="119">
      <c r="A119" s="13" t="n"/>
      <c r="B119" s="11" t="n"/>
      <c r="C119" s="13" t="n"/>
      <c r="D119" s="13" t="n"/>
      <c r="E119" s="13" t="n"/>
      <c r="F119" s="11" t="n"/>
      <c r="G119" s="13">
        <f>IF(A119="","",IF(E119&lt;&gt;"",E119,IF(COUNTIFS(Submissions!$A:$A,A119,Submissions!$E:$E,"Accepted")&gt;0,"Accepted",IF(COUNTIFS(Submissions!$A:$A,A119,Submissions!$E:$E,"Revision requested")&gt;0,"Revision due",IF(COUNTIFS(Submissions!$A:$A,A119,Submissions!$E:$E,"Under review")&gt;0,"Under review",IF(I119&gt;0,"Needs resubmission","Not yet submitted"))))))</f>
        <v/>
      </c>
      <c r="H119" s="13">
        <f>IF(A119="","",IFERROR(INDEX(Submissions!$B:$B,MATCH(A119&amp;"|Under review",Submissions!$Q:$Q,0)),""))</f>
        <v/>
      </c>
      <c r="I119" s="13">
        <f>IF(A119="","",COUNTIFS(Submissions!$A:$A,A119,Submissions!$B:$B,"&lt;&gt;",Submissions!$E:$E,"&lt;&gt;Planned"))</f>
        <v/>
      </c>
      <c r="J119" s="13">
        <f>IF(A119="","",COUNTIFS(Submissions!$A:$A,A119,Submissions!$E:$E,"Rejected"))</f>
        <v/>
      </c>
      <c r="K119" s="13">
        <f>IF(A119="","",IFERROR(INDEX(Submissions!$B:$B,MATCH(A119&amp;"|Planned",Submissions!$Q:$Q,0)),""))</f>
        <v/>
      </c>
      <c r="L119" s="11" t="n"/>
      <c r="M119" s="13" t="n"/>
      <c r="N119" s="13" t="n"/>
      <c r="O119" s="13">
        <f>IF(OR(G119="Revision due",G119="Needs resubmission",G119="Not yet submitted"),COUNTIF($G$2:$G$200,"Revision due")*(G119&lt;&gt;"Revision due")+COUNTIF($G$2:$G$200,"Needs resubmission")*(G119="Not yet submitted")+COUNTIFS($G$2:G119,G119),"")</f>
        <v/>
      </c>
    </row>
    <row r="120">
      <c r="A120" s="13" t="n"/>
      <c r="B120" s="11" t="n"/>
      <c r="C120" s="13" t="n"/>
      <c r="D120" s="13" t="n"/>
      <c r="E120" s="13" t="n"/>
      <c r="F120" s="11" t="n"/>
      <c r="G120" s="13">
        <f>IF(A120="","",IF(E120&lt;&gt;"",E120,IF(COUNTIFS(Submissions!$A:$A,A120,Submissions!$E:$E,"Accepted")&gt;0,"Accepted",IF(COUNTIFS(Submissions!$A:$A,A120,Submissions!$E:$E,"Revision requested")&gt;0,"Revision due",IF(COUNTIFS(Submissions!$A:$A,A120,Submissions!$E:$E,"Under review")&gt;0,"Under review",IF(I120&gt;0,"Needs resubmission","Not yet submitted"))))))</f>
        <v/>
      </c>
      <c r="H120" s="13">
        <f>IF(A120="","",IFERROR(INDEX(Submissions!$B:$B,MATCH(A120&amp;"|Under review",Submissions!$Q:$Q,0)),""))</f>
        <v/>
      </c>
      <c r="I120" s="13">
        <f>IF(A120="","",COUNTIFS(Submissions!$A:$A,A120,Submissions!$B:$B,"&lt;&gt;",Submissions!$E:$E,"&lt;&gt;Planned"))</f>
        <v/>
      </c>
      <c r="J120" s="13">
        <f>IF(A120="","",COUNTIFS(Submissions!$A:$A,A120,Submissions!$E:$E,"Rejected"))</f>
        <v/>
      </c>
      <c r="K120" s="13">
        <f>IF(A120="","",IFERROR(INDEX(Submissions!$B:$B,MATCH(A120&amp;"|Planned",Submissions!$Q:$Q,0)),""))</f>
        <v/>
      </c>
      <c r="L120" s="11" t="n"/>
      <c r="M120" s="13" t="n"/>
      <c r="N120" s="13" t="n"/>
      <c r="O120" s="13">
        <f>IF(OR(G120="Revision due",G120="Needs resubmission",G120="Not yet submitted"),COUNTIF($G$2:$G$200,"Revision due")*(G120&lt;&gt;"Revision due")+COUNTIF($G$2:$G$200,"Needs resubmission")*(G120="Not yet submitted")+COUNTIFS($G$2:G120,G120),"")</f>
        <v/>
      </c>
    </row>
    <row r="121">
      <c r="A121" s="13" t="n"/>
      <c r="B121" s="11" t="n"/>
      <c r="C121" s="13" t="n"/>
      <c r="D121" s="13" t="n"/>
      <c r="E121" s="13" t="n"/>
      <c r="F121" s="11" t="n"/>
      <c r="G121" s="13">
        <f>IF(A121="","",IF(E121&lt;&gt;"",E121,IF(COUNTIFS(Submissions!$A:$A,A121,Submissions!$E:$E,"Accepted")&gt;0,"Accepted",IF(COUNTIFS(Submissions!$A:$A,A121,Submissions!$E:$E,"Revision requested")&gt;0,"Revision due",IF(COUNTIFS(Submissions!$A:$A,A121,Submissions!$E:$E,"Under review")&gt;0,"Under review",IF(I121&gt;0,"Needs resubmission","Not yet submitted"))))))</f>
        <v/>
      </c>
      <c r="H121" s="13">
        <f>IF(A121="","",IFERROR(INDEX(Submissions!$B:$B,MATCH(A121&amp;"|Under review",Submissions!$Q:$Q,0)),""))</f>
        <v/>
      </c>
      <c r="I121" s="13">
        <f>IF(A121="","",COUNTIFS(Submissions!$A:$A,A121,Submissions!$B:$B,"&lt;&gt;",Submissions!$E:$E,"&lt;&gt;Planned"))</f>
        <v/>
      </c>
      <c r="J121" s="13">
        <f>IF(A121="","",COUNTIFS(Submissions!$A:$A,A121,Submissions!$E:$E,"Rejected"))</f>
        <v/>
      </c>
      <c r="K121" s="13">
        <f>IF(A121="","",IFERROR(INDEX(Submissions!$B:$B,MATCH(A121&amp;"|Planned",Submissions!$Q:$Q,0)),""))</f>
        <v/>
      </c>
      <c r="L121" s="11" t="n"/>
      <c r="M121" s="13" t="n"/>
      <c r="N121" s="13" t="n"/>
      <c r="O121" s="13">
        <f>IF(OR(G121="Revision due",G121="Needs resubmission",G121="Not yet submitted"),COUNTIF($G$2:$G$200,"Revision due")*(G121&lt;&gt;"Revision due")+COUNTIF($G$2:$G$200,"Needs resubmission")*(G121="Not yet submitted")+COUNTIFS($G$2:G121,G121),"")</f>
        <v/>
      </c>
    </row>
    <row r="122">
      <c r="A122" s="13" t="n"/>
      <c r="B122" s="11" t="n"/>
      <c r="C122" s="13" t="n"/>
      <c r="D122" s="13" t="n"/>
      <c r="E122" s="13" t="n"/>
      <c r="F122" s="11" t="n"/>
      <c r="G122" s="13">
        <f>IF(A122="","",IF(E122&lt;&gt;"",E122,IF(COUNTIFS(Submissions!$A:$A,A122,Submissions!$E:$E,"Accepted")&gt;0,"Accepted",IF(COUNTIFS(Submissions!$A:$A,A122,Submissions!$E:$E,"Revision requested")&gt;0,"Revision due",IF(COUNTIFS(Submissions!$A:$A,A122,Submissions!$E:$E,"Under review")&gt;0,"Under review",IF(I122&gt;0,"Needs resubmission","Not yet submitted"))))))</f>
        <v/>
      </c>
      <c r="H122" s="13">
        <f>IF(A122="","",IFERROR(INDEX(Submissions!$B:$B,MATCH(A122&amp;"|Under review",Submissions!$Q:$Q,0)),""))</f>
        <v/>
      </c>
      <c r="I122" s="13">
        <f>IF(A122="","",COUNTIFS(Submissions!$A:$A,A122,Submissions!$B:$B,"&lt;&gt;",Submissions!$E:$E,"&lt;&gt;Planned"))</f>
        <v/>
      </c>
      <c r="J122" s="13">
        <f>IF(A122="","",COUNTIFS(Submissions!$A:$A,A122,Submissions!$E:$E,"Rejected"))</f>
        <v/>
      </c>
      <c r="K122" s="13">
        <f>IF(A122="","",IFERROR(INDEX(Submissions!$B:$B,MATCH(A122&amp;"|Planned",Submissions!$Q:$Q,0)),""))</f>
        <v/>
      </c>
      <c r="L122" s="11" t="n"/>
      <c r="M122" s="13" t="n"/>
      <c r="N122" s="13" t="n"/>
      <c r="O122" s="13">
        <f>IF(OR(G122="Revision due",G122="Needs resubmission",G122="Not yet submitted"),COUNTIF($G$2:$G$200,"Revision due")*(G122&lt;&gt;"Revision due")+COUNTIF($G$2:$G$200,"Needs resubmission")*(G122="Not yet submitted")+COUNTIFS($G$2:G122,G122),"")</f>
        <v/>
      </c>
    </row>
    <row r="123">
      <c r="A123" s="13" t="n"/>
      <c r="B123" s="11" t="n"/>
      <c r="C123" s="13" t="n"/>
      <c r="D123" s="13" t="n"/>
      <c r="E123" s="13" t="n"/>
      <c r="F123" s="11" t="n"/>
      <c r="G123" s="13">
        <f>IF(A123="","",IF(E123&lt;&gt;"",E123,IF(COUNTIFS(Submissions!$A:$A,A123,Submissions!$E:$E,"Accepted")&gt;0,"Accepted",IF(COUNTIFS(Submissions!$A:$A,A123,Submissions!$E:$E,"Revision requested")&gt;0,"Revision due",IF(COUNTIFS(Submissions!$A:$A,A123,Submissions!$E:$E,"Under review")&gt;0,"Under review",IF(I123&gt;0,"Needs resubmission","Not yet submitted"))))))</f>
        <v/>
      </c>
      <c r="H123" s="13">
        <f>IF(A123="","",IFERROR(INDEX(Submissions!$B:$B,MATCH(A123&amp;"|Under review",Submissions!$Q:$Q,0)),""))</f>
        <v/>
      </c>
      <c r="I123" s="13">
        <f>IF(A123="","",COUNTIFS(Submissions!$A:$A,A123,Submissions!$B:$B,"&lt;&gt;",Submissions!$E:$E,"&lt;&gt;Planned"))</f>
        <v/>
      </c>
      <c r="J123" s="13">
        <f>IF(A123="","",COUNTIFS(Submissions!$A:$A,A123,Submissions!$E:$E,"Rejected"))</f>
        <v/>
      </c>
      <c r="K123" s="13">
        <f>IF(A123="","",IFERROR(INDEX(Submissions!$B:$B,MATCH(A123&amp;"|Planned",Submissions!$Q:$Q,0)),""))</f>
        <v/>
      </c>
      <c r="L123" s="11" t="n"/>
      <c r="M123" s="13" t="n"/>
      <c r="N123" s="13" t="n"/>
      <c r="O123" s="13">
        <f>IF(OR(G123="Revision due",G123="Needs resubmission",G123="Not yet submitted"),COUNTIF($G$2:$G$200,"Revision due")*(G123&lt;&gt;"Revision due")+COUNTIF($G$2:$G$200,"Needs resubmission")*(G123="Not yet submitted")+COUNTIFS($G$2:G123,G123),"")</f>
        <v/>
      </c>
    </row>
    <row r="124">
      <c r="A124" s="13" t="n"/>
      <c r="B124" s="11" t="n"/>
      <c r="C124" s="13" t="n"/>
      <c r="D124" s="13" t="n"/>
      <c r="E124" s="13" t="n"/>
      <c r="F124" s="11" t="n"/>
      <c r="G124" s="13">
        <f>IF(A124="","",IF(E124&lt;&gt;"",E124,IF(COUNTIFS(Submissions!$A:$A,A124,Submissions!$E:$E,"Accepted")&gt;0,"Accepted",IF(COUNTIFS(Submissions!$A:$A,A124,Submissions!$E:$E,"Revision requested")&gt;0,"Revision due",IF(COUNTIFS(Submissions!$A:$A,A124,Submissions!$E:$E,"Under review")&gt;0,"Under review",IF(I124&gt;0,"Needs resubmission","Not yet submitted"))))))</f>
        <v/>
      </c>
      <c r="H124" s="13">
        <f>IF(A124="","",IFERROR(INDEX(Submissions!$B:$B,MATCH(A124&amp;"|Under review",Submissions!$Q:$Q,0)),""))</f>
        <v/>
      </c>
      <c r="I124" s="13">
        <f>IF(A124="","",COUNTIFS(Submissions!$A:$A,A124,Submissions!$B:$B,"&lt;&gt;",Submissions!$E:$E,"&lt;&gt;Planned"))</f>
        <v/>
      </c>
      <c r="J124" s="13">
        <f>IF(A124="","",COUNTIFS(Submissions!$A:$A,A124,Submissions!$E:$E,"Rejected"))</f>
        <v/>
      </c>
      <c r="K124" s="13">
        <f>IF(A124="","",IFERROR(INDEX(Submissions!$B:$B,MATCH(A124&amp;"|Planned",Submissions!$Q:$Q,0)),""))</f>
        <v/>
      </c>
      <c r="L124" s="11" t="n"/>
      <c r="M124" s="13" t="n"/>
      <c r="N124" s="13" t="n"/>
      <c r="O124" s="13">
        <f>IF(OR(G124="Revision due",G124="Needs resubmission",G124="Not yet submitted"),COUNTIF($G$2:$G$200,"Revision due")*(G124&lt;&gt;"Revision due")+COUNTIF($G$2:$G$200,"Needs resubmission")*(G124="Not yet submitted")+COUNTIFS($G$2:G124,G124),"")</f>
        <v/>
      </c>
    </row>
    <row r="125">
      <c r="A125" s="13" t="n"/>
      <c r="B125" s="11" t="n"/>
      <c r="C125" s="13" t="n"/>
      <c r="D125" s="13" t="n"/>
      <c r="E125" s="13" t="n"/>
      <c r="F125" s="11" t="n"/>
      <c r="G125" s="13">
        <f>IF(A125="","",IF(E125&lt;&gt;"",E125,IF(COUNTIFS(Submissions!$A:$A,A125,Submissions!$E:$E,"Accepted")&gt;0,"Accepted",IF(COUNTIFS(Submissions!$A:$A,A125,Submissions!$E:$E,"Revision requested")&gt;0,"Revision due",IF(COUNTIFS(Submissions!$A:$A,A125,Submissions!$E:$E,"Under review")&gt;0,"Under review",IF(I125&gt;0,"Needs resubmission","Not yet submitted"))))))</f>
        <v/>
      </c>
      <c r="H125" s="13">
        <f>IF(A125="","",IFERROR(INDEX(Submissions!$B:$B,MATCH(A125&amp;"|Under review",Submissions!$Q:$Q,0)),""))</f>
        <v/>
      </c>
      <c r="I125" s="13">
        <f>IF(A125="","",COUNTIFS(Submissions!$A:$A,A125,Submissions!$B:$B,"&lt;&gt;",Submissions!$E:$E,"&lt;&gt;Planned"))</f>
        <v/>
      </c>
      <c r="J125" s="13">
        <f>IF(A125="","",COUNTIFS(Submissions!$A:$A,A125,Submissions!$E:$E,"Rejected"))</f>
        <v/>
      </c>
      <c r="K125" s="13">
        <f>IF(A125="","",IFERROR(INDEX(Submissions!$B:$B,MATCH(A125&amp;"|Planned",Submissions!$Q:$Q,0)),""))</f>
        <v/>
      </c>
      <c r="L125" s="11" t="n"/>
      <c r="M125" s="13" t="n"/>
      <c r="N125" s="13" t="n"/>
      <c r="O125" s="13">
        <f>IF(OR(G125="Revision due",G125="Needs resubmission",G125="Not yet submitted"),COUNTIF($G$2:$G$200,"Revision due")*(G125&lt;&gt;"Revision due")+COUNTIF($G$2:$G$200,"Needs resubmission")*(G125="Not yet submitted")+COUNTIFS($G$2:G125,G125),"")</f>
        <v/>
      </c>
    </row>
    <row r="126">
      <c r="A126" s="13" t="n"/>
      <c r="B126" s="11" t="n"/>
      <c r="C126" s="13" t="n"/>
      <c r="D126" s="13" t="n"/>
      <c r="E126" s="13" t="n"/>
      <c r="F126" s="11" t="n"/>
      <c r="G126" s="13">
        <f>IF(A126="","",IF(E126&lt;&gt;"",E126,IF(COUNTIFS(Submissions!$A:$A,A126,Submissions!$E:$E,"Accepted")&gt;0,"Accepted",IF(COUNTIFS(Submissions!$A:$A,A126,Submissions!$E:$E,"Revision requested")&gt;0,"Revision due",IF(COUNTIFS(Submissions!$A:$A,A126,Submissions!$E:$E,"Under review")&gt;0,"Under review",IF(I126&gt;0,"Needs resubmission","Not yet submitted"))))))</f>
        <v/>
      </c>
      <c r="H126" s="13">
        <f>IF(A126="","",IFERROR(INDEX(Submissions!$B:$B,MATCH(A126&amp;"|Under review",Submissions!$Q:$Q,0)),""))</f>
        <v/>
      </c>
      <c r="I126" s="13">
        <f>IF(A126="","",COUNTIFS(Submissions!$A:$A,A126,Submissions!$B:$B,"&lt;&gt;",Submissions!$E:$E,"&lt;&gt;Planned"))</f>
        <v/>
      </c>
      <c r="J126" s="13">
        <f>IF(A126="","",COUNTIFS(Submissions!$A:$A,A126,Submissions!$E:$E,"Rejected"))</f>
        <v/>
      </c>
      <c r="K126" s="13">
        <f>IF(A126="","",IFERROR(INDEX(Submissions!$B:$B,MATCH(A126&amp;"|Planned",Submissions!$Q:$Q,0)),""))</f>
        <v/>
      </c>
      <c r="L126" s="11" t="n"/>
      <c r="M126" s="13" t="n"/>
      <c r="N126" s="13" t="n"/>
      <c r="O126" s="13">
        <f>IF(OR(G126="Revision due",G126="Needs resubmission",G126="Not yet submitted"),COUNTIF($G$2:$G$200,"Revision due")*(G126&lt;&gt;"Revision due")+COUNTIF($G$2:$G$200,"Needs resubmission")*(G126="Not yet submitted")+COUNTIFS($G$2:G126,G126),"")</f>
        <v/>
      </c>
    </row>
    <row r="127">
      <c r="A127" s="13" t="n"/>
      <c r="B127" s="11" t="n"/>
      <c r="C127" s="13" t="n"/>
      <c r="D127" s="13" t="n"/>
      <c r="E127" s="13" t="n"/>
      <c r="F127" s="11" t="n"/>
      <c r="G127" s="13">
        <f>IF(A127="","",IF(E127&lt;&gt;"",E127,IF(COUNTIFS(Submissions!$A:$A,A127,Submissions!$E:$E,"Accepted")&gt;0,"Accepted",IF(COUNTIFS(Submissions!$A:$A,A127,Submissions!$E:$E,"Revision requested")&gt;0,"Revision due",IF(COUNTIFS(Submissions!$A:$A,A127,Submissions!$E:$E,"Under review")&gt;0,"Under review",IF(I127&gt;0,"Needs resubmission","Not yet submitted"))))))</f>
        <v/>
      </c>
      <c r="H127" s="13">
        <f>IF(A127="","",IFERROR(INDEX(Submissions!$B:$B,MATCH(A127&amp;"|Under review",Submissions!$Q:$Q,0)),""))</f>
        <v/>
      </c>
      <c r="I127" s="13">
        <f>IF(A127="","",COUNTIFS(Submissions!$A:$A,A127,Submissions!$B:$B,"&lt;&gt;",Submissions!$E:$E,"&lt;&gt;Planned"))</f>
        <v/>
      </c>
      <c r="J127" s="13">
        <f>IF(A127="","",COUNTIFS(Submissions!$A:$A,A127,Submissions!$E:$E,"Rejected"))</f>
        <v/>
      </c>
      <c r="K127" s="13">
        <f>IF(A127="","",IFERROR(INDEX(Submissions!$B:$B,MATCH(A127&amp;"|Planned",Submissions!$Q:$Q,0)),""))</f>
        <v/>
      </c>
      <c r="L127" s="11" t="n"/>
      <c r="M127" s="13" t="n"/>
      <c r="N127" s="13" t="n"/>
      <c r="O127" s="13">
        <f>IF(OR(G127="Revision due",G127="Needs resubmission",G127="Not yet submitted"),COUNTIF($G$2:$G$200,"Revision due")*(G127&lt;&gt;"Revision due")+COUNTIF($G$2:$G$200,"Needs resubmission")*(G127="Not yet submitted")+COUNTIFS($G$2:G127,G127),"")</f>
        <v/>
      </c>
    </row>
    <row r="128">
      <c r="A128" s="13" t="n"/>
      <c r="B128" s="11" t="n"/>
      <c r="C128" s="13" t="n"/>
      <c r="D128" s="13" t="n"/>
      <c r="E128" s="13" t="n"/>
      <c r="F128" s="11" t="n"/>
      <c r="G128" s="13">
        <f>IF(A128="","",IF(E128&lt;&gt;"",E128,IF(COUNTIFS(Submissions!$A:$A,A128,Submissions!$E:$E,"Accepted")&gt;0,"Accepted",IF(COUNTIFS(Submissions!$A:$A,A128,Submissions!$E:$E,"Revision requested")&gt;0,"Revision due",IF(COUNTIFS(Submissions!$A:$A,A128,Submissions!$E:$E,"Under review")&gt;0,"Under review",IF(I128&gt;0,"Needs resubmission","Not yet submitted"))))))</f>
        <v/>
      </c>
      <c r="H128" s="13">
        <f>IF(A128="","",IFERROR(INDEX(Submissions!$B:$B,MATCH(A128&amp;"|Under review",Submissions!$Q:$Q,0)),""))</f>
        <v/>
      </c>
      <c r="I128" s="13">
        <f>IF(A128="","",COUNTIFS(Submissions!$A:$A,A128,Submissions!$B:$B,"&lt;&gt;",Submissions!$E:$E,"&lt;&gt;Planned"))</f>
        <v/>
      </c>
      <c r="J128" s="13">
        <f>IF(A128="","",COUNTIFS(Submissions!$A:$A,A128,Submissions!$E:$E,"Rejected"))</f>
        <v/>
      </c>
      <c r="K128" s="13">
        <f>IF(A128="","",IFERROR(INDEX(Submissions!$B:$B,MATCH(A128&amp;"|Planned",Submissions!$Q:$Q,0)),""))</f>
        <v/>
      </c>
      <c r="L128" s="11" t="n"/>
      <c r="M128" s="13" t="n"/>
      <c r="N128" s="13" t="n"/>
      <c r="O128" s="13">
        <f>IF(OR(G128="Revision due",G128="Needs resubmission",G128="Not yet submitted"),COUNTIF($G$2:$G$200,"Revision due")*(G128&lt;&gt;"Revision due")+COUNTIF($G$2:$G$200,"Needs resubmission")*(G128="Not yet submitted")+COUNTIFS($G$2:G128,G128),"")</f>
        <v/>
      </c>
    </row>
    <row r="129">
      <c r="A129" s="13" t="n"/>
      <c r="B129" s="11" t="n"/>
      <c r="C129" s="13" t="n"/>
      <c r="D129" s="13" t="n"/>
      <c r="E129" s="13" t="n"/>
      <c r="F129" s="11" t="n"/>
      <c r="G129" s="13">
        <f>IF(A129="","",IF(E129&lt;&gt;"",E129,IF(COUNTIFS(Submissions!$A:$A,A129,Submissions!$E:$E,"Accepted")&gt;0,"Accepted",IF(COUNTIFS(Submissions!$A:$A,A129,Submissions!$E:$E,"Revision requested")&gt;0,"Revision due",IF(COUNTIFS(Submissions!$A:$A,A129,Submissions!$E:$E,"Under review")&gt;0,"Under review",IF(I129&gt;0,"Needs resubmission","Not yet submitted"))))))</f>
        <v/>
      </c>
      <c r="H129" s="13">
        <f>IF(A129="","",IFERROR(INDEX(Submissions!$B:$B,MATCH(A129&amp;"|Under review",Submissions!$Q:$Q,0)),""))</f>
        <v/>
      </c>
      <c r="I129" s="13">
        <f>IF(A129="","",COUNTIFS(Submissions!$A:$A,A129,Submissions!$B:$B,"&lt;&gt;",Submissions!$E:$E,"&lt;&gt;Planned"))</f>
        <v/>
      </c>
      <c r="J129" s="13">
        <f>IF(A129="","",COUNTIFS(Submissions!$A:$A,A129,Submissions!$E:$E,"Rejected"))</f>
        <v/>
      </c>
      <c r="K129" s="13">
        <f>IF(A129="","",IFERROR(INDEX(Submissions!$B:$B,MATCH(A129&amp;"|Planned",Submissions!$Q:$Q,0)),""))</f>
        <v/>
      </c>
      <c r="L129" s="11" t="n"/>
      <c r="M129" s="13" t="n"/>
      <c r="N129" s="13" t="n"/>
      <c r="O129" s="13">
        <f>IF(OR(G129="Revision due",G129="Needs resubmission",G129="Not yet submitted"),COUNTIF($G$2:$G$200,"Revision due")*(G129&lt;&gt;"Revision due")+COUNTIF($G$2:$G$200,"Needs resubmission")*(G129="Not yet submitted")+COUNTIFS($G$2:G129,G129),"")</f>
        <v/>
      </c>
    </row>
    <row r="130">
      <c r="A130" s="13" t="n"/>
      <c r="B130" s="11" t="n"/>
      <c r="C130" s="13" t="n"/>
      <c r="D130" s="13" t="n"/>
      <c r="E130" s="13" t="n"/>
      <c r="F130" s="11" t="n"/>
      <c r="G130" s="13">
        <f>IF(A130="","",IF(E130&lt;&gt;"",E130,IF(COUNTIFS(Submissions!$A:$A,A130,Submissions!$E:$E,"Accepted")&gt;0,"Accepted",IF(COUNTIFS(Submissions!$A:$A,A130,Submissions!$E:$E,"Revision requested")&gt;0,"Revision due",IF(COUNTIFS(Submissions!$A:$A,A130,Submissions!$E:$E,"Under review")&gt;0,"Under review",IF(I130&gt;0,"Needs resubmission","Not yet submitted"))))))</f>
        <v/>
      </c>
      <c r="H130" s="13">
        <f>IF(A130="","",IFERROR(INDEX(Submissions!$B:$B,MATCH(A130&amp;"|Under review",Submissions!$Q:$Q,0)),""))</f>
        <v/>
      </c>
      <c r="I130" s="13">
        <f>IF(A130="","",COUNTIFS(Submissions!$A:$A,A130,Submissions!$B:$B,"&lt;&gt;",Submissions!$E:$E,"&lt;&gt;Planned"))</f>
        <v/>
      </c>
      <c r="J130" s="13">
        <f>IF(A130="","",COUNTIFS(Submissions!$A:$A,A130,Submissions!$E:$E,"Rejected"))</f>
        <v/>
      </c>
      <c r="K130" s="13">
        <f>IF(A130="","",IFERROR(INDEX(Submissions!$B:$B,MATCH(A130&amp;"|Planned",Submissions!$Q:$Q,0)),""))</f>
        <v/>
      </c>
      <c r="L130" s="11" t="n"/>
      <c r="M130" s="13" t="n"/>
      <c r="N130" s="13" t="n"/>
      <c r="O130" s="13">
        <f>IF(OR(G130="Revision due",G130="Needs resubmission",G130="Not yet submitted"),COUNTIF($G$2:$G$200,"Revision due")*(G130&lt;&gt;"Revision due")+COUNTIF($G$2:$G$200,"Needs resubmission")*(G130="Not yet submitted")+COUNTIFS($G$2:G130,G130),"")</f>
        <v/>
      </c>
    </row>
    <row r="131">
      <c r="A131" s="13" t="n"/>
      <c r="B131" s="11" t="n"/>
      <c r="C131" s="13" t="n"/>
      <c r="D131" s="13" t="n"/>
      <c r="E131" s="13" t="n"/>
      <c r="F131" s="11" t="n"/>
      <c r="G131" s="13">
        <f>IF(A131="","",IF(E131&lt;&gt;"",E131,IF(COUNTIFS(Submissions!$A:$A,A131,Submissions!$E:$E,"Accepted")&gt;0,"Accepted",IF(COUNTIFS(Submissions!$A:$A,A131,Submissions!$E:$E,"Revision requested")&gt;0,"Revision due",IF(COUNTIFS(Submissions!$A:$A,A131,Submissions!$E:$E,"Under review")&gt;0,"Under review",IF(I131&gt;0,"Needs resubmission","Not yet submitted"))))))</f>
        <v/>
      </c>
      <c r="H131" s="13">
        <f>IF(A131="","",IFERROR(INDEX(Submissions!$B:$B,MATCH(A131&amp;"|Under review",Submissions!$Q:$Q,0)),""))</f>
        <v/>
      </c>
      <c r="I131" s="13">
        <f>IF(A131="","",COUNTIFS(Submissions!$A:$A,A131,Submissions!$B:$B,"&lt;&gt;",Submissions!$E:$E,"&lt;&gt;Planned"))</f>
        <v/>
      </c>
      <c r="J131" s="13">
        <f>IF(A131="","",COUNTIFS(Submissions!$A:$A,A131,Submissions!$E:$E,"Rejected"))</f>
        <v/>
      </c>
      <c r="K131" s="13">
        <f>IF(A131="","",IFERROR(INDEX(Submissions!$B:$B,MATCH(A131&amp;"|Planned",Submissions!$Q:$Q,0)),""))</f>
        <v/>
      </c>
      <c r="L131" s="11" t="n"/>
      <c r="M131" s="13" t="n"/>
      <c r="N131" s="13" t="n"/>
      <c r="O131" s="13">
        <f>IF(OR(G131="Revision due",G131="Needs resubmission",G131="Not yet submitted"),COUNTIF($G$2:$G$200,"Revision due")*(G131&lt;&gt;"Revision due")+COUNTIF($G$2:$G$200,"Needs resubmission")*(G131="Not yet submitted")+COUNTIFS($G$2:G131,G131),"")</f>
        <v/>
      </c>
    </row>
    <row r="132">
      <c r="A132" s="13" t="n"/>
      <c r="B132" s="11" t="n"/>
      <c r="C132" s="13" t="n"/>
      <c r="D132" s="13" t="n"/>
      <c r="E132" s="13" t="n"/>
      <c r="F132" s="11" t="n"/>
      <c r="G132" s="13">
        <f>IF(A132="","",IF(E132&lt;&gt;"",E132,IF(COUNTIFS(Submissions!$A:$A,A132,Submissions!$E:$E,"Accepted")&gt;0,"Accepted",IF(COUNTIFS(Submissions!$A:$A,A132,Submissions!$E:$E,"Revision requested")&gt;0,"Revision due",IF(COUNTIFS(Submissions!$A:$A,A132,Submissions!$E:$E,"Under review")&gt;0,"Under review",IF(I132&gt;0,"Needs resubmission","Not yet submitted"))))))</f>
        <v/>
      </c>
      <c r="H132" s="13">
        <f>IF(A132="","",IFERROR(INDEX(Submissions!$B:$B,MATCH(A132&amp;"|Under review",Submissions!$Q:$Q,0)),""))</f>
        <v/>
      </c>
      <c r="I132" s="13">
        <f>IF(A132="","",COUNTIFS(Submissions!$A:$A,A132,Submissions!$B:$B,"&lt;&gt;",Submissions!$E:$E,"&lt;&gt;Planned"))</f>
        <v/>
      </c>
      <c r="J132" s="13">
        <f>IF(A132="","",COUNTIFS(Submissions!$A:$A,A132,Submissions!$E:$E,"Rejected"))</f>
        <v/>
      </c>
      <c r="K132" s="13">
        <f>IF(A132="","",IFERROR(INDEX(Submissions!$B:$B,MATCH(A132&amp;"|Planned",Submissions!$Q:$Q,0)),""))</f>
        <v/>
      </c>
      <c r="L132" s="11" t="n"/>
      <c r="M132" s="13" t="n"/>
      <c r="N132" s="13" t="n"/>
      <c r="O132" s="13">
        <f>IF(OR(G132="Revision due",G132="Needs resubmission",G132="Not yet submitted"),COUNTIF($G$2:$G$200,"Revision due")*(G132&lt;&gt;"Revision due")+COUNTIF($G$2:$G$200,"Needs resubmission")*(G132="Not yet submitted")+COUNTIFS($G$2:G132,G132),"")</f>
        <v/>
      </c>
    </row>
    <row r="133">
      <c r="A133" s="13" t="n"/>
      <c r="B133" s="11" t="n"/>
      <c r="C133" s="13" t="n"/>
      <c r="D133" s="13" t="n"/>
      <c r="E133" s="13" t="n"/>
      <c r="F133" s="11" t="n"/>
      <c r="G133" s="13">
        <f>IF(A133="","",IF(E133&lt;&gt;"",E133,IF(COUNTIFS(Submissions!$A:$A,A133,Submissions!$E:$E,"Accepted")&gt;0,"Accepted",IF(COUNTIFS(Submissions!$A:$A,A133,Submissions!$E:$E,"Revision requested")&gt;0,"Revision due",IF(COUNTIFS(Submissions!$A:$A,A133,Submissions!$E:$E,"Under review")&gt;0,"Under review",IF(I133&gt;0,"Needs resubmission","Not yet submitted"))))))</f>
        <v/>
      </c>
      <c r="H133" s="13">
        <f>IF(A133="","",IFERROR(INDEX(Submissions!$B:$B,MATCH(A133&amp;"|Under review",Submissions!$Q:$Q,0)),""))</f>
        <v/>
      </c>
      <c r="I133" s="13">
        <f>IF(A133="","",COUNTIFS(Submissions!$A:$A,A133,Submissions!$B:$B,"&lt;&gt;",Submissions!$E:$E,"&lt;&gt;Planned"))</f>
        <v/>
      </c>
      <c r="J133" s="13">
        <f>IF(A133="","",COUNTIFS(Submissions!$A:$A,A133,Submissions!$E:$E,"Rejected"))</f>
        <v/>
      </c>
      <c r="K133" s="13">
        <f>IF(A133="","",IFERROR(INDEX(Submissions!$B:$B,MATCH(A133&amp;"|Planned",Submissions!$Q:$Q,0)),""))</f>
        <v/>
      </c>
      <c r="L133" s="11" t="n"/>
      <c r="M133" s="13" t="n"/>
      <c r="N133" s="13" t="n"/>
      <c r="O133" s="13">
        <f>IF(OR(G133="Revision due",G133="Needs resubmission",G133="Not yet submitted"),COUNTIF($G$2:$G$200,"Revision due")*(G133&lt;&gt;"Revision due")+COUNTIF($G$2:$G$200,"Needs resubmission")*(G133="Not yet submitted")+COUNTIFS($G$2:G133,G133),"")</f>
        <v/>
      </c>
    </row>
    <row r="134">
      <c r="A134" s="13" t="n"/>
      <c r="B134" s="11" t="n"/>
      <c r="C134" s="13" t="n"/>
      <c r="D134" s="13" t="n"/>
      <c r="E134" s="13" t="n"/>
      <c r="F134" s="11" t="n"/>
      <c r="G134" s="13">
        <f>IF(A134="","",IF(E134&lt;&gt;"",E134,IF(COUNTIFS(Submissions!$A:$A,A134,Submissions!$E:$E,"Accepted")&gt;0,"Accepted",IF(COUNTIFS(Submissions!$A:$A,A134,Submissions!$E:$E,"Revision requested")&gt;0,"Revision due",IF(COUNTIFS(Submissions!$A:$A,A134,Submissions!$E:$E,"Under review")&gt;0,"Under review",IF(I134&gt;0,"Needs resubmission","Not yet submitted"))))))</f>
        <v/>
      </c>
      <c r="H134" s="13">
        <f>IF(A134="","",IFERROR(INDEX(Submissions!$B:$B,MATCH(A134&amp;"|Under review",Submissions!$Q:$Q,0)),""))</f>
        <v/>
      </c>
      <c r="I134" s="13">
        <f>IF(A134="","",COUNTIFS(Submissions!$A:$A,A134,Submissions!$B:$B,"&lt;&gt;",Submissions!$E:$E,"&lt;&gt;Planned"))</f>
        <v/>
      </c>
      <c r="J134" s="13">
        <f>IF(A134="","",COUNTIFS(Submissions!$A:$A,A134,Submissions!$E:$E,"Rejected"))</f>
        <v/>
      </c>
      <c r="K134" s="13">
        <f>IF(A134="","",IFERROR(INDEX(Submissions!$B:$B,MATCH(A134&amp;"|Planned",Submissions!$Q:$Q,0)),""))</f>
        <v/>
      </c>
      <c r="L134" s="11" t="n"/>
      <c r="M134" s="13" t="n"/>
      <c r="N134" s="13" t="n"/>
      <c r="O134" s="13">
        <f>IF(OR(G134="Revision due",G134="Needs resubmission",G134="Not yet submitted"),COUNTIF($G$2:$G$200,"Revision due")*(G134&lt;&gt;"Revision due")+COUNTIF($G$2:$G$200,"Needs resubmission")*(G134="Not yet submitted")+COUNTIFS($G$2:G134,G134),"")</f>
        <v/>
      </c>
    </row>
    <row r="135">
      <c r="A135" s="13" t="n"/>
      <c r="B135" s="11" t="n"/>
      <c r="C135" s="13" t="n"/>
      <c r="D135" s="13" t="n"/>
      <c r="E135" s="13" t="n"/>
      <c r="F135" s="11" t="n"/>
      <c r="G135" s="13">
        <f>IF(A135="","",IF(E135&lt;&gt;"",E135,IF(COUNTIFS(Submissions!$A:$A,A135,Submissions!$E:$E,"Accepted")&gt;0,"Accepted",IF(COUNTIFS(Submissions!$A:$A,A135,Submissions!$E:$E,"Revision requested")&gt;0,"Revision due",IF(COUNTIFS(Submissions!$A:$A,A135,Submissions!$E:$E,"Under review")&gt;0,"Under review",IF(I135&gt;0,"Needs resubmission","Not yet submitted"))))))</f>
        <v/>
      </c>
      <c r="H135" s="13">
        <f>IF(A135="","",IFERROR(INDEX(Submissions!$B:$B,MATCH(A135&amp;"|Under review",Submissions!$Q:$Q,0)),""))</f>
        <v/>
      </c>
      <c r="I135" s="13">
        <f>IF(A135="","",COUNTIFS(Submissions!$A:$A,A135,Submissions!$B:$B,"&lt;&gt;",Submissions!$E:$E,"&lt;&gt;Planned"))</f>
        <v/>
      </c>
      <c r="J135" s="13">
        <f>IF(A135="","",COUNTIFS(Submissions!$A:$A,A135,Submissions!$E:$E,"Rejected"))</f>
        <v/>
      </c>
      <c r="K135" s="13">
        <f>IF(A135="","",IFERROR(INDEX(Submissions!$B:$B,MATCH(A135&amp;"|Planned",Submissions!$Q:$Q,0)),""))</f>
        <v/>
      </c>
      <c r="L135" s="11" t="n"/>
      <c r="M135" s="13" t="n"/>
      <c r="N135" s="13" t="n"/>
      <c r="O135" s="13">
        <f>IF(OR(G135="Revision due",G135="Needs resubmission",G135="Not yet submitted"),COUNTIF($G$2:$G$200,"Revision due")*(G135&lt;&gt;"Revision due")+COUNTIF($G$2:$G$200,"Needs resubmission")*(G135="Not yet submitted")+COUNTIFS($G$2:G135,G135),"")</f>
        <v/>
      </c>
    </row>
    <row r="136">
      <c r="A136" s="13" t="n"/>
      <c r="B136" s="11" t="n"/>
      <c r="C136" s="13" t="n"/>
      <c r="D136" s="13" t="n"/>
      <c r="E136" s="13" t="n"/>
      <c r="F136" s="11" t="n"/>
      <c r="G136" s="13">
        <f>IF(A136="","",IF(E136&lt;&gt;"",E136,IF(COUNTIFS(Submissions!$A:$A,A136,Submissions!$E:$E,"Accepted")&gt;0,"Accepted",IF(COUNTIFS(Submissions!$A:$A,A136,Submissions!$E:$E,"Revision requested")&gt;0,"Revision due",IF(COUNTIFS(Submissions!$A:$A,A136,Submissions!$E:$E,"Under review")&gt;0,"Under review",IF(I136&gt;0,"Needs resubmission","Not yet submitted"))))))</f>
        <v/>
      </c>
      <c r="H136" s="13">
        <f>IF(A136="","",IFERROR(INDEX(Submissions!$B:$B,MATCH(A136&amp;"|Under review",Submissions!$Q:$Q,0)),""))</f>
        <v/>
      </c>
      <c r="I136" s="13">
        <f>IF(A136="","",COUNTIFS(Submissions!$A:$A,A136,Submissions!$B:$B,"&lt;&gt;",Submissions!$E:$E,"&lt;&gt;Planned"))</f>
        <v/>
      </c>
      <c r="J136" s="13">
        <f>IF(A136="","",COUNTIFS(Submissions!$A:$A,A136,Submissions!$E:$E,"Rejected"))</f>
        <v/>
      </c>
      <c r="K136" s="13">
        <f>IF(A136="","",IFERROR(INDEX(Submissions!$B:$B,MATCH(A136&amp;"|Planned",Submissions!$Q:$Q,0)),""))</f>
        <v/>
      </c>
      <c r="L136" s="11" t="n"/>
      <c r="M136" s="13" t="n"/>
      <c r="N136" s="13" t="n"/>
      <c r="O136" s="13">
        <f>IF(OR(G136="Revision due",G136="Needs resubmission",G136="Not yet submitted"),COUNTIF($G$2:$G$200,"Revision due")*(G136&lt;&gt;"Revision due")+COUNTIF($G$2:$G$200,"Needs resubmission")*(G136="Not yet submitted")+COUNTIFS($G$2:G136,G136),"")</f>
        <v/>
      </c>
    </row>
    <row r="137">
      <c r="A137" s="13" t="n"/>
      <c r="B137" s="11" t="n"/>
      <c r="C137" s="13" t="n"/>
      <c r="D137" s="13" t="n"/>
      <c r="E137" s="13" t="n"/>
      <c r="F137" s="11" t="n"/>
      <c r="G137" s="13">
        <f>IF(A137="","",IF(E137&lt;&gt;"",E137,IF(COUNTIFS(Submissions!$A:$A,A137,Submissions!$E:$E,"Accepted")&gt;0,"Accepted",IF(COUNTIFS(Submissions!$A:$A,A137,Submissions!$E:$E,"Revision requested")&gt;0,"Revision due",IF(COUNTIFS(Submissions!$A:$A,A137,Submissions!$E:$E,"Under review")&gt;0,"Under review",IF(I137&gt;0,"Needs resubmission","Not yet submitted"))))))</f>
        <v/>
      </c>
      <c r="H137" s="13">
        <f>IF(A137="","",IFERROR(INDEX(Submissions!$B:$B,MATCH(A137&amp;"|Under review",Submissions!$Q:$Q,0)),""))</f>
        <v/>
      </c>
      <c r="I137" s="13">
        <f>IF(A137="","",COUNTIFS(Submissions!$A:$A,A137,Submissions!$B:$B,"&lt;&gt;",Submissions!$E:$E,"&lt;&gt;Planned"))</f>
        <v/>
      </c>
      <c r="J137" s="13">
        <f>IF(A137="","",COUNTIFS(Submissions!$A:$A,A137,Submissions!$E:$E,"Rejected"))</f>
        <v/>
      </c>
      <c r="K137" s="13">
        <f>IF(A137="","",IFERROR(INDEX(Submissions!$B:$B,MATCH(A137&amp;"|Planned",Submissions!$Q:$Q,0)),""))</f>
        <v/>
      </c>
      <c r="L137" s="11" t="n"/>
      <c r="M137" s="13" t="n"/>
      <c r="N137" s="13" t="n"/>
      <c r="O137" s="13">
        <f>IF(OR(G137="Revision due",G137="Needs resubmission",G137="Not yet submitted"),COUNTIF($G$2:$G$200,"Revision due")*(G137&lt;&gt;"Revision due")+COUNTIF($G$2:$G$200,"Needs resubmission")*(G137="Not yet submitted")+COUNTIFS($G$2:G137,G137),"")</f>
        <v/>
      </c>
    </row>
    <row r="138">
      <c r="A138" s="13" t="n"/>
      <c r="B138" s="11" t="n"/>
      <c r="C138" s="13" t="n"/>
      <c r="D138" s="13" t="n"/>
      <c r="E138" s="13" t="n"/>
      <c r="F138" s="11" t="n"/>
      <c r="G138" s="13">
        <f>IF(A138="","",IF(E138&lt;&gt;"",E138,IF(COUNTIFS(Submissions!$A:$A,A138,Submissions!$E:$E,"Accepted")&gt;0,"Accepted",IF(COUNTIFS(Submissions!$A:$A,A138,Submissions!$E:$E,"Revision requested")&gt;0,"Revision due",IF(COUNTIFS(Submissions!$A:$A,A138,Submissions!$E:$E,"Under review")&gt;0,"Under review",IF(I138&gt;0,"Needs resubmission","Not yet submitted"))))))</f>
        <v/>
      </c>
      <c r="H138" s="13">
        <f>IF(A138="","",IFERROR(INDEX(Submissions!$B:$B,MATCH(A138&amp;"|Under review",Submissions!$Q:$Q,0)),""))</f>
        <v/>
      </c>
      <c r="I138" s="13">
        <f>IF(A138="","",COUNTIFS(Submissions!$A:$A,A138,Submissions!$B:$B,"&lt;&gt;",Submissions!$E:$E,"&lt;&gt;Planned"))</f>
        <v/>
      </c>
      <c r="J138" s="13">
        <f>IF(A138="","",COUNTIFS(Submissions!$A:$A,A138,Submissions!$E:$E,"Rejected"))</f>
        <v/>
      </c>
      <c r="K138" s="13">
        <f>IF(A138="","",IFERROR(INDEX(Submissions!$B:$B,MATCH(A138&amp;"|Planned",Submissions!$Q:$Q,0)),""))</f>
        <v/>
      </c>
      <c r="L138" s="11" t="n"/>
      <c r="M138" s="13" t="n"/>
      <c r="N138" s="13" t="n"/>
      <c r="O138" s="13">
        <f>IF(OR(G138="Revision due",G138="Needs resubmission",G138="Not yet submitted"),COUNTIF($G$2:$G$200,"Revision due")*(G138&lt;&gt;"Revision due")+COUNTIF($G$2:$G$200,"Needs resubmission")*(G138="Not yet submitted")+COUNTIFS($G$2:G138,G138),"")</f>
        <v/>
      </c>
    </row>
    <row r="139">
      <c r="A139" s="13" t="n"/>
      <c r="B139" s="11" t="n"/>
      <c r="C139" s="13" t="n"/>
      <c r="D139" s="13" t="n"/>
      <c r="E139" s="13" t="n"/>
      <c r="F139" s="11" t="n"/>
      <c r="G139" s="13">
        <f>IF(A139="","",IF(E139&lt;&gt;"",E139,IF(COUNTIFS(Submissions!$A:$A,A139,Submissions!$E:$E,"Accepted")&gt;0,"Accepted",IF(COUNTIFS(Submissions!$A:$A,A139,Submissions!$E:$E,"Revision requested")&gt;0,"Revision due",IF(COUNTIFS(Submissions!$A:$A,A139,Submissions!$E:$E,"Under review")&gt;0,"Under review",IF(I139&gt;0,"Needs resubmission","Not yet submitted"))))))</f>
        <v/>
      </c>
      <c r="H139" s="13">
        <f>IF(A139="","",IFERROR(INDEX(Submissions!$B:$B,MATCH(A139&amp;"|Under review",Submissions!$Q:$Q,0)),""))</f>
        <v/>
      </c>
      <c r="I139" s="13">
        <f>IF(A139="","",COUNTIFS(Submissions!$A:$A,A139,Submissions!$B:$B,"&lt;&gt;",Submissions!$E:$E,"&lt;&gt;Planned"))</f>
        <v/>
      </c>
      <c r="J139" s="13">
        <f>IF(A139="","",COUNTIFS(Submissions!$A:$A,A139,Submissions!$E:$E,"Rejected"))</f>
        <v/>
      </c>
      <c r="K139" s="13">
        <f>IF(A139="","",IFERROR(INDEX(Submissions!$B:$B,MATCH(A139&amp;"|Planned",Submissions!$Q:$Q,0)),""))</f>
        <v/>
      </c>
      <c r="L139" s="11" t="n"/>
      <c r="M139" s="13" t="n"/>
      <c r="N139" s="13" t="n"/>
      <c r="O139" s="13">
        <f>IF(OR(G139="Revision due",G139="Needs resubmission",G139="Not yet submitted"),COUNTIF($G$2:$G$200,"Revision due")*(G139&lt;&gt;"Revision due")+COUNTIF($G$2:$G$200,"Needs resubmission")*(G139="Not yet submitted")+COUNTIFS($G$2:G139,G139),"")</f>
        <v/>
      </c>
    </row>
    <row r="140">
      <c r="A140" s="13" t="n"/>
      <c r="B140" s="11" t="n"/>
      <c r="C140" s="13" t="n"/>
      <c r="D140" s="13" t="n"/>
      <c r="E140" s="13" t="n"/>
      <c r="F140" s="11" t="n"/>
      <c r="G140" s="13">
        <f>IF(A140="","",IF(E140&lt;&gt;"",E140,IF(COUNTIFS(Submissions!$A:$A,A140,Submissions!$E:$E,"Accepted")&gt;0,"Accepted",IF(COUNTIFS(Submissions!$A:$A,A140,Submissions!$E:$E,"Revision requested")&gt;0,"Revision due",IF(COUNTIFS(Submissions!$A:$A,A140,Submissions!$E:$E,"Under review")&gt;0,"Under review",IF(I140&gt;0,"Needs resubmission","Not yet submitted"))))))</f>
        <v/>
      </c>
      <c r="H140" s="13">
        <f>IF(A140="","",IFERROR(INDEX(Submissions!$B:$B,MATCH(A140&amp;"|Under review",Submissions!$Q:$Q,0)),""))</f>
        <v/>
      </c>
      <c r="I140" s="13">
        <f>IF(A140="","",COUNTIFS(Submissions!$A:$A,A140,Submissions!$B:$B,"&lt;&gt;",Submissions!$E:$E,"&lt;&gt;Planned"))</f>
        <v/>
      </c>
      <c r="J140" s="13">
        <f>IF(A140="","",COUNTIFS(Submissions!$A:$A,A140,Submissions!$E:$E,"Rejected"))</f>
        <v/>
      </c>
      <c r="K140" s="13">
        <f>IF(A140="","",IFERROR(INDEX(Submissions!$B:$B,MATCH(A140&amp;"|Planned",Submissions!$Q:$Q,0)),""))</f>
        <v/>
      </c>
      <c r="L140" s="11" t="n"/>
      <c r="M140" s="13" t="n"/>
      <c r="N140" s="13" t="n"/>
      <c r="O140" s="13">
        <f>IF(OR(G140="Revision due",G140="Needs resubmission",G140="Not yet submitted"),COUNTIF($G$2:$G$200,"Revision due")*(G140&lt;&gt;"Revision due")+COUNTIF($G$2:$G$200,"Needs resubmission")*(G140="Not yet submitted")+COUNTIFS($G$2:G140,G140),"")</f>
        <v/>
      </c>
    </row>
    <row r="141">
      <c r="A141" s="13" t="n"/>
      <c r="B141" s="11" t="n"/>
      <c r="C141" s="13" t="n"/>
      <c r="D141" s="13" t="n"/>
      <c r="E141" s="13" t="n"/>
      <c r="F141" s="11" t="n"/>
      <c r="G141" s="13">
        <f>IF(A141="","",IF(E141&lt;&gt;"",E141,IF(COUNTIFS(Submissions!$A:$A,A141,Submissions!$E:$E,"Accepted")&gt;0,"Accepted",IF(COUNTIFS(Submissions!$A:$A,A141,Submissions!$E:$E,"Revision requested")&gt;0,"Revision due",IF(COUNTIFS(Submissions!$A:$A,A141,Submissions!$E:$E,"Under review")&gt;0,"Under review",IF(I141&gt;0,"Needs resubmission","Not yet submitted"))))))</f>
        <v/>
      </c>
      <c r="H141" s="13">
        <f>IF(A141="","",IFERROR(INDEX(Submissions!$B:$B,MATCH(A141&amp;"|Under review",Submissions!$Q:$Q,0)),""))</f>
        <v/>
      </c>
      <c r="I141" s="13">
        <f>IF(A141="","",COUNTIFS(Submissions!$A:$A,A141,Submissions!$B:$B,"&lt;&gt;",Submissions!$E:$E,"&lt;&gt;Planned"))</f>
        <v/>
      </c>
      <c r="J141" s="13">
        <f>IF(A141="","",COUNTIFS(Submissions!$A:$A,A141,Submissions!$E:$E,"Rejected"))</f>
        <v/>
      </c>
      <c r="K141" s="13">
        <f>IF(A141="","",IFERROR(INDEX(Submissions!$B:$B,MATCH(A141&amp;"|Planned",Submissions!$Q:$Q,0)),""))</f>
        <v/>
      </c>
      <c r="L141" s="11" t="n"/>
      <c r="M141" s="13" t="n"/>
      <c r="N141" s="13" t="n"/>
      <c r="O141" s="13">
        <f>IF(OR(G141="Revision due",G141="Needs resubmission",G141="Not yet submitted"),COUNTIF($G$2:$G$200,"Revision due")*(G141&lt;&gt;"Revision due")+COUNTIF($G$2:$G$200,"Needs resubmission")*(G141="Not yet submitted")+COUNTIFS($G$2:G141,G141),"")</f>
        <v/>
      </c>
    </row>
    <row r="142">
      <c r="A142" s="13" t="n"/>
      <c r="B142" s="11" t="n"/>
      <c r="C142" s="13" t="n"/>
      <c r="D142" s="13" t="n"/>
      <c r="E142" s="13" t="n"/>
      <c r="F142" s="11" t="n"/>
      <c r="G142" s="13">
        <f>IF(A142="","",IF(E142&lt;&gt;"",E142,IF(COUNTIFS(Submissions!$A:$A,A142,Submissions!$E:$E,"Accepted")&gt;0,"Accepted",IF(COUNTIFS(Submissions!$A:$A,A142,Submissions!$E:$E,"Revision requested")&gt;0,"Revision due",IF(COUNTIFS(Submissions!$A:$A,A142,Submissions!$E:$E,"Under review")&gt;0,"Under review",IF(I142&gt;0,"Needs resubmission","Not yet submitted"))))))</f>
        <v/>
      </c>
      <c r="H142" s="13">
        <f>IF(A142="","",IFERROR(INDEX(Submissions!$B:$B,MATCH(A142&amp;"|Under review",Submissions!$Q:$Q,0)),""))</f>
        <v/>
      </c>
      <c r="I142" s="13">
        <f>IF(A142="","",COUNTIFS(Submissions!$A:$A,A142,Submissions!$B:$B,"&lt;&gt;",Submissions!$E:$E,"&lt;&gt;Planned"))</f>
        <v/>
      </c>
      <c r="J142" s="13">
        <f>IF(A142="","",COUNTIFS(Submissions!$A:$A,A142,Submissions!$E:$E,"Rejected"))</f>
        <v/>
      </c>
      <c r="K142" s="13">
        <f>IF(A142="","",IFERROR(INDEX(Submissions!$B:$B,MATCH(A142&amp;"|Planned",Submissions!$Q:$Q,0)),""))</f>
        <v/>
      </c>
      <c r="L142" s="11" t="n"/>
      <c r="M142" s="13" t="n"/>
      <c r="N142" s="13" t="n"/>
      <c r="O142" s="13">
        <f>IF(OR(G142="Revision due",G142="Needs resubmission",G142="Not yet submitted"),COUNTIF($G$2:$G$200,"Revision due")*(G142&lt;&gt;"Revision due")+COUNTIF($G$2:$G$200,"Needs resubmission")*(G142="Not yet submitted")+COUNTIFS($G$2:G142,G142),"")</f>
        <v/>
      </c>
    </row>
    <row r="143">
      <c r="A143" s="13" t="n"/>
      <c r="B143" s="11" t="n"/>
      <c r="C143" s="13" t="n"/>
      <c r="D143" s="13" t="n"/>
      <c r="E143" s="13" t="n"/>
      <c r="F143" s="11" t="n"/>
      <c r="G143" s="13">
        <f>IF(A143="","",IF(E143&lt;&gt;"",E143,IF(COUNTIFS(Submissions!$A:$A,A143,Submissions!$E:$E,"Accepted")&gt;0,"Accepted",IF(COUNTIFS(Submissions!$A:$A,A143,Submissions!$E:$E,"Revision requested")&gt;0,"Revision due",IF(COUNTIFS(Submissions!$A:$A,A143,Submissions!$E:$E,"Under review")&gt;0,"Under review",IF(I143&gt;0,"Needs resubmission","Not yet submitted"))))))</f>
        <v/>
      </c>
      <c r="H143" s="13">
        <f>IF(A143="","",IFERROR(INDEX(Submissions!$B:$B,MATCH(A143&amp;"|Under review",Submissions!$Q:$Q,0)),""))</f>
        <v/>
      </c>
      <c r="I143" s="13">
        <f>IF(A143="","",COUNTIFS(Submissions!$A:$A,A143,Submissions!$B:$B,"&lt;&gt;",Submissions!$E:$E,"&lt;&gt;Planned"))</f>
        <v/>
      </c>
      <c r="J143" s="13">
        <f>IF(A143="","",COUNTIFS(Submissions!$A:$A,A143,Submissions!$E:$E,"Rejected"))</f>
        <v/>
      </c>
      <c r="K143" s="13">
        <f>IF(A143="","",IFERROR(INDEX(Submissions!$B:$B,MATCH(A143&amp;"|Planned",Submissions!$Q:$Q,0)),""))</f>
        <v/>
      </c>
      <c r="L143" s="11" t="n"/>
      <c r="M143" s="13" t="n"/>
      <c r="N143" s="13" t="n"/>
      <c r="O143" s="13">
        <f>IF(OR(G143="Revision due",G143="Needs resubmission",G143="Not yet submitted"),COUNTIF($G$2:$G$200,"Revision due")*(G143&lt;&gt;"Revision due")+COUNTIF($G$2:$G$200,"Needs resubmission")*(G143="Not yet submitted")+COUNTIFS($G$2:G143,G143),"")</f>
        <v/>
      </c>
    </row>
    <row r="144">
      <c r="A144" s="13" t="n"/>
      <c r="B144" s="11" t="n"/>
      <c r="C144" s="13" t="n"/>
      <c r="D144" s="13" t="n"/>
      <c r="E144" s="13" t="n"/>
      <c r="F144" s="11" t="n"/>
      <c r="G144" s="13">
        <f>IF(A144="","",IF(E144&lt;&gt;"",E144,IF(COUNTIFS(Submissions!$A:$A,A144,Submissions!$E:$E,"Accepted")&gt;0,"Accepted",IF(COUNTIFS(Submissions!$A:$A,A144,Submissions!$E:$E,"Revision requested")&gt;0,"Revision due",IF(COUNTIFS(Submissions!$A:$A,A144,Submissions!$E:$E,"Under review")&gt;0,"Under review",IF(I144&gt;0,"Needs resubmission","Not yet submitted"))))))</f>
        <v/>
      </c>
      <c r="H144" s="13">
        <f>IF(A144="","",IFERROR(INDEX(Submissions!$B:$B,MATCH(A144&amp;"|Under review",Submissions!$Q:$Q,0)),""))</f>
        <v/>
      </c>
      <c r="I144" s="13">
        <f>IF(A144="","",COUNTIFS(Submissions!$A:$A,A144,Submissions!$B:$B,"&lt;&gt;",Submissions!$E:$E,"&lt;&gt;Planned"))</f>
        <v/>
      </c>
      <c r="J144" s="13">
        <f>IF(A144="","",COUNTIFS(Submissions!$A:$A,A144,Submissions!$E:$E,"Rejected"))</f>
        <v/>
      </c>
      <c r="K144" s="13">
        <f>IF(A144="","",IFERROR(INDEX(Submissions!$B:$B,MATCH(A144&amp;"|Planned",Submissions!$Q:$Q,0)),""))</f>
        <v/>
      </c>
      <c r="L144" s="11" t="n"/>
      <c r="M144" s="13" t="n"/>
      <c r="N144" s="13" t="n"/>
      <c r="O144" s="13">
        <f>IF(OR(G144="Revision due",G144="Needs resubmission",G144="Not yet submitted"),COUNTIF($G$2:$G$200,"Revision due")*(G144&lt;&gt;"Revision due")+COUNTIF($G$2:$G$200,"Needs resubmission")*(G144="Not yet submitted")+COUNTIFS($G$2:G144,G144),"")</f>
        <v/>
      </c>
    </row>
    <row r="145">
      <c r="A145" s="13" t="n"/>
      <c r="B145" s="11" t="n"/>
      <c r="C145" s="13" t="n"/>
      <c r="D145" s="13" t="n"/>
      <c r="E145" s="13" t="n"/>
      <c r="F145" s="11" t="n"/>
      <c r="G145" s="13">
        <f>IF(A145="","",IF(E145&lt;&gt;"",E145,IF(COUNTIFS(Submissions!$A:$A,A145,Submissions!$E:$E,"Accepted")&gt;0,"Accepted",IF(COUNTIFS(Submissions!$A:$A,A145,Submissions!$E:$E,"Revision requested")&gt;0,"Revision due",IF(COUNTIFS(Submissions!$A:$A,A145,Submissions!$E:$E,"Under review")&gt;0,"Under review",IF(I145&gt;0,"Needs resubmission","Not yet submitted"))))))</f>
        <v/>
      </c>
      <c r="H145" s="13">
        <f>IF(A145="","",IFERROR(INDEX(Submissions!$B:$B,MATCH(A145&amp;"|Under review",Submissions!$Q:$Q,0)),""))</f>
        <v/>
      </c>
      <c r="I145" s="13">
        <f>IF(A145="","",COUNTIFS(Submissions!$A:$A,A145,Submissions!$B:$B,"&lt;&gt;",Submissions!$E:$E,"&lt;&gt;Planned"))</f>
        <v/>
      </c>
      <c r="J145" s="13">
        <f>IF(A145="","",COUNTIFS(Submissions!$A:$A,A145,Submissions!$E:$E,"Rejected"))</f>
        <v/>
      </c>
      <c r="K145" s="13">
        <f>IF(A145="","",IFERROR(INDEX(Submissions!$B:$B,MATCH(A145&amp;"|Planned",Submissions!$Q:$Q,0)),""))</f>
        <v/>
      </c>
      <c r="L145" s="11" t="n"/>
      <c r="M145" s="13" t="n"/>
      <c r="N145" s="13" t="n"/>
      <c r="O145" s="13">
        <f>IF(OR(G145="Revision due",G145="Needs resubmission",G145="Not yet submitted"),COUNTIF($G$2:$G$200,"Revision due")*(G145&lt;&gt;"Revision due")+COUNTIF($G$2:$G$200,"Needs resubmission")*(G145="Not yet submitted")+COUNTIFS($G$2:G145,G145),"")</f>
        <v/>
      </c>
    </row>
    <row r="146">
      <c r="A146" s="13" t="n"/>
      <c r="B146" s="11" t="n"/>
      <c r="C146" s="13" t="n"/>
      <c r="D146" s="13" t="n"/>
      <c r="E146" s="13" t="n"/>
      <c r="F146" s="11" t="n"/>
      <c r="G146" s="13">
        <f>IF(A146="","",IF(E146&lt;&gt;"",E146,IF(COUNTIFS(Submissions!$A:$A,A146,Submissions!$E:$E,"Accepted")&gt;0,"Accepted",IF(COUNTIFS(Submissions!$A:$A,A146,Submissions!$E:$E,"Revision requested")&gt;0,"Revision due",IF(COUNTIFS(Submissions!$A:$A,A146,Submissions!$E:$E,"Under review")&gt;0,"Under review",IF(I146&gt;0,"Needs resubmission","Not yet submitted"))))))</f>
        <v/>
      </c>
      <c r="H146" s="13">
        <f>IF(A146="","",IFERROR(INDEX(Submissions!$B:$B,MATCH(A146&amp;"|Under review",Submissions!$Q:$Q,0)),""))</f>
        <v/>
      </c>
      <c r="I146" s="13">
        <f>IF(A146="","",COUNTIFS(Submissions!$A:$A,A146,Submissions!$B:$B,"&lt;&gt;",Submissions!$E:$E,"&lt;&gt;Planned"))</f>
        <v/>
      </c>
      <c r="J146" s="13">
        <f>IF(A146="","",COUNTIFS(Submissions!$A:$A,A146,Submissions!$E:$E,"Rejected"))</f>
        <v/>
      </c>
      <c r="K146" s="13">
        <f>IF(A146="","",IFERROR(INDEX(Submissions!$B:$B,MATCH(A146&amp;"|Planned",Submissions!$Q:$Q,0)),""))</f>
        <v/>
      </c>
      <c r="L146" s="11" t="n"/>
      <c r="M146" s="13" t="n"/>
      <c r="N146" s="13" t="n"/>
      <c r="O146" s="13">
        <f>IF(OR(G146="Revision due",G146="Needs resubmission",G146="Not yet submitted"),COUNTIF($G$2:$G$200,"Revision due")*(G146&lt;&gt;"Revision due")+COUNTIF($G$2:$G$200,"Needs resubmission")*(G146="Not yet submitted")+COUNTIFS($G$2:G146,G146),"")</f>
        <v/>
      </c>
    </row>
    <row r="147">
      <c r="A147" s="13" t="n"/>
      <c r="B147" s="11" t="n"/>
      <c r="C147" s="13" t="n"/>
      <c r="D147" s="13" t="n"/>
      <c r="E147" s="13" t="n"/>
      <c r="F147" s="11" t="n"/>
      <c r="G147" s="13">
        <f>IF(A147="","",IF(E147&lt;&gt;"",E147,IF(COUNTIFS(Submissions!$A:$A,A147,Submissions!$E:$E,"Accepted")&gt;0,"Accepted",IF(COUNTIFS(Submissions!$A:$A,A147,Submissions!$E:$E,"Revision requested")&gt;0,"Revision due",IF(COUNTIFS(Submissions!$A:$A,A147,Submissions!$E:$E,"Under review")&gt;0,"Under review",IF(I147&gt;0,"Needs resubmission","Not yet submitted"))))))</f>
        <v/>
      </c>
      <c r="H147" s="13">
        <f>IF(A147="","",IFERROR(INDEX(Submissions!$B:$B,MATCH(A147&amp;"|Under review",Submissions!$Q:$Q,0)),""))</f>
        <v/>
      </c>
      <c r="I147" s="13">
        <f>IF(A147="","",COUNTIFS(Submissions!$A:$A,A147,Submissions!$B:$B,"&lt;&gt;",Submissions!$E:$E,"&lt;&gt;Planned"))</f>
        <v/>
      </c>
      <c r="J147" s="13">
        <f>IF(A147="","",COUNTIFS(Submissions!$A:$A,A147,Submissions!$E:$E,"Rejected"))</f>
        <v/>
      </c>
      <c r="K147" s="13">
        <f>IF(A147="","",IFERROR(INDEX(Submissions!$B:$B,MATCH(A147&amp;"|Planned",Submissions!$Q:$Q,0)),""))</f>
        <v/>
      </c>
      <c r="L147" s="11" t="n"/>
      <c r="M147" s="13" t="n"/>
      <c r="N147" s="13" t="n"/>
      <c r="O147" s="13">
        <f>IF(OR(G147="Revision due",G147="Needs resubmission",G147="Not yet submitted"),COUNTIF($G$2:$G$200,"Revision due")*(G147&lt;&gt;"Revision due")+COUNTIF($G$2:$G$200,"Needs resubmission")*(G147="Not yet submitted")+COUNTIFS($G$2:G147,G147),"")</f>
        <v/>
      </c>
    </row>
    <row r="148">
      <c r="A148" s="13" t="n"/>
      <c r="B148" s="11" t="n"/>
      <c r="C148" s="13" t="n"/>
      <c r="D148" s="13" t="n"/>
      <c r="E148" s="13" t="n"/>
      <c r="F148" s="11" t="n"/>
      <c r="G148" s="13">
        <f>IF(A148="","",IF(E148&lt;&gt;"",E148,IF(COUNTIFS(Submissions!$A:$A,A148,Submissions!$E:$E,"Accepted")&gt;0,"Accepted",IF(COUNTIFS(Submissions!$A:$A,A148,Submissions!$E:$E,"Revision requested")&gt;0,"Revision due",IF(COUNTIFS(Submissions!$A:$A,A148,Submissions!$E:$E,"Under review")&gt;0,"Under review",IF(I148&gt;0,"Needs resubmission","Not yet submitted"))))))</f>
        <v/>
      </c>
      <c r="H148" s="13">
        <f>IF(A148="","",IFERROR(INDEX(Submissions!$B:$B,MATCH(A148&amp;"|Under review",Submissions!$Q:$Q,0)),""))</f>
        <v/>
      </c>
      <c r="I148" s="13">
        <f>IF(A148="","",COUNTIFS(Submissions!$A:$A,A148,Submissions!$B:$B,"&lt;&gt;",Submissions!$E:$E,"&lt;&gt;Planned"))</f>
        <v/>
      </c>
      <c r="J148" s="13">
        <f>IF(A148="","",COUNTIFS(Submissions!$A:$A,A148,Submissions!$E:$E,"Rejected"))</f>
        <v/>
      </c>
      <c r="K148" s="13">
        <f>IF(A148="","",IFERROR(INDEX(Submissions!$B:$B,MATCH(A148&amp;"|Planned",Submissions!$Q:$Q,0)),""))</f>
        <v/>
      </c>
      <c r="L148" s="11" t="n"/>
      <c r="M148" s="13" t="n"/>
      <c r="N148" s="13" t="n"/>
      <c r="O148" s="13">
        <f>IF(OR(G148="Revision due",G148="Needs resubmission",G148="Not yet submitted"),COUNTIF($G$2:$G$200,"Revision due")*(G148&lt;&gt;"Revision due")+COUNTIF($G$2:$G$200,"Needs resubmission")*(G148="Not yet submitted")+COUNTIFS($G$2:G148,G148),"")</f>
        <v/>
      </c>
    </row>
    <row r="149">
      <c r="A149" s="13" t="n"/>
      <c r="B149" s="11" t="n"/>
      <c r="C149" s="13" t="n"/>
      <c r="D149" s="13" t="n"/>
      <c r="E149" s="13" t="n"/>
      <c r="F149" s="11" t="n"/>
      <c r="G149" s="13">
        <f>IF(A149="","",IF(E149&lt;&gt;"",E149,IF(COUNTIFS(Submissions!$A:$A,A149,Submissions!$E:$E,"Accepted")&gt;0,"Accepted",IF(COUNTIFS(Submissions!$A:$A,A149,Submissions!$E:$E,"Revision requested")&gt;0,"Revision due",IF(COUNTIFS(Submissions!$A:$A,A149,Submissions!$E:$E,"Under review")&gt;0,"Under review",IF(I149&gt;0,"Needs resubmission","Not yet submitted"))))))</f>
        <v/>
      </c>
      <c r="H149" s="13">
        <f>IF(A149="","",IFERROR(INDEX(Submissions!$B:$B,MATCH(A149&amp;"|Under review",Submissions!$Q:$Q,0)),""))</f>
        <v/>
      </c>
      <c r="I149" s="13">
        <f>IF(A149="","",COUNTIFS(Submissions!$A:$A,A149,Submissions!$B:$B,"&lt;&gt;",Submissions!$E:$E,"&lt;&gt;Planned"))</f>
        <v/>
      </c>
      <c r="J149" s="13">
        <f>IF(A149="","",COUNTIFS(Submissions!$A:$A,A149,Submissions!$E:$E,"Rejected"))</f>
        <v/>
      </c>
      <c r="K149" s="13">
        <f>IF(A149="","",IFERROR(INDEX(Submissions!$B:$B,MATCH(A149&amp;"|Planned",Submissions!$Q:$Q,0)),""))</f>
        <v/>
      </c>
      <c r="L149" s="11" t="n"/>
      <c r="M149" s="13" t="n"/>
      <c r="N149" s="13" t="n"/>
      <c r="O149" s="13">
        <f>IF(OR(G149="Revision due",G149="Needs resubmission",G149="Not yet submitted"),COUNTIF($G$2:$G$200,"Revision due")*(G149&lt;&gt;"Revision due")+COUNTIF($G$2:$G$200,"Needs resubmission")*(G149="Not yet submitted")+COUNTIFS($G$2:G149,G149),"")</f>
        <v/>
      </c>
    </row>
    <row r="150">
      <c r="A150" s="13" t="n"/>
      <c r="B150" s="11" t="n"/>
      <c r="C150" s="13" t="n"/>
      <c r="D150" s="13" t="n"/>
      <c r="E150" s="13" t="n"/>
      <c r="F150" s="11" t="n"/>
      <c r="G150" s="13">
        <f>IF(A150="","",IF(E150&lt;&gt;"",E150,IF(COUNTIFS(Submissions!$A:$A,A150,Submissions!$E:$E,"Accepted")&gt;0,"Accepted",IF(COUNTIFS(Submissions!$A:$A,A150,Submissions!$E:$E,"Revision requested")&gt;0,"Revision due",IF(COUNTIFS(Submissions!$A:$A,A150,Submissions!$E:$E,"Under review")&gt;0,"Under review",IF(I150&gt;0,"Needs resubmission","Not yet submitted"))))))</f>
        <v/>
      </c>
      <c r="H150" s="13">
        <f>IF(A150="","",IFERROR(INDEX(Submissions!$B:$B,MATCH(A150&amp;"|Under review",Submissions!$Q:$Q,0)),""))</f>
        <v/>
      </c>
      <c r="I150" s="13">
        <f>IF(A150="","",COUNTIFS(Submissions!$A:$A,A150,Submissions!$B:$B,"&lt;&gt;",Submissions!$E:$E,"&lt;&gt;Planned"))</f>
        <v/>
      </c>
      <c r="J150" s="13">
        <f>IF(A150="","",COUNTIFS(Submissions!$A:$A,A150,Submissions!$E:$E,"Rejected"))</f>
        <v/>
      </c>
      <c r="K150" s="13">
        <f>IF(A150="","",IFERROR(INDEX(Submissions!$B:$B,MATCH(A150&amp;"|Planned",Submissions!$Q:$Q,0)),""))</f>
        <v/>
      </c>
      <c r="L150" s="11" t="n"/>
      <c r="M150" s="13" t="n"/>
      <c r="N150" s="13" t="n"/>
      <c r="O150" s="13">
        <f>IF(OR(G150="Revision due",G150="Needs resubmission",G150="Not yet submitted"),COUNTIF($G$2:$G$200,"Revision due")*(G150&lt;&gt;"Revision due")+COUNTIF($G$2:$G$200,"Needs resubmission")*(G150="Not yet submitted")+COUNTIFS($G$2:G150,G150),"")</f>
        <v/>
      </c>
    </row>
    <row r="151">
      <c r="A151" s="13" t="n"/>
      <c r="B151" s="11" t="n"/>
      <c r="C151" s="13" t="n"/>
      <c r="D151" s="13" t="n"/>
      <c r="E151" s="13" t="n"/>
      <c r="F151" s="11" t="n"/>
      <c r="G151" s="13">
        <f>IF(A151="","",IF(E151&lt;&gt;"",E151,IF(COUNTIFS(Submissions!$A:$A,A151,Submissions!$E:$E,"Accepted")&gt;0,"Accepted",IF(COUNTIFS(Submissions!$A:$A,A151,Submissions!$E:$E,"Revision requested")&gt;0,"Revision due",IF(COUNTIFS(Submissions!$A:$A,A151,Submissions!$E:$E,"Under review")&gt;0,"Under review",IF(I151&gt;0,"Needs resubmission","Not yet submitted"))))))</f>
        <v/>
      </c>
      <c r="H151" s="13">
        <f>IF(A151="","",IFERROR(INDEX(Submissions!$B:$B,MATCH(A151&amp;"|Under review",Submissions!$Q:$Q,0)),""))</f>
        <v/>
      </c>
      <c r="I151" s="13">
        <f>IF(A151="","",COUNTIFS(Submissions!$A:$A,A151,Submissions!$B:$B,"&lt;&gt;",Submissions!$E:$E,"&lt;&gt;Planned"))</f>
        <v/>
      </c>
      <c r="J151" s="13">
        <f>IF(A151="","",COUNTIFS(Submissions!$A:$A,A151,Submissions!$E:$E,"Rejected"))</f>
        <v/>
      </c>
      <c r="K151" s="13">
        <f>IF(A151="","",IFERROR(INDEX(Submissions!$B:$B,MATCH(A151&amp;"|Planned",Submissions!$Q:$Q,0)),""))</f>
        <v/>
      </c>
      <c r="L151" s="11" t="n"/>
      <c r="M151" s="13" t="n"/>
      <c r="N151" s="13" t="n"/>
      <c r="O151" s="13">
        <f>IF(OR(G151="Revision due",G151="Needs resubmission",G151="Not yet submitted"),COUNTIF($G$2:$G$200,"Revision due")*(G151&lt;&gt;"Revision due")+COUNTIF($G$2:$G$200,"Needs resubmission")*(G151="Not yet submitted")+COUNTIFS($G$2:G151,G151),"")</f>
        <v/>
      </c>
    </row>
    <row r="152">
      <c r="A152" s="13" t="n"/>
      <c r="B152" s="11" t="n"/>
      <c r="C152" s="13" t="n"/>
      <c r="D152" s="13" t="n"/>
      <c r="E152" s="13" t="n"/>
      <c r="F152" s="11" t="n"/>
      <c r="G152" s="13">
        <f>IF(A152="","",IF(E152&lt;&gt;"",E152,IF(COUNTIFS(Submissions!$A:$A,A152,Submissions!$E:$E,"Accepted")&gt;0,"Accepted",IF(COUNTIFS(Submissions!$A:$A,A152,Submissions!$E:$E,"Revision requested")&gt;0,"Revision due",IF(COUNTIFS(Submissions!$A:$A,A152,Submissions!$E:$E,"Under review")&gt;0,"Under review",IF(I152&gt;0,"Needs resubmission","Not yet submitted"))))))</f>
        <v/>
      </c>
      <c r="H152" s="13">
        <f>IF(A152="","",IFERROR(INDEX(Submissions!$B:$B,MATCH(A152&amp;"|Under review",Submissions!$Q:$Q,0)),""))</f>
        <v/>
      </c>
      <c r="I152" s="13">
        <f>IF(A152="","",COUNTIFS(Submissions!$A:$A,A152,Submissions!$B:$B,"&lt;&gt;",Submissions!$E:$E,"&lt;&gt;Planned"))</f>
        <v/>
      </c>
      <c r="J152" s="13">
        <f>IF(A152="","",COUNTIFS(Submissions!$A:$A,A152,Submissions!$E:$E,"Rejected"))</f>
        <v/>
      </c>
      <c r="K152" s="13">
        <f>IF(A152="","",IFERROR(INDEX(Submissions!$B:$B,MATCH(A152&amp;"|Planned",Submissions!$Q:$Q,0)),""))</f>
        <v/>
      </c>
      <c r="L152" s="11" t="n"/>
      <c r="M152" s="13" t="n"/>
      <c r="N152" s="13" t="n"/>
      <c r="O152" s="13">
        <f>IF(OR(G152="Revision due",G152="Needs resubmission",G152="Not yet submitted"),COUNTIF($G$2:$G$200,"Revision due")*(G152&lt;&gt;"Revision due")+COUNTIF($G$2:$G$200,"Needs resubmission")*(G152="Not yet submitted")+COUNTIFS($G$2:G152,G152),"")</f>
        <v/>
      </c>
    </row>
    <row r="153">
      <c r="A153" s="13" t="n"/>
      <c r="B153" s="11" t="n"/>
      <c r="C153" s="13" t="n"/>
      <c r="D153" s="13" t="n"/>
      <c r="E153" s="13" t="n"/>
      <c r="F153" s="11" t="n"/>
      <c r="G153" s="13">
        <f>IF(A153="","",IF(E153&lt;&gt;"",E153,IF(COUNTIFS(Submissions!$A:$A,A153,Submissions!$E:$E,"Accepted")&gt;0,"Accepted",IF(COUNTIFS(Submissions!$A:$A,A153,Submissions!$E:$E,"Revision requested")&gt;0,"Revision due",IF(COUNTIFS(Submissions!$A:$A,A153,Submissions!$E:$E,"Under review")&gt;0,"Under review",IF(I153&gt;0,"Needs resubmission","Not yet submitted"))))))</f>
        <v/>
      </c>
      <c r="H153" s="13">
        <f>IF(A153="","",IFERROR(INDEX(Submissions!$B:$B,MATCH(A153&amp;"|Under review",Submissions!$Q:$Q,0)),""))</f>
        <v/>
      </c>
      <c r="I153" s="13">
        <f>IF(A153="","",COUNTIFS(Submissions!$A:$A,A153,Submissions!$B:$B,"&lt;&gt;",Submissions!$E:$E,"&lt;&gt;Planned"))</f>
        <v/>
      </c>
      <c r="J153" s="13">
        <f>IF(A153="","",COUNTIFS(Submissions!$A:$A,A153,Submissions!$E:$E,"Rejected"))</f>
        <v/>
      </c>
      <c r="K153" s="13">
        <f>IF(A153="","",IFERROR(INDEX(Submissions!$B:$B,MATCH(A153&amp;"|Planned",Submissions!$Q:$Q,0)),""))</f>
        <v/>
      </c>
      <c r="L153" s="11" t="n"/>
      <c r="M153" s="13" t="n"/>
      <c r="N153" s="13" t="n"/>
      <c r="O153" s="13">
        <f>IF(OR(G153="Revision due",G153="Needs resubmission",G153="Not yet submitted"),COUNTIF($G$2:$G$200,"Revision due")*(G153&lt;&gt;"Revision due")+COUNTIF($G$2:$G$200,"Needs resubmission")*(G153="Not yet submitted")+COUNTIFS($G$2:G153,G153),"")</f>
        <v/>
      </c>
    </row>
    <row r="154">
      <c r="A154" s="13" t="n"/>
      <c r="B154" s="11" t="n"/>
      <c r="C154" s="13" t="n"/>
      <c r="D154" s="13" t="n"/>
      <c r="E154" s="13" t="n"/>
      <c r="F154" s="11" t="n"/>
      <c r="G154" s="13">
        <f>IF(A154="","",IF(E154&lt;&gt;"",E154,IF(COUNTIFS(Submissions!$A:$A,A154,Submissions!$E:$E,"Accepted")&gt;0,"Accepted",IF(COUNTIFS(Submissions!$A:$A,A154,Submissions!$E:$E,"Revision requested")&gt;0,"Revision due",IF(COUNTIFS(Submissions!$A:$A,A154,Submissions!$E:$E,"Under review")&gt;0,"Under review",IF(I154&gt;0,"Needs resubmission","Not yet submitted"))))))</f>
        <v/>
      </c>
      <c r="H154" s="13">
        <f>IF(A154="","",IFERROR(INDEX(Submissions!$B:$B,MATCH(A154&amp;"|Under review",Submissions!$Q:$Q,0)),""))</f>
        <v/>
      </c>
      <c r="I154" s="13">
        <f>IF(A154="","",COUNTIFS(Submissions!$A:$A,A154,Submissions!$B:$B,"&lt;&gt;",Submissions!$E:$E,"&lt;&gt;Planned"))</f>
        <v/>
      </c>
      <c r="J154" s="13">
        <f>IF(A154="","",COUNTIFS(Submissions!$A:$A,A154,Submissions!$E:$E,"Rejected"))</f>
        <v/>
      </c>
      <c r="K154" s="13">
        <f>IF(A154="","",IFERROR(INDEX(Submissions!$B:$B,MATCH(A154&amp;"|Planned",Submissions!$Q:$Q,0)),""))</f>
        <v/>
      </c>
      <c r="L154" s="11" t="n"/>
      <c r="M154" s="13" t="n"/>
      <c r="N154" s="13" t="n"/>
      <c r="O154" s="13">
        <f>IF(OR(G154="Revision due",G154="Needs resubmission",G154="Not yet submitted"),COUNTIF($G$2:$G$200,"Revision due")*(G154&lt;&gt;"Revision due")+COUNTIF($G$2:$G$200,"Needs resubmission")*(G154="Not yet submitted")+COUNTIFS($G$2:G154,G154),"")</f>
        <v/>
      </c>
    </row>
    <row r="155">
      <c r="A155" s="13" t="n"/>
      <c r="B155" s="11" t="n"/>
      <c r="C155" s="13" t="n"/>
      <c r="D155" s="13" t="n"/>
      <c r="E155" s="13" t="n"/>
      <c r="F155" s="11" t="n"/>
      <c r="G155" s="13">
        <f>IF(A155="","",IF(E155&lt;&gt;"",E155,IF(COUNTIFS(Submissions!$A:$A,A155,Submissions!$E:$E,"Accepted")&gt;0,"Accepted",IF(COUNTIFS(Submissions!$A:$A,A155,Submissions!$E:$E,"Revision requested")&gt;0,"Revision due",IF(COUNTIFS(Submissions!$A:$A,A155,Submissions!$E:$E,"Under review")&gt;0,"Under review",IF(I155&gt;0,"Needs resubmission","Not yet submitted"))))))</f>
        <v/>
      </c>
      <c r="H155" s="13">
        <f>IF(A155="","",IFERROR(INDEX(Submissions!$B:$B,MATCH(A155&amp;"|Under review",Submissions!$Q:$Q,0)),""))</f>
        <v/>
      </c>
      <c r="I155" s="13">
        <f>IF(A155="","",COUNTIFS(Submissions!$A:$A,A155,Submissions!$B:$B,"&lt;&gt;",Submissions!$E:$E,"&lt;&gt;Planned"))</f>
        <v/>
      </c>
      <c r="J155" s="13">
        <f>IF(A155="","",COUNTIFS(Submissions!$A:$A,A155,Submissions!$E:$E,"Rejected"))</f>
        <v/>
      </c>
      <c r="K155" s="13">
        <f>IF(A155="","",IFERROR(INDEX(Submissions!$B:$B,MATCH(A155&amp;"|Planned",Submissions!$Q:$Q,0)),""))</f>
        <v/>
      </c>
      <c r="L155" s="11" t="n"/>
      <c r="M155" s="13" t="n"/>
      <c r="N155" s="13" t="n"/>
      <c r="O155" s="13">
        <f>IF(OR(G155="Revision due",G155="Needs resubmission",G155="Not yet submitted"),COUNTIF($G$2:$G$200,"Revision due")*(G155&lt;&gt;"Revision due")+COUNTIF($G$2:$G$200,"Needs resubmission")*(G155="Not yet submitted")+COUNTIFS($G$2:G155,G155),"")</f>
        <v/>
      </c>
    </row>
    <row r="156">
      <c r="A156" s="13" t="n"/>
      <c r="B156" s="11" t="n"/>
      <c r="C156" s="13" t="n"/>
      <c r="D156" s="13" t="n"/>
      <c r="E156" s="13" t="n"/>
      <c r="F156" s="11" t="n"/>
      <c r="G156" s="13">
        <f>IF(A156="","",IF(E156&lt;&gt;"",E156,IF(COUNTIFS(Submissions!$A:$A,A156,Submissions!$E:$E,"Accepted")&gt;0,"Accepted",IF(COUNTIFS(Submissions!$A:$A,A156,Submissions!$E:$E,"Revision requested")&gt;0,"Revision due",IF(COUNTIFS(Submissions!$A:$A,A156,Submissions!$E:$E,"Under review")&gt;0,"Under review",IF(I156&gt;0,"Needs resubmission","Not yet submitted"))))))</f>
        <v/>
      </c>
      <c r="H156" s="13">
        <f>IF(A156="","",IFERROR(INDEX(Submissions!$B:$B,MATCH(A156&amp;"|Under review",Submissions!$Q:$Q,0)),""))</f>
        <v/>
      </c>
      <c r="I156" s="13">
        <f>IF(A156="","",COUNTIFS(Submissions!$A:$A,A156,Submissions!$B:$B,"&lt;&gt;",Submissions!$E:$E,"&lt;&gt;Planned"))</f>
        <v/>
      </c>
      <c r="J156" s="13">
        <f>IF(A156="","",COUNTIFS(Submissions!$A:$A,A156,Submissions!$E:$E,"Rejected"))</f>
        <v/>
      </c>
      <c r="K156" s="13">
        <f>IF(A156="","",IFERROR(INDEX(Submissions!$B:$B,MATCH(A156&amp;"|Planned",Submissions!$Q:$Q,0)),""))</f>
        <v/>
      </c>
      <c r="L156" s="11" t="n"/>
      <c r="M156" s="13" t="n"/>
      <c r="N156" s="13" t="n"/>
      <c r="O156" s="13">
        <f>IF(OR(G156="Revision due",G156="Needs resubmission",G156="Not yet submitted"),COUNTIF($G$2:$G$200,"Revision due")*(G156&lt;&gt;"Revision due")+COUNTIF($G$2:$G$200,"Needs resubmission")*(G156="Not yet submitted")+COUNTIFS($G$2:G156,G156),"")</f>
        <v/>
      </c>
    </row>
    <row r="157">
      <c r="A157" s="13" t="n"/>
      <c r="B157" s="11" t="n"/>
      <c r="C157" s="13" t="n"/>
      <c r="D157" s="13" t="n"/>
      <c r="E157" s="13" t="n"/>
      <c r="F157" s="11" t="n"/>
      <c r="G157" s="13">
        <f>IF(A157="","",IF(E157&lt;&gt;"",E157,IF(COUNTIFS(Submissions!$A:$A,A157,Submissions!$E:$E,"Accepted")&gt;0,"Accepted",IF(COUNTIFS(Submissions!$A:$A,A157,Submissions!$E:$E,"Revision requested")&gt;0,"Revision due",IF(COUNTIFS(Submissions!$A:$A,A157,Submissions!$E:$E,"Under review")&gt;0,"Under review",IF(I157&gt;0,"Needs resubmission","Not yet submitted"))))))</f>
        <v/>
      </c>
      <c r="H157" s="13">
        <f>IF(A157="","",IFERROR(INDEX(Submissions!$B:$B,MATCH(A157&amp;"|Under review",Submissions!$Q:$Q,0)),""))</f>
        <v/>
      </c>
      <c r="I157" s="13">
        <f>IF(A157="","",COUNTIFS(Submissions!$A:$A,A157,Submissions!$B:$B,"&lt;&gt;",Submissions!$E:$E,"&lt;&gt;Planned"))</f>
        <v/>
      </c>
      <c r="J157" s="13">
        <f>IF(A157="","",COUNTIFS(Submissions!$A:$A,A157,Submissions!$E:$E,"Rejected"))</f>
        <v/>
      </c>
      <c r="K157" s="13">
        <f>IF(A157="","",IFERROR(INDEX(Submissions!$B:$B,MATCH(A157&amp;"|Planned",Submissions!$Q:$Q,0)),""))</f>
        <v/>
      </c>
      <c r="L157" s="11" t="n"/>
      <c r="M157" s="13" t="n"/>
      <c r="N157" s="13" t="n"/>
      <c r="O157" s="13">
        <f>IF(OR(G157="Revision due",G157="Needs resubmission",G157="Not yet submitted"),COUNTIF($G$2:$G$200,"Revision due")*(G157&lt;&gt;"Revision due")+COUNTIF($G$2:$G$200,"Needs resubmission")*(G157="Not yet submitted")+COUNTIFS($G$2:G157,G157),"")</f>
        <v/>
      </c>
    </row>
    <row r="158">
      <c r="A158" s="13" t="n"/>
      <c r="B158" s="11" t="n"/>
      <c r="C158" s="13" t="n"/>
      <c r="D158" s="13" t="n"/>
      <c r="E158" s="13" t="n"/>
      <c r="F158" s="11" t="n"/>
      <c r="G158" s="13">
        <f>IF(A158="","",IF(E158&lt;&gt;"",E158,IF(COUNTIFS(Submissions!$A:$A,A158,Submissions!$E:$E,"Accepted")&gt;0,"Accepted",IF(COUNTIFS(Submissions!$A:$A,A158,Submissions!$E:$E,"Revision requested")&gt;0,"Revision due",IF(COUNTIFS(Submissions!$A:$A,A158,Submissions!$E:$E,"Under review")&gt;0,"Under review",IF(I158&gt;0,"Needs resubmission","Not yet submitted"))))))</f>
        <v/>
      </c>
      <c r="H158" s="13">
        <f>IF(A158="","",IFERROR(INDEX(Submissions!$B:$B,MATCH(A158&amp;"|Under review",Submissions!$Q:$Q,0)),""))</f>
        <v/>
      </c>
      <c r="I158" s="13">
        <f>IF(A158="","",COUNTIFS(Submissions!$A:$A,A158,Submissions!$B:$B,"&lt;&gt;",Submissions!$E:$E,"&lt;&gt;Planned"))</f>
        <v/>
      </c>
      <c r="J158" s="13">
        <f>IF(A158="","",COUNTIFS(Submissions!$A:$A,A158,Submissions!$E:$E,"Rejected"))</f>
        <v/>
      </c>
      <c r="K158" s="13">
        <f>IF(A158="","",IFERROR(INDEX(Submissions!$B:$B,MATCH(A158&amp;"|Planned",Submissions!$Q:$Q,0)),""))</f>
        <v/>
      </c>
      <c r="L158" s="11" t="n"/>
      <c r="M158" s="13" t="n"/>
      <c r="N158" s="13" t="n"/>
      <c r="O158" s="13">
        <f>IF(OR(G158="Revision due",G158="Needs resubmission",G158="Not yet submitted"),COUNTIF($G$2:$G$200,"Revision due")*(G158&lt;&gt;"Revision due")+COUNTIF($G$2:$G$200,"Needs resubmission")*(G158="Not yet submitted")+COUNTIFS($G$2:G158,G158),"")</f>
        <v/>
      </c>
    </row>
    <row r="159">
      <c r="A159" s="13" t="n"/>
      <c r="B159" s="11" t="n"/>
      <c r="C159" s="13" t="n"/>
      <c r="D159" s="13" t="n"/>
      <c r="E159" s="13" t="n"/>
      <c r="F159" s="11" t="n"/>
      <c r="G159" s="13">
        <f>IF(A159="","",IF(E159&lt;&gt;"",E159,IF(COUNTIFS(Submissions!$A:$A,A159,Submissions!$E:$E,"Accepted")&gt;0,"Accepted",IF(COUNTIFS(Submissions!$A:$A,A159,Submissions!$E:$E,"Revision requested")&gt;0,"Revision due",IF(COUNTIFS(Submissions!$A:$A,A159,Submissions!$E:$E,"Under review")&gt;0,"Under review",IF(I159&gt;0,"Needs resubmission","Not yet submitted"))))))</f>
        <v/>
      </c>
      <c r="H159" s="13">
        <f>IF(A159="","",IFERROR(INDEX(Submissions!$B:$B,MATCH(A159&amp;"|Under review",Submissions!$Q:$Q,0)),""))</f>
        <v/>
      </c>
      <c r="I159" s="13">
        <f>IF(A159="","",COUNTIFS(Submissions!$A:$A,A159,Submissions!$B:$B,"&lt;&gt;",Submissions!$E:$E,"&lt;&gt;Planned"))</f>
        <v/>
      </c>
      <c r="J159" s="13">
        <f>IF(A159="","",COUNTIFS(Submissions!$A:$A,A159,Submissions!$E:$E,"Rejected"))</f>
        <v/>
      </c>
      <c r="K159" s="13">
        <f>IF(A159="","",IFERROR(INDEX(Submissions!$B:$B,MATCH(A159&amp;"|Planned",Submissions!$Q:$Q,0)),""))</f>
        <v/>
      </c>
      <c r="L159" s="11" t="n"/>
      <c r="M159" s="13" t="n"/>
      <c r="N159" s="13" t="n"/>
      <c r="O159" s="13">
        <f>IF(OR(G159="Revision due",G159="Needs resubmission",G159="Not yet submitted"),COUNTIF($G$2:$G$200,"Revision due")*(G159&lt;&gt;"Revision due")+COUNTIF($G$2:$G$200,"Needs resubmission")*(G159="Not yet submitted")+COUNTIFS($G$2:G159,G159),"")</f>
        <v/>
      </c>
    </row>
    <row r="160">
      <c r="A160" s="13" t="n"/>
      <c r="B160" s="11" t="n"/>
      <c r="C160" s="13" t="n"/>
      <c r="D160" s="13" t="n"/>
      <c r="E160" s="13" t="n"/>
      <c r="F160" s="11" t="n"/>
      <c r="G160" s="13">
        <f>IF(A160="","",IF(E160&lt;&gt;"",E160,IF(COUNTIFS(Submissions!$A:$A,A160,Submissions!$E:$E,"Accepted")&gt;0,"Accepted",IF(COUNTIFS(Submissions!$A:$A,A160,Submissions!$E:$E,"Revision requested")&gt;0,"Revision due",IF(COUNTIFS(Submissions!$A:$A,A160,Submissions!$E:$E,"Under review")&gt;0,"Under review",IF(I160&gt;0,"Needs resubmission","Not yet submitted"))))))</f>
        <v/>
      </c>
      <c r="H160" s="13">
        <f>IF(A160="","",IFERROR(INDEX(Submissions!$B:$B,MATCH(A160&amp;"|Under review",Submissions!$Q:$Q,0)),""))</f>
        <v/>
      </c>
      <c r="I160" s="13">
        <f>IF(A160="","",COUNTIFS(Submissions!$A:$A,A160,Submissions!$B:$B,"&lt;&gt;",Submissions!$E:$E,"&lt;&gt;Planned"))</f>
        <v/>
      </c>
      <c r="J160" s="13">
        <f>IF(A160="","",COUNTIFS(Submissions!$A:$A,A160,Submissions!$E:$E,"Rejected"))</f>
        <v/>
      </c>
      <c r="K160" s="13">
        <f>IF(A160="","",IFERROR(INDEX(Submissions!$B:$B,MATCH(A160&amp;"|Planned",Submissions!$Q:$Q,0)),""))</f>
        <v/>
      </c>
      <c r="L160" s="11" t="n"/>
      <c r="M160" s="13" t="n"/>
      <c r="N160" s="13" t="n"/>
      <c r="O160" s="13">
        <f>IF(OR(G160="Revision due",G160="Needs resubmission",G160="Not yet submitted"),COUNTIF($G$2:$G$200,"Revision due")*(G160&lt;&gt;"Revision due")+COUNTIF($G$2:$G$200,"Needs resubmission")*(G160="Not yet submitted")+COUNTIFS($G$2:G160,G160),"")</f>
        <v/>
      </c>
    </row>
    <row r="161">
      <c r="A161" s="13" t="n"/>
      <c r="B161" s="11" t="n"/>
      <c r="C161" s="13" t="n"/>
      <c r="D161" s="13" t="n"/>
      <c r="E161" s="13" t="n"/>
      <c r="F161" s="11" t="n"/>
      <c r="G161" s="13">
        <f>IF(A161="","",IF(E161&lt;&gt;"",E161,IF(COUNTIFS(Submissions!$A:$A,A161,Submissions!$E:$E,"Accepted")&gt;0,"Accepted",IF(COUNTIFS(Submissions!$A:$A,A161,Submissions!$E:$E,"Revision requested")&gt;0,"Revision due",IF(COUNTIFS(Submissions!$A:$A,A161,Submissions!$E:$E,"Under review")&gt;0,"Under review",IF(I161&gt;0,"Needs resubmission","Not yet submitted"))))))</f>
        <v/>
      </c>
      <c r="H161" s="13">
        <f>IF(A161="","",IFERROR(INDEX(Submissions!$B:$B,MATCH(A161&amp;"|Under review",Submissions!$Q:$Q,0)),""))</f>
        <v/>
      </c>
      <c r="I161" s="13">
        <f>IF(A161="","",COUNTIFS(Submissions!$A:$A,A161,Submissions!$B:$B,"&lt;&gt;",Submissions!$E:$E,"&lt;&gt;Planned"))</f>
        <v/>
      </c>
      <c r="J161" s="13">
        <f>IF(A161="","",COUNTIFS(Submissions!$A:$A,A161,Submissions!$E:$E,"Rejected"))</f>
        <v/>
      </c>
      <c r="K161" s="13">
        <f>IF(A161="","",IFERROR(INDEX(Submissions!$B:$B,MATCH(A161&amp;"|Planned",Submissions!$Q:$Q,0)),""))</f>
        <v/>
      </c>
      <c r="L161" s="11" t="n"/>
      <c r="M161" s="13" t="n"/>
      <c r="N161" s="13" t="n"/>
      <c r="O161" s="13">
        <f>IF(OR(G161="Revision due",G161="Needs resubmission",G161="Not yet submitted"),COUNTIF($G$2:$G$200,"Revision due")*(G161&lt;&gt;"Revision due")+COUNTIF($G$2:$G$200,"Needs resubmission")*(G161="Not yet submitted")+COUNTIFS($G$2:G161,G161),"")</f>
        <v/>
      </c>
    </row>
    <row r="162">
      <c r="A162" s="13" t="n"/>
      <c r="B162" s="11" t="n"/>
      <c r="C162" s="13" t="n"/>
      <c r="D162" s="13" t="n"/>
      <c r="E162" s="13" t="n"/>
      <c r="F162" s="11" t="n"/>
      <c r="G162" s="13">
        <f>IF(A162="","",IF(E162&lt;&gt;"",E162,IF(COUNTIFS(Submissions!$A:$A,A162,Submissions!$E:$E,"Accepted")&gt;0,"Accepted",IF(COUNTIFS(Submissions!$A:$A,A162,Submissions!$E:$E,"Revision requested")&gt;0,"Revision due",IF(COUNTIFS(Submissions!$A:$A,A162,Submissions!$E:$E,"Under review")&gt;0,"Under review",IF(I162&gt;0,"Needs resubmission","Not yet submitted"))))))</f>
        <v/>
      </c>
      <c r="H162" s="13">
        <f>IF(A162="","",IFERROR(INDEX(Submissions!$B:$B,MATCH(A162&amp;"|Under review",Submissions!$Q:$Q,0)),""))</f>
        <v/>
      </c>
      <c r="I162" s="13">
        <f>IF(A162="","",COUNTIFS(Submissions!$A:$A,A162,Submissions!$B:$B,"&lt;&gt;",Submissions!$E:$E,"&lt;&gt;Planned"))</f>
        <v/>
      </c>
      <c r="J162" s="13">
        <f>IF(A162="","",COUNTIFS(Submissions!$A:$A,A162,Submissions!$E:$E,"Rejected"))</f>
        <v/>
      </c>
      <c r="K162" s="13">
        <f>IF(A162="","",IFERROR(INDEX(Submissions!$B:$B,MATCH(A162&amp;"|Planned",Submissions!$Q:$Q,0)),""))</f>
        <v/>
      </c>
      <c r="L162" s="11" t="n"/>
      <c r="M162" s="13" t="n"/>
      <c r="N162" s="13" t="n"/>
      <c r="O162" s="13">
        <f>IF(OR(G162="Revision due",G162="Needs resubmission",G162="Not yet submitted"),COUNTIF($G$2:$G$200,"Revision due")*(G162&lt;&gt;"Revision due")+COUNTIF($G$2:$G$200,"Needs resubmission")*(G162="Not yet submitted")+COUNTIFS($G$2:G162,G162),"")</f>
        <v/>
      </c>
    </row>
    <row r="163">
      <c r="A163" s="13" t="n"/>
      <c r="B163" s="11" t="n"/>
      <c r="C163" s="13" t="n"/>
      <c r="D163" s="13" t="n"/>
      <c r="E163" s="13" t="n"/>
      <c r="F163" s="11" t="n"/>
      <c r="G163" s="13">
        <f>IF(A163="","",IF(E163&lt;&gt;"",E163,IF(COUNTIFS(Submissions!$A:$A,A163,Submissions!$E:$E,"Accepted")&gt;0,"Accepted",IF(COUNTIFS(Submissions!$A:$A,A163,Submissions!$E:$E,"Revision requested")&gt;0,"Revision due",IF(COUNTIFS(Submissions!$A:$A,A163,Submissions!$E:$E,"Under review")&gt;0,"Under review",IF(I163&gt;0,"Needs resubmission","Not yet submitted"))))))</f>
        <v/>
      </c>
      <c r="H163" s="13">
        <f>IF(A163="","",IFERROR(INDEX(Submissions!$B:$B,MATCH(A163&amp;"|Under review",Submissions!$Q:$Q,0)),""))</f>
        <v/>
      </c>
      <c r="I163" s="13">
        <f>IF(A163="","",COUNTIFS(Submissions!$A:$A,A163,Submissions!$B:$B,"&lt;&gt;",Submissions!$E:$E,"&lt;&gt;Planned"))</f>
        <v/>
      </c>
      <c r="J163" s="13">
        <f>IF(A163="","",COUNTIFS(Submissions!$A:$A,A163,Submissions!$E:$E,"Rejected"))</f>
        <v/>
      </c>
      <c r="K163" s="13">
        <f>IF(A163="","",IFERROR(INDEX(Submissions!$B:$B,MATCH(A163&amp;"|Planned",Submissions!$Q:$Q,0)),""))</f>
        <v/>
      </c>
      <c r="L163" s="11" t="n"/>
      <c r="M163" s="13" t="n"/>
      <c r="N163" s="13" t="n"/>
      <c r="O163" s="13">
        <f>IF(OR(G163="Revision due",G163="Needs resubmission",G163="Not yet submitted"),COUNTIF($G$2:$G$200,"Revision due")*(G163&lt;&gt;"Revision due")+COUNTIF($G$2:$G$200,"Needs resubmission")*(G163="Not yet submitted")+COUNTIFS($G$2:G163,G163),"")</f>
        <v/>
      </c>
    </row>
    <row r="164">
      <c r="A164" s="13" t="n"/>
      <c r="B164" s="11" t="n"/>
      <c r="C164" s="13" t="n"/>
      <c r="D164" s="13" t="n"/>
      <c r="E164" s="13" t="n"/>
      <c r="F164" s="11" t="n"/>
      <c r="G164" s="13">
        <f>IF(A164="","",IF(E164&lt;&gt;"",E164,IF(COUNTIFS(Submissions!$A:$A,A164,Submissions!$E:$E,"Accepted")&gt;0,"Accepted",IF(COUNTIFS(Submissions!$A:$A,A164,Submissions!$E:$E,"Revision requested")&gt;0,"Revision due",IF(COUNTIFS(Submissions!$A:$A,A164,Submissions!$E:$E,"Under review")&gt;0,"Under review",IF(I164&gt;0,"Needs resubmission","Not yet submitted"))))))</f>
        <v/>
      </c>
      <c r="H164" s="13">
        <f>IF(A164="","",IFERROR(INDEX(Submissions!$B:$B,MATCH(A164&amp;"|Under review",Submissions!$Q:$Q,0)),""))</f>
        <v/>
      </c>
      <c r="I164" s="13">
        <f>IF(A164="","",COUNTIFS(Submissions!$A:$A,A164,Submissions!$B:$B,"&lt;&gt;",Submissions!$E:$E,"&lt;&gt;Planned"))</f>
        <v/>
      </c>
      <c r="J164" s="13">
        <f>IF(A164="","",COUNTIFS(Submissions!$A:$A,A164,Submissions!$E:$E,"Rejected"))</f>
        <v/>
      </c>
      <c r="K164" s="13">
        <f>IF(A164="","",IFERROR(INDEX(Submissions!$B:$B,MATCH(A164&amp;"|Planned",Submissions!$Q:$Q,0)),""))</f>
        <v/>
      </c>
      <c r="L164" s="11" t="n"/>
      <c r="M164" s="13" t="n"/>
      <c r="N164" s="13" t="n"/>
      <c r="O164" s="13">
        <f>IF(OR(G164="Revision due",G164="Needs resubmission",G164="Not yet submitted"),COUNTIF($G$2:$G$200,"Revision due")*(G164&lt;&gt;"Revision due")+COUNTIF($G$2:$G$200,"Needs resubmission")*(G164="Not yet submitted")+COUNTIFS($G$2:G164,G164),"")</f>
        <v/>
      </c>
    </row>
    <row r="165">
      <c r="A165" s="13" t="n"/>
      <c r="B165" s="11" t="n"/>
      <c r="C165" s="13" t="n"/>
      <c r="D165" s="13" t="n"/>
      <c r="E165" s="13" t="n"/>
      <c r="F165" s="11" t="n"/>
      <c r="G165" s="13">
        <f>IF(A165="","",IF(E165&lt;&gt;"",E165,IF(COUNTIFS(Submissions!$A:$A,A165,Submissions!$E:$E,"Accepted")&gt;0,"Accepted",IF(COUNTIFS(Submissions!$A:$A,A165,Submissions!$E:$E,"Revision requested")&gt;0,"Revision due",IF(COUNTIFS(Submissions!$A:$A,A165,Submissions!$E:$E,"Under review")&gt;0,"Under review",IF(I165&gt;0,"Needs resubmission","Not yet submitted"))))))</f>
        <v/>
      </c>
      <c r="H165" s="13">
        <f>IF(A165="","",IFERROR(INDEX(Submissions!$B:$B,MATCH(A165&amp;"|Under review",Submissions!$Q:$Q,0)),""))</f>
        <v/>
      </c>
      <c r="I165" s="13">
        <f>IF(A165="","",COUNTIFS(Submissions!$A:$A,A165,Submissions!$B:$B,"&lt;&gt;",Submissions!$E:$E,"&lt;&gt;Planned"))</f>
        <v/>
      </c>
      <c r="J165" s="13">
        <f>IF(A165="","",COUNTIFS(Submissions!$A:$A,A165,Submissions!$E:$E,"Rejected"))</f>
        <v/>
      </c>
      <c r="K165" s="13">
        <f>IF(A165="","",IFERROR(INDEX(Submissions!$B:$B,MATCH(A165&amp;"|Planned",Submissions!$Q:$Q,0)),""))</f>
        <v/>
      </c>
      <c r="L165" s="11" t="n"/>
      <c r="M165" s="13" t="n"/>
      <c r="N165" s="13" t="n"/>
      <c r="O165" s="13">
        <f>IF(OR(G165="Revision due",G165="Needs resubmission",G165="Not yet submitted"),COUNTIF($G$2:$G$200,"Revision due")*(G165&lt;&gt;"Revision due")+COUNTIF($G$2:$G$200,"Needs resubmission")*(G165="Not yet submitted")+COUNTIFS($G$2:G165,G165),"")</f>
        <v/>
      </c>
    </row>
    <row r="166">
      <c r="A166" s="13" t="n"/>
      <c r="B166" s="11" t="n"/>
      <c r="C166" s="13" t="n"/>
      <c r="D166" s="13" t="n"/>
      <c r="E166" s="13" t="n"/>
      <c r="F166" s="11" t="n"/>
      <c r="G166" s="13">
        <f>IF(A166="","",IF(E166&lt;&gt;"",E166,IF(COUNTIFS(Submissions!$A:$A,A166,Submissions!$E:$E,"Accepted")&gt;0,"Accepted",IF(COUNTIFS(Submissions!$A:$A,A166,Submissions!$E:$E,"Revision requested")&gt;0,"Revision due",IF(COUNTIFS(Submissions!$A:$A,A166,Submissions!$E:$E,"Under review")&gt;0,"Under review",IF(I166&gt;0,"Needs resubmission","Not yet submitted"))))))</f>
        <v/>
      </c>
      <c r="H166" s="13">
        <f>IF(A166="","",IFERROR(INDEX(Submissions!$B:$B,MATCH(A166&amp;"|Under review",Submissions!$Q:$Q,0)),""))</f>
        <v/>
      </c>
      <c r="I166" s="13">
        <f>IF(A166="","",COUNTIFS(Submissions!$A:$A,A166,Submissions!$B:$B,"&lt;&gt;",Submissions!$E:$E,"&lt;&gt;Planned"))</f>
        <v/>
      </c>
      <c r="J166" s="13">
        <f>IF(A166="","",COUNTIFS(Submissions!$A:$A,A166,Submissions!$E:$E,"Rejected"))</f>
        <v/>
      </c>
      <c r="K166" s="13">
        <f>IF(A166="","",IFERROR(INDEX(Submissions!$B:$B,MATCH(A166&amp;"|Planned",Submissions!$Q:$Q,0)),""))</f>
        <v/>
      </c>
      <c r="L166" s="11" t="n"/>
      <c r="M166" s="13" t="n"/>
      <c r="N166" s="13" t="n"/>
      <c r="O166" s="13">
        <f>IF(OR(G166="Revision due",G166="Needs resubmission",G166="Not yet submitted"),COUNTIF($G$2:$G$200,"Revision due")*(G166&lt;&gt;"Revision due")+COUNTIF($G$2:$G$200,"Needs resubmission")*(G166="Not yet submitted")+COUNTIFS($G$2:G166,G166),"")</f>
        <v/>
      </c>
    </row>
    <row r="167">
      <c r="A167" s="13" t="n"/>
      <c r="B167" s="11" t="n"/>
      <c r="C167" s="13" t="n"/>
      <c r="D167" s="13" t="n"/>
      <c r="E167" s="13" t="n"/>
      <c r="F167" s="11" t="n"/>
      <c r="G167" s="13">
        <f>IF(A167="","",IF(E167&lt;&gt;"",E167,IF(COUNTIFS(Submissions!$A:$A,A167,Submissions!$E:$E,"Accepted")&gt;0,"Accepted",IF(COUNTIFS(Submissions!$A:$A,A167,Submissions!$E:$E,"Revision requested")&gt;0,"Revision due",IF(COUNTIFS(Submissions!$A:$A,A167,Submissions!$E:$E,"Under review")&gt;0,"Under review",IF(I167&gt;0,"Needs resubmission","Not yet submitted"))))))</f>
        <v/>
      </c>
      <c r="H167" s="13">
        <f>IF(A167="","",IFERROR(INDEX(Submissions!$B:$B,MATCH(A167&amp;"|Under review",Submissions!$Q:$Q,0)),""))</f>
        <v/>
      </c>
      <c r="I167" s="13">
        <f>IF(A167="","",COUNTIFS(Submissions!$A:$A,A167,Submissions!$B:$B,"&lt;&gt;",Submissions!$E:$E,"&lt;&gt;Planned"))</f>
        <v/>
      </c>
      <c r="J167" s="13">
        <f>IF(A167="","",COUNTIFS(Submissions!$A:$A,A167,Submissions!$E:$E,"Rejected"))</f>
        <v/>
      </c>
      <c r="K167" s="13">
        <f>IF(A167="","",IFERROR(INDEX(Submissions!$B:$B,MATCH(A167&amp;"|Planned",Submissions!$Q:$Q,0)),""))</f>
        <v/>
      </c>
      <c r="L167" s="11" t="n"/>
      <c r="M167" s="13" t="n"/>
      <c r="N167" s="13" t="n"/>
      <c r="O167" s="13">
        <f>IF(OR(G167="Revision due",G167="Needs resubmission",G167="Not yet submitted"),COUNTIF($G$2:$G$200,"Revision due")*(G167&lt;&gt;"Revision due")+COUNTIF($G$2:$G$200,"Needs resubmission")*(G167="Not yet submitted")+COUNTIFS($G$2:G167,G167),"")</f>
        <v/>
      </c>
    </row>
    <row r="168">
      <c r="A168" s="13" t="n"/>
      <c r="B168" s="11" t="n"/>
      <c r="C168" s="13" t="n"/>
      <c r="D168" s="13" t="n"/>
      <c r="E168" s="13" t="n"/>
      <c r="F168" s="11" t="n"/>
      <c r="G168" s="13">
        <f>IF(A168="","",IF(E168&lt;&gt;"",E168,IF(COUNTIFS(Submissions!$A:$A,A168,Submissions!$E:$E,"Accepted")&gt;0,"Accepted",IF(COUNTIFS(Submissions!$A:$A,A168,Submissions!$E:$E,"Revision requested")&gt;0,"Revision due",IF(COUNTIFS(Submissions!$A:$A,A168,Submissions!$E:$E,"Under review")&gt;0,"Under review",IF(I168&gt;0,"Needs resubmission","Not yet submitted"))))))</f>
        <v/>
      </c>
      <c r="H168" s="13">
        <f>IF(A168="","",IFERROR(INDEX(Submissions!$B:$B,MATCH(A168&amp;"|Under review",Submissions!$Q:$Q,0)),""))</f>
        <v/>
      </c>
      <c r="I168" s="13">
        <f>IF(A168="","",COUNTIFS(Submissions!$A:$A,A168,Submissions!$B:$B,"&lt;&gt;",Submissions!$E:$E,"&lt;&gt;Planned"))</f>
        <v/>
      </c>
      <c r="J168" s="13">
        <f>IF(A168="","",COUNTIFS(Submissions!$A:$A,A168,Submissions!$E:$E,"Rejected"))</f>
        <v/>
      </c>
      <c r="K168" s="13">
        <f>IF(A168="","",IFERROR(INDEX(Submissions!$B:$B,MATCH(A168&amp;"|Planned",Submissions!$Q:$Q,0)),""))</f>
        <v/>
      </c>
      <c r="L168" s="11" t="n"/>
      <c r="M168" s="13" t="n"/>
      <c r="N168" s="13" t="n"/>
      <c r="O168" s="13">
        <f>IF(OR(G168="Revision due",G168="Needs resubmission",G168="Not yet submitted"),COUNTIF($G$2:$G$200,"Revision due")*(G168&lt;&gt;"Revision due")+COUNTIF($G$2:$G$200,"Needs resubmission")*(G168="Not yet submitted")+COUNTIFS($G$2:G168,G168),"")</f>
        <v/>
      </c>
    </row>
    <row r="169">
      <c r="A169" s="13" t="n"/>
      <c r="B169" s="11" t="n"/>
      <c r="C169" s="13" t="n"/>
      <c r="D169" s="13" t="n"/>
      <c r="E169" s="13" t="n"/>
      <c r="F169" s="11" t="n"/>
      <c r="G169" s="13">
        <f>IF(A169="","",IF(E169&lt;&gt;"",E169,IF(COUNTIFS(Submissions!$A:$A,A169,Submissions!$E:$E,"Accepted")&gt;0,"Accepted",IF(COUNTIFS(Submissions!$A:$A,A169,Submissions!$E:$E,"Revision requested")&gt;0,"Revision due",IF(COUNTIFS(Submissions!$A:$A,A169,Submissions!$E:$E,"Under review")&gt;0,"Under review",IF(I169&gt;0,"Needs resubmission","Not yet submitted"))))))</f>
        <v/>
      </c>
      <c r="H169" s="13">
        <f>IF(A169="","",IFERROR(INDEX(Submissions!$B:$B,MATCH(A169&amp;"|Under review",Submissions!$Q:$Q,0)),""))</f>
        <v/>
      </c>
      <c r="I169" s="13">
        <f>IF(A169="","",COUNTIFS(Submissions!$A:$A,A169,Submissions!$B:$B,"&lt;&gt;",Submissions!$E:$E,"&lt;&gt;Planned"))</f>
        <v/>
      </c>
      <c r="J169" s="13">
        <f>IF(A169="","",COUNTIFS(Submissions!$A:$A,A169,Submissions!$E:$E,"Rejected"))</f>
        <v/>
      </c>
      <c r="K169" s="13">
        <f>IF(A169="","",IFERROR(INDEX(Submissions!$B:$B,MATCH(A169&amp;"|Planned",Submissions!$Q:$Q,0)),""))</f>
        <v/>
      </c>
      <c r="L169" s="11" t="n"/>
      <c r="M169" s="13" t="n"/>
      <c r="N169" s="13" t="n"/>
      <c r="O169" s="13">
        <f>IF(OR(G169="Revision due",G169="Needs resubmission",G169="Not yet submitted"),COUNTIF($G$2:$G$200,"Revision due")*(G169&lt;&gt;"Revision due")+COUNTIF($G$2:$G$200,"Needs resubmission")*(G169="Not yet submitted")+COUNTIFS($G$2:G169,G169),"")</f>
        <v/>
      </c>
    </row>
    <row r="170">
      <c r="A170" s="13" t="n"/>
      <c r="B170" s="11" t="n"/>
      <c r="C170" s="13" t="n"/>
      <c r="D170" s="13" t="n"/>
      <c r="E170" s="13" t="n"/>
      <c r="F170" s="11" t="n"/>
      <c r="G170" s="13">
        <f>IF(A170="","",IF(E170&lt;&gt;"",E170,IF(COUNTIFS(Submissions!$A:$A,A170,Submissions!$E:$E,"Accepted")&gt;0,"Accepted",IF(COUNTIFS(Submissions!$A:$A,A170,Submissions!$E:$E,"Revision requested")&gt;0,"Revision due",IF(COUNTIFS(Submissions!$A:$A,A170,Submissions!$E:$E,"Under review")&gt;0,"Under review",IF(I170&gt;0,"Needs resubmission","Not yet submitted"))))))</f>
        <v/>
      </c>
      <c r="H170" s="13">
        <f>IF(A170="","",IFERROR(INDEX(Submissions!$B:$B,MATCH(A170&amp;"|Under review",Submissions!$Q:$Q,0)),""))</f>
        <v/>
      </c>
      <c r="I170" s="13">
        <f>IF(A170="","",COUNTIFS(Submissions!$A:$A,A170,Submissions!$B:$B,"&lt;&gt;",Submissions!$E:$E,"&lt;&gt;Planned"))</f>
        <v/>
      </c>
      <c r="J170" s="13">
        <f>IF(A170="","",COUNTIFS(Submissions!$A:$A,A170,Submissions!$E:$E,"Rejected"))</f>
        <v/>
      </c>
      <c r="K170" s="13">
        <f>IF(A170="","",IFERROR(INDEX(Submissions!$B:$B,MATCH(A170&amp;"|Planned",Submissions!$Q:$Q,0)),""))</f>
        <v/>
      </c>
      <c r="L170" s="11" t="n"/>
      <c r="M170" s="13" t="n"/>
      <c r="N170" s="13" t="n"/>
      <c r="O170" s="13">
        <f>IF(OR(G170="Revision due",G170="Needs resubmission",G170="Not yet submitted"),COUNTIF($G$2:$G$200,"Revision due")*(G170&lt;&gt;"Revision due")+COUNTIF($G$2:$G$200,"Needs resubmission")*(G170="Not yet submitted")+COUNTIFS($G$2:G170,G170),"")</f>
        <v/>
      </c>
    </row>
    <row r="171">
      <c r="A171" s="13" t="n"/>
      <c r="B171" s="11" t="n"/>
      <c r="C171" s="13" t="n"/>
      <c r="D171" s="13" t="n"/>
      <c r="E171" s="13" t="n"/>
      <c r="F171" s="11" t="n"/>
      <c r="G171" s="13">
        <f>IF(A171="","",IF(E171&lt;&gt;"",E171,IF(COUNTIFS(Submissions!$A:$A,A171,Submissions!$E:$E,"Accepted")&gt;0,"Accepted",IF(COUNTIFS(Submissions!$A:$A,A171,Submissions!$E:$E,"Revision requested")&gt;0,"Revision due",IF(COUNTIFS(Submissions!$A:$A,A171,Submissions!$E:$E,"Under review")&gt;0,"Under review",IF(I171&gt;0,"Needs resubmission","Not yet submitted"))))))</f>
        <v/>
      </c>
      <c r="H171" s="13">
        <f>IF(A171="","",IFERROR(INDEX(Submissions!$B:$B,MATCH(A171&amp;"|Under review",Submissions!$Q:$Q,0)),""))</f>
        <v/>
      </c>
      <c r="I171" s="13">
        <f>IF(A171="","",COUNTIFS(Submissions!$A:$A,A171,Submissions!$B:$B,"&lt;&gt;",Submissions!$E:$E,"&lt;&gt;Planned"))</f>
        <v/>
      </c>
      <c r="J171" s="13">
        <f>IF(A171="","",COUNTIFS(Submissions!$A:$A,A171,Submissions!$E:$E,"Rejected"))</f>
        <v/>
      </c>
      <c r="K171" s="13">
        <f>IF(A171="","",IFERROR(INDEX(Submissions!$B:$B,MATCH(A171&amp;"|Planned",Submissions!$Q:$Q,0)),""))</f>
        <v/>
      </c>
      <c r="L171" s="11" t="n"/>
      <c r="M171" s="13" t="n"/>
      <c r="N171" s="13" t="n"/>
      <c r="O171" s="13">
        <f>IF(OR(G171="Revision due",G171="Needs resubmission",G171="Not yet submitted"),COUNTIF($G$2:$G$200,"Revision due")*(G171&lt;&gt;"Revision due")+COUNTIF($G$2:$G$200,"Needs resubmission")*(G171="Not yet submitted")+COUNTIFS($G$2:G171,G171),"")</f>
        <v/>
      </c>
    </row>
    <row r="172">
      <c r="A172" s="13" t="n"/>
      <c r="B172" s="11" t="n"/>
      <c r="C172" s="13" t="n"/>
      <c r="D172" s="13" t="n"/>
      <c r="E172" s="13" t="n"/>
      <c r="F172" s="11" t="n"/>
      <c r="G172" s="13">
        <f>IF(A172="","",IF(E172&lt;&gt;"",E172,IF(COUNTIFS(Submissions!$A:$A,A172,Submissions!$E:$E,"Accepted")&gt;0,"Accepted",IF(COUNTIFS(Submissions!$A:$A,A172,Submissions!$E:$E,"Revision requested")&gt;0,"Revision due",IF(COUNTIFS(Submissions!$A:$A,A172,Submissions!$E:$E,"Under review")&gt;0,"Under review",IF(I172&gt;0,"Needs resubmission","Not yet submitted"))))))</f>
        <v/>
      </c>
      <c r="H172" s="13">
        <f>IF(A172="","",IFERROR(INDEX(Submissions!$B:$B,MATCH(A172&amp;"|Under review",Submissions!$Q:$Q,0)),""))</f>
        <v/>
      </c>
      <c r="I172" s="13">
        <f>IF(A172="","",COUNTIFS(Submissions!$A:$A,A172,Submissions!$B:$B,"&lt;&gt;",Submissions!$E:$E,"&lt;&gt;Planned"))</f>
        <v/>
      </c>
      <c r="J172" s="13">
        <f>IF(A172="","",COUNTIFS(Submissions!$A:$A,A172,Submissions!$E:$E,"Rejected"))</f>
        <v/>
      </c>
      <c r="K172" s="13">
        <f>IF(A172="","",IFERROR(INDEX(Submissions!$B:$B,MATCH(A172&amp;"|Planned",Submissions!$Q:$Q,0)),""))</f>
        <v/>
      </c>
      <c r="L172" s="11" t="n"/>
      <c r="M172" s="13" t="n"/>
      <c r="N172" s="13" t="n"/>
      <c r="O172" s="13">
        <f>IF(OR(G172="Revision due",G172="Needs resubmission",G172="Not yet submitted"),COUNTIF($G$2:$G$200,"Revision due")*(G172&lt;&gt;"Revision due")+COUNTIF($G$2:$G$200,"Needs resubmission")*(G172="Not yet submitted")+COUNTIFS($G$2:G172,G172),"")</f>
        <v/>
      </c>
    </row>
    <row r="173">
      <c r="A173" s="13" t="n"/>
      <c r="B173" s="11" t="n"/>
      <c r="C173" s="13" t="n"/>
      <c r="D173" s="13" t="n"/>
      <c r="E173" s="13" t="n"/>
      <c r="F173" s="11" t="n"/>
      <c r="G173" s="13">
        <f>IF(A173="","",IF(E173&lt;&gt;"",E173,IF(COUNTIFS(Submissions!$A:$A,A173,Submissions!$E:$E,"Accepted")&gt;0,"Accepted",IF(COUNTIFS(Submissions!$A:$A,A173,Submissions!$E:$E,"Revision requested")&gt;0,"Revision due",IF(COUNTIFS(Submissions!$A:$A,A173,Submissions!$E:$E,"Under review")&gt;0,"Under review",IF(I173&gt;0,"Needs resubmission","Not yet submitted"))))))</f>
        <v/>
      </c>
      <c r="H173" s="13">
        <f>IF(A173="","",IFERROR(INDEX(Submissions!$B:$B,MATCH(A173&amp;"|Under review",Submissions!$Q:$Q,0)),""))</f>
        <v/>
      </c>
      <c r="I173" s="13">
        <f>IF(A173="","",COUNTIFS(Submissions!$A:$A,A173,Submissions!$B:$B,"&lt;&gt;",Submissions!$E:$E,"&lt;&gt;Planned"))</f>
        <v/>
      </c>
      <c r="J173" s="13">
        <f>IF(A173="","",COUNTIFS(Submissions!$A:$A,A173,Submissions!$E:$E,"Rejected"))</f>
        <v/>
      </c>
      <c r="K173" s="13">
        <f>IF(A173="","",IFERROR(INDEX(Submissions!$B:$B,MATCH(A173&amp;"|Planned",Submissions!$Q:$Q,0)),""))</f>
        <v/>
      </c>
      <c r="L173" s="11" t="n"/>
      <c r="M173" s="13" t="n"/>
      <c r="N173" s="13" t="n"/>
      <c r="O173" s="13">
        <f>IF(OR(G173="Revision due",G173="Needs resubmission",G173="Not yet submitted"),COUNTIF($G$2:$G$200,"Revision due")*(G173&lt;&gt;"Revision due")+COUNTIF($G$2:$G$200,"Needs resubmission")*(G173="Not yet submitted")+COUNTIFS($G$2:G173,G173),"")</f>
        <v/>
      </c>
    </row>
    <row r="174">
      <c r="A174" s="13" t="n"/>
      <c r="B174" s="11" t="n"/>
      <c r="C174" s="13" t="n"/>
      <c r="D174" s="13" t="n"/>
      <c r="E174" s="13" t="n"/>
      <c r="F174" s="11" t="n"/>
      <c r="G174" s="13">
        <f>IF(A174="","",IF(E174&lt;&gt;"",E174,IF(COUNTIFS(Submissions!$A:$A,A174,Submissions!$E:$E,"Accepted")&gt;0,"Accepted",IF(COUNTIFS(Submissions!$A:$A,A174,Submissions!$E:$E,"Revision requested")&gt;0,"Revision due",IF(COUNTIFS(Submissions!$A:$A,A174,Submissions!$E:$E,"Under review")&gt;0,"Under review",IF(I174&gt;0,"Needs resubmission","Not yet submitted"))))))</f>
        <v/>
      </c>
      <c r="H174" s="13">
        <f>IF(A174="","",IFERROR(INDEX(Submissions!$B:$B,MATCH(A174&amp;"|Under review",Submissions!$Q:$Q,0)),""))</f>
        <v/>
      </c>
      <c r="I174" s="13">
        <f>IF(A174="","",COUNTIFS(Submissions!$A:$A,A174,Submissions!$B:$B,"&lt;&gt;",Submissions!$E:$E,"&lt;&gt;Planned"))</f>
        <v/>
      </c>
      <c r="J174" s="13">
        <f>IF(A174="","",COUNTIFS(Submissions!$A:$A,A174,Submissions!$E:$E,"Rejected"))</f>
        <v/>
      </c>
      <c r="K174" s="13">
        <f>IF(A174="","",IFERROR(INDEX(Submissions!$B:$B,MATCH(A174&amp;"|Planned",Submissions!$Q:$Q,0)),""))</f>
        <v/>
      </c>
      <c r="L174" s="11" t="n"/>
      <c r="M174" s="13" t="n"/>
      <c r="N174" s="13" t="n"/>
      <c r="O174" s="13">
        <f>IF(OR(G174="Revision due",G174="Needs resubmission",G174="Not yet submitted"),COUNTIF($G$2:$G$200,"Revision due")*(G174&lt;&gt;"Revision due")+COUNTIF($G$2:$G$200,"Needs resubmission")*(G174="Not yet submitted")+COUNTIFS($G$2:G174,G174),"")</f>
        <v/>
      </c>
    </row>
    <row r="175">
      <c r="A175" s="13" t="n"/>
      <c r="B175" s="11" t="n"/>
      <c r="C175" s="13" t="n"/>
      <c r="D175" s="13" t="n"/>
      <c r="E175" s="13" t="n"/>
      <c r="F175" s="11" t="n"/>
      <c r="G175" s="13">
        <f>IF(A175="","",IF(E175&lt;&gt;"",E175,IF(COUNTIFS(Submissions!$A:$A,A175,Submissions!$E:$E,"Accepted")&gt;0,"Accepted",IF(COUNTIFS(Submissions!$A:$A,A175,Submissions!$E:$E,"Revision requested")&gt;0,"Revision due",IF(COUNTIFS(Submissions!$A:$A,A175,Submissions!$E:$E,"Under review")&gt;0,"Under review",IF(I175&gt;0,"Needs resubmission","Not yet submitted"))))))</f>
        <v/>
      </c>
      <c r="H175" s="13">
        <f>IF(A175="","",IFERROR(INDEX(Submissions!$B:$B,MATCH(A175&amp;"|Under review",Submissions!$Q:$Q,0)),""))</f>
        <v/>
      </c>
      <c r="I175" s="13">
        <f>IF(A175="","",COUNTIFS(Submissions!$A:$A,A175,Submissions!$B:$B,"&lt;&gt;",Submissions!$E:$E,"&lt;&gt;Planned"))</f>
        <v/>
      </c>
      <c r="J175" s="13">
        <f>IF(A175="","",COUNTIFS(Submissions!$A:$A,A175,Submissions!$E:$E,"Rejected"))</f>
        <v/>
      </c>
      <c r="K175" s="13">
        <f>IF(A175="","",IFERROR(INDEX(Submissions!$B:$B,MATCH(A175&amp;"|Planned",Submissions!$Q:$Q,0)),""))</f>
        <v/>
      </c>
      <c r="L175" s="11" t="n"/>
      <c r="M175" s="13" t="n"/>
      <c r="N175" s="13" t="n"/>
      <c r="O175" s="13">
        <f>IF(OR(G175="Revision due",G175="Needs resubmission",G175="Not yet submitted"),COUNTIF($G$2:$G$200,"Revision due")*(G175&lt;&gt;"Revision due")+COUNTIF($G$2:$G$200,"Needs resubmission")*(G175="Not yet submitted")+COUNTIFS($G$2:G175,G175),"")</f>
        <v/>
      </c>
    </row>
    <row r="176">
      <c r="A176" s="13" t="n"/>
      <c r="B176" s="11" t="n"/>
      <c r="C176" s="13" t="n"/>
      <c r="D176" s="13" t="n"/>
      <c r="E176" s="13" t="n"/>
      <c r="F176" s="11" t="n"/>
      <c r="G176" s="13">
        <f>IF(A176="","",IF(E176&lt;&gt;"",E176,IF(COUNTIFS(Submissions!$A:$A,A176,Submissions!$E:$E,"Accepted")&gt;0,"Accepted",IF(COUNTIFS(Submissions!$A:$A,A176,Submissions!$E:$E,"Revision requested")&gt;0,"Revision due",IF(COUNTIFS(Submissions!$A:$A,A176,Submissions!$E:$E,"Under review")&gt;0,"Under review",IF(I176&gt;0,"Needs resubmission","Not yet submitted"))))))</f>
        <v/>
      </c>
      <c r="H176" s="13">
        <f>IF(A176="","",IFERROR(INDEX(Submissions!$B:$B,MATCH(A176&amp;"|Under review",Submissions!$Q:$Q,0)),""))</f>
        <v/>
      </c>
      <c r="I176" s="13">
        <f>IF(A176="","",COUNTIFS(Submissions!$A:$A,A176,Submissions!$B:$B,"&lt;&gt;",Submissions!$E:$E,"&lt;&gt;Planned"))</f>
        <v/>
      </c>
      <c r="J176" s="13">
        <f>IF(A176="","",COUNTIFS(Submissions!$A:$A,A176,Submissions!$E:$E,"Rejected"))</f>
        <v/>
      </c>
      <c r="K176" s="13">
        <f>IF(A176="","",IFERROR(INDEX(Submissions!$B:$B,MATCH(A176&amp;"|Planned",Submissions!$Q:$Q,0)),""))</f>
        <v/>
      </c>
      <c r="L176" s="11" t="n"/>
      <c r="M176" s="13" t="n"/>
      <c r="N176" s="13" t="n"/>
      <c r="O176" s="13">
        <f>IF(OR(G176="Revision due",G176="Needs resubmission",G176="Not yet submitted"),COUNTIF($G$2:$G$200,"Revision due")*(G176&lt;&gt;"Revision due")+COUNTIF($G$2:$G$200,"Needs resubmission")*(G176="Not yet submitted")+COUNTIFS($G$2:G176,G176),"")</f>
        <v/>
      </c>
    </row>
    <row r="177">
      <c r="A177" s="13" t="n"/>
      <c r="B177" s="11" t="n"/>
      <c r="C177" s="13" t="n"/>
      <c r="D177" s="13" t="n"/>
      <c r="E177" s="13" t="n"/>
      <c r="F177" s="11" t="n"/>
      <c r="G177" s="13">
        <f>IF(A177="","",IF(E177&lt;&gt;"",E177,IF(COUNTIFS(Submissions!$A:$A,A177,Submissions!$E:$E,"Accepted")&gt;0,"Accepted",IF(COUNTIFS(Submissions!$A:$A,A177,Submissions!$E:$E,"Revision requested")&gt;0,"Revision due",IF(COUNTIFS(Submissions!$A:$A,A177,Submissions!$E:$E,"Under review")&gt;0,"Under review",IF(I177&gt;0,"Needs resubmission","Not yet submitted"))))))</f>
        <v/>
      </c>
      <c r="H177" s="13">
        <f>IF(A177="","",IFERROR(INDEX(Submissions!$B:$B,MATCH(A177&amp;"|Under review",Submissions!$Q:$Q,0)),""))</f>
        <v/>
      </c>
      <c r="I177" s="13">
        <f>IF(A177="","",COUNTIFS(Submissions!$A:$A,A177,Submissions!$B:$B,"&lt;&gt;",Submissions!$E:$E,"&lt;&gt;Planned"))</f>
        <v/>
      </c>
      <c r="J177" s="13">
        <f>IF(A177="","",COUNTIFS(Submissions!$A:$A,A177,Submissions!$E:$E,"Rejected"))</f>
        <v/>
      </c>
      <c r="K177" s="13">
        <f>IF(A177="","",IFERROR(INDEX(Submissions!$B:$B,MATCH(A177&amp;"|Planned",Submissions!$Q:$Q,0)),""))</f>
        <v/>
      </c>
      <c r="L177" s="11" t="n"/>
      <c r="M177" s="13" t="n"/>
      <c r="N177" s="13" t="n"/>
      <c r="O177" s="13">
        <f>IF(OR(G177="Revision due",G177="Needs resubmission",G177="Not yet submitted"),COUNTIF($G$2:$G$200,"Revision due")*(G177&lt;&gt;"Revision due")+COUNTIF($G$2:$G$200,"Needs resubmission")*(G177="Not yet submitted")+COUNTIFS($G$2:G177,G177),"")</f>
        <v/>
      </c>
    </row>
    <row r="178">
      <c r="A178" s="13" t="n"/>
      <c r="B178" s="11" t="n"/>
      <c r="C178" s="13" t="n"/>
      <c r="D178" s="13" t="n"/>
      <c r="E178" s="13" t="n"/>
      <c r="F178" s="11" t="n"/>
      <c r="G178" s="13">
        <f>IF(A178="","",IF(E178&lt;&gt;"",E178,IF(COUNTIFS(Submissions!$A:$A,A178,Submissions!$E:$E,"Accepted")&gt;0,"Accepted",IF(COUNTIFS(Submissions!$A:$A,A178,Submissions!$E:$E,"Revision requested")&gt;0,"Revision due",IF(COUNTIFS(Submissions!$A:$A,A178,Submissions!$E:$E,"Under review")&gt;0,"Under review",IF(I178&gt;0,"Needs resubmission","Not yet submitted"))))))</f>
        <v/>
      </c>
      <c r="H178" s="13">
        <f>IF(A178="","",IFERROR(INDEX(Submissions!$B:$B,MATCH(A178&amp;"|Under review",Submissions!$Q:$Q,0)),""))</f>
        <v/>
      </c>
      <c r="I178" s="13">
        <f>IF(A178="","",COUNTIFS(Submissions!$A:$A,A178,Submissions!$B:$B,"&lt;&gt;",Submissions!$E:$E,"&lt;&gt;Planned"))</f>
        <v/>
      </c>
      <c r="J178" s="13">
        <f>IF(A178="","",COUNTIFS(Submissions!$A:$A,A178,Submissions!$E:$E,"Rejected"))</f>
        <v/>
      </c>
      <c r="K178" s="13">
        <f>IF(A178="","",IFERROR(INDEX(Submissions!$B:$B,MATCH(A178&amp;"|Planned",Submissions!$Q:$Q,0)),""))</f>
        <v/>
      </c>
      <c r="L178" s="11" t="n"/>
      <c r="M178" s="13" t="n"/>
      <c r="N178" s="13" t="n"/>
      <c r="O178" s="13">
        <f>IF(OR(G178="Revision due",G178="Needs resubmission",G178="Not yet submitted"),COUNTIF($G$2:$G$200,"Revision due")*(G178&lt;&gt;"Revision due")+COUNTIF($G$2:$G$200,"Needs resubmission")*(G178="Not yet submitted")+COUNTIFS($G$2:G178,G178),"")</f>
        <v/>
      </c>
    </row>
    <row r="179">
      <c r="A179" s="13" t="n"/>
      <c r="B179" s="11" t="n"/>
      <c r="C179" s="13" t="n"/>
      <c r="D179" s="13" t="n"/>
      <c r="E179" s="13" t="n"/>
      <c r="F179" s="11" t="n"/>
      <c r="G179" s="13">
        <f>IF(A179="","",IF(E179&lt;&gt;"",E179,IF(COUNTIFS(Submissions!$A:$A,A179,Submissions!$E:$E,"Accepted")&gt;0,"Accepted",IF(COUNTIFS(Submissions!$A:$A,A179,Submissions!$E:$E,"Revision requested")&gt;0,"Revision due",IF(COUNTIFS(Submissions!$A:$A,A179,Submissions!$E:$E,"Under review")&gt;0,"Under review",IF(I179&gt;0,"Needs resubmission","Not yet submitted"))))))</f>
        <v/>
      </c>
      <c r="H179" s="13">
        <f>IF(A179="","",IFERROR(INDEX(Submissions!$B:$B,MATCH(A179&amp;"|Under review",Submissions!$Q:$Q,0)),""))</f>
        <v/>
      </c>
      <c r="I179" s="13">
        <f>IF(A179="","",COUNTIFS(Submissions!$A:$A,A179,Submissions!$B:$B,"&lt;&gt;",Submissions!$E:$E,"&lt;&gt;Planned"))</f>
        <v/>
      </c>
      <c r="J179" s="13">
        <f>IF(A179="","",COUNTIFS(Submissions!$A:$A,A179,Submissions!$E:$E,"Rejected"))</f>
        <v/>
      </c>
      <c r="K179" s="13">
        <f>IF(A179="","",IFERROR(INDEX(Submissions!$B:$B,MATCH(A179&amp;"|Planned",Submissions!$Q:$Q,0)),""))</f>
        <v/>
      </c>
      <c r="L179" s="11" t="n"/>
      <c r="M179" s="13" t="n"/>
      <c r="N179" s="13" t="n"/>
      <c r="O179" s="13">
        <f>IF(OR(G179="Revision due",G179="Needs resubmission",G179="Not yet submitted"),COUNTIF($G$2:$G$200,"Revision due")*(G179&lt;&gt;"Revision due")+COUNTIF($G$2:$G$200,"Needs resubmission")*(G179="Not yet submitted")+COUNTIFS($G$2:G179,G179),"")</f>
        <v/>
      </c>
    </row>
    <row r="180">
      <c r="A180" s="13" t="n"/>
      <c r="B180" s="11" t="n"/>
      <c r="C180" s="13" t="n"/>
      <c r="D180" s="13" t="n"/>
      <c r="E180" s="13" t="n"/>
      <c r="F180" s="11" t="n"/>
      <c r="G180" s="13">
        <f>IF(A180="","",IF(E180&lt;&gt;"",E180,IF(COUNTIFS(Submissions!$A:$A,A180,Submissions!$E:$E,"Accepted")&gt;0,"Accepted",IF(COUNTIFS(Submissions!$A:$A,A180,Submissions!$E:$E,"Revision requested")&gt;0,"Revision due",IF(COUNTIFS(Submissions!$A:$A,A180,Submissions!$E:$E,"Under review")&gt;0,"Under review",IF(I180&gt;0,"Needs resubmission","Not yet submitted"))))))</f>
        <v/>
      </c>
      <c r="H180" s="13">
        <f>IF(A180="","",IFERROR(INDEX(Submissions!$B:$B,MATCH(A180&amp;"|Under review",Submissions!$Q:$Q,0)),""))</f>
        <v/>
      </c>
      <c r="I180" s="13">
        <f>IF(A180="","",COUNTIFS(Submissions!$A:$A,A180,Submissions!$B:$B,"&lt;&gt;",Submissions!$E:$E,"&lt;&gt;Planned"))</f>
        <v/>
      </c>
      <c r="J180" s="13">
        <f>IF(A180="","",COUNTIFS(Submissions!$A:$A,A180,Submissions!$E:$E,"Rejected"))</f>
        <v/>
      </c>
      <c r="K180" s="13">
        <f>IF(A180="","",IFERROR(INDEX(Submissions!$B:$B,MATCH(A180&amp;"|Planned",Submissions!$Q:$Q,0)),""))</f>
        <v/>
      </c>
      <c r="L180" s="11" t="n"/>
      <c r="M180" s="13" t="n"/>
      <c r="N180" s="13" t="n"/>
      <c r="O180" s="13">
        <f>IF(OR(G180="Revision due",G180="Needs resubmission",G180="Not yet submitted"),COUNTIF($G$2:$G$200,"Revision due")*(G180&lt;&gt;"Revision due")+COUNTIF($G$2:$G$200,"Needs resubmission")*(G180="Not yet submitted")+COUNTIFS($G$2:G180,G180),"")</f>
        <v/>
      </c>
    </row>
    <row r="181">
      <c r="A181" s="13" t="n"/>
      <c r="B181" s="11" t="n"/>
      <c r="C181" s="13" t="n"/>
      <c r="D181" s="13" t="n"/>
      <c r="E181" s="13" t="n"/>
      <c r="F181" s="11" t="n"/>
      <c r="G181" s="13">
        <f>IF(A181="","",IF(E181&lt;&gt;"",E181,IF(COUNTIFS(Submissions!$A:$A,A181,Submissions!$E:$E,"Accepted")&gt;0,"Accepted",IF(COUNTIFS(Submissions!$A:$A,A181,Submissions!$E:$E,"Revision requested")&gt;0,"Revision due",IF(COUNTIFS(Submissions!$A:$A,A181,Submissions!$E:$E,"Under review")&gt;0,"Under review",IF(I181&gt;0,"Needs resubmission","Not yet submitted"))))))</f>
        <v/>
      </c>
      <c r="H181" s="13">
        <f>IF(A181="","",IFERROR(INDEX(Submissions!$B:$B,MATCH(A181&amp;"|Under review",Submissions!$Q:$Q,0)),""))</f>
        <v/>
      </c>
      <c r="I181" s="13">
        <f>IF(A181="","",COUNTIFS(Submissions!$A:$A,A181,Submissions!$B:$B,"&lt;&gt;",Submissions!$E:$E,"&lt;&gt;Planned"))</f>
        <v/>
      </c>
      <c r="J181" s="13">
        <f>IF(A181="","",COUNTIFS(Submissions!$A:$A,A181,Submissions!$E:$E,"Rejected"))</f>
        <v/>
      </c>
      <c r="K181" s="13">
        <f>IF(A181="","",IFERROR(INDEX(Submissions!$B:$B,MATCH(A181&amp;"|Planned",Submissions!$Q:$Q,0)),""))</f>
        <v/>
      </c>
      <c r="L181" s="11" t="n"/>
      <c r="M181" s="13" t="n"/>
      <c r="N181" s="13" t="n"/>
      <c r="O181" s="13">
        <f>IF(OR(G181="Revision due",G181="Needs resubmission",G181="Not yet submitted"),COUNTIF($G$2:$G$200,"Revision due")*(G181&lt;&gt;"Revision due")+COUNTIF($G$2:$G$200,"Needs resubmission")*(G181="Not yet submitted")+COUNTIFS($G$2:G181,G181),"")</f>
        <v/>
      </c>
    </row>
    <row r="182">
      <c r="A182" s="13" t="n"/>
      <c r="B182" s="11" t="n"/>
      <c r="C182" s="13" t="n"/>
      <c r="D182" s="13" t="n"/>
      <c r="E182" s="13" t="n"/>
      <c r="F182" s="11" t="n"/>
      <c r="G182" s="13">
        <f>IF(A182="","",IF(E182&lt;&gt;"",E182,IF(COUNTIFS(Submissions!$A:$A,A182,Submissions!$E:$E,"Accepted")&gt;0,"Accepted",IF(COUNTIFS(Submissions!$A:$A,A182,Submissions!$E:$E,"Revision requested")&gt;0,"Revision due",IF(COUNTIFS(Submissions!$A:$A,A182,Submissions!$E:$E,"Under review")&gt;0,"Under review",IF(I182&gt;0,"Needs resubmission","Not yet submitted"))))))</f>
        <v/>
      </c>
      <c r="H182" s="13">
        <f>IF(A182="","",IFERROR(INDEX(Submissions!$B:$B,MATCH(A182&amp;"|Under review",Submissions!$Q:$Q,0)),""))</f>
        <v/>
      </c>
      <c r="I182" s="13">
        <f>IF(A182="","",COUNTIFS(Submissions!$A:$A,A182,Submissions!$B:$B,"&lt;&gt;",Submissions!$E:$E,"&lt;&gt;Planned"))</f>
        <v/>
      </c>
      <c r="J182" s="13">
        <f>IF(A182="","",COUNTIFS(Submissions!$A:$A,A182,Submissions!$E:$E,"Rejected"))</f>
        <v/>
      </c>
      <c r="K182" s="13">
        <f>IF(A182="","",IFERROR(INDEX(Submissions!$B:$B,MATCH(A182&amp;"|Planned",Submissions!$Q:$Q,0)),""))</f>
        <v/>
      </c>
      <c r="L182" s="11" t="n"/>
      <c r="M182" s="13" t="n"/>
      <c r="N182" s="13" t="n"/>
      <c r="O182" s="13">
        <f>IF(OR(G182="Revision due",G182="Needs resubmission",G182="Not yet submitted"),COUNTIF($G$2:$G$200,"Revision due")*(G182&lt;&gt;"Revision due")+COUNTIF($G$2:$G$200,"Needs resubmission")*(G182="Not yet submitted")+COUNTIFS($G$2:G182,G182),"")</f>
        <v/>
      </c>
    </row>
    <row r="183">
      <c r="A183" s="13" t="n"/>
      <c r="B183" s="11" t="n"/>
      <c r="C183" s="13" t="n"/>
      <c r="D183" s="13" t="n"/>
      <c r="E183" s="13" t="n"/>
      <c r="F183" s="11" t="n"/>
      <c r="G183" s="13">
        <f>IF(A183="","",IF(E183&lt;&gt;"",E183,IF(COUNTIFS(Submissions!$A:$A,A183,Submissions!$E:$E,"Accepted")&gt;0,"Accepted",IF(COUNTIFS(Submissions!$A:$A,A183,Submissions!$E:$E,"Revision requested")&gt;0,"Revision due",IF(COUNTIFS(Submissions!$A:$A,A183,Submissions!$E:$E,"Under review")&gt;0,"Under review",IF(I183&gt;0,"Needs resubmission","Not yet submitted"))))))</f>
        <v/>
      </c>
      <c r="H183" s="13">
        <f>IF(A183="","",IFERROR(INDEX(Submissions!$B:$B,MATCH(A183&amp;"|Under review",Submissions!$Q:$Q,0)),""))</f>
        <v/>
      </c>
      <c r="I183" s="13">
        <f>IF(A183="","",COUNTIFS(Submissions!$A:$A,A183,Submissions!$B:$B,"&lt;&gt;",Submissions!$E:$E,"&lt;&gt;Planned"))</f>
        <v/>
      </c>
      <c r="J183" s="13">
        <f>IF(A183="","",COUNTIFS(Submissions!$A:$A,A183,Submissions!$E:$E,"Rejected"))</f>
        <v/>
      </c>
      <c r="K183" s="13">
        <f>IF(A183="","",IFERROR(INDEX(Submissions!$B:$B,MATCH(A183&amp;"|Planned",Submissions!$Q:$Q,0)),""))</f>
        <v/>
      </c>
      <c r="L183" s="11" t="n"/>
      <c r="M183" s="13" t="n"/>
      <c r="N183" s="13" t="n"/>
      <c r="O183" s="13">
        <f>IF(OR(G183="Revision due",G183="Needs resubmission",G183="Not yet submitted"),COUNTIF($G$2:$G$200,"Revision due")*(G183&lt;&gt;"Revision due")+COUNTIF($G$2:$G$200,"Needs resubmission")*(G183="Not yet submitted")+COUNTIFS($G$2:G183,G183),"")</f>
        <v/>
      </c>
    </row>
    <row r="184">
      <c r="A184" s="13" t="n"/>
      <c r="B184" s="11" t="n"/>
      <c r="C184" s="13" t="n"/>
      <c r="D184" s="13" t="n"/>
      <c r="E184" s="13" t="n"/>
      <c r="F184" s="11" t="n"/>
      <c r="G184" s="13">
        <f>IF(A184="","",IF(E184&lt;&gt;"",E184,IF(COUNTIFS(Submissions!$A:$A,A184,Submissions!$E:$E,"Accepted")&gt;0,"Accepted",IF(COUNTIFS(Submissions!$A:$A,A184,Submissions!$E:$E,"Revision requested")&gt;0,"Revision due",IF(COUNTIFS(Submissions!$A:$A,A184,Submissions!$E:$E,"Under review")&gt;0,"Under review",IF(I184&gt;0,"Needs resubmission","Not yet submitted"))))))</f>
        <v/>
      </c>
      <c r="H184" s="13">
        <f>IF(A184="","",IFERROR(INDEX(Submissions!$B:$B,MATCH(A184&amp;"|Under review",Submissions!$Q:$Q,0)),""))</f>
        <v/>
      </c>
      <c r="I184" s="13">
        <f>IF(A184="","",COUNTIFS(Submissions!$A:$A,A184,Submissions!$B:$B,"&lt;&gt;",Submissions!$E:$E,"&lt;&gt;Planned"))</f>
        <v/>
      </c>
      <c r="J184" s="13">
        <f>IF(A184="","",COUNTIFS(Submissions!$A:$A,A184,Submissions!$E:$E,"Rejected"))</f>
        <v/>
      </c>
      <c r="K184" s="13">
        <f>IF(A184="","",IFERROR(INDEX(Submissions!$B:$B,MATCH(A184&amp;"|Planned",Submissions!$Q:$Q,0)),""))</f>
        <v/>
      </c>
      <c r="L184" s="11" t="n"/>
      <c r="M184" s="13" t="n"/>
      <c r="N184" s="13" t="n"/>
      <c r="O184" s="13">
        <f>IF(OR(G184="Revision due",G184="Needs resubmission",G184="Not yet submitted"),COUNTIF($G$2:$G$200,"Revision due")*(G184&lt;&gt;"Revision due")+COUNTIF($G$2:$G$200,"Needs resubmission")*(G184="Not yet submitted")+COUNTIFS($G$2:G184,G184),"")</f>
        <v/>
      </c>
    </row>
    <row r="185">
      <c r="A185" s="13" t="n"/>
      <c r="B185" s="11" t="n"/>
      <c r="C185" s="13" t="n"/>
      <c r="D185" s="13" t="n"/>
      <c r="E185" s="13" t="n"/>
      <c r="F185" s="11" t="n"/>
      <c r="G185" s="13">
        <f>IF(A185="","",IF(E185&lt;&gt;"",E185,IF(COUNTIFS(Submissions!$A:$A,A185,Submissions!$E:$E,"Accepted")&gt;0,"Accepted",IF(COUNTIFS(Submissions!$A:$A,A185,Submissions!$E:$E,"Revision requested")&gt;0,"Revision due",IF(COUNTIFS(Submissions!$A:$A,A185,Submissions!$E:$E,"Under review")&gt;0,"Under review",IF(I185&gt;0,"Needs resubmission","Not yet submitted"))))))</f>
        <v/>
      </c>
      <c r="H185" s="13">
        <f>IF(A185="","",IFERROR(INDEX(Submissions!$B:$B,MATCH(A185&amp;"|Under review",Submissions!$Q:$Q,0)),""))</f>
        <v/>
      </c>
      <c r="I185" s="13">
        <f>IF(A185="","",COUNTIFS(Submissions!$A:$A,A185,Submissions!$B:$B,"&lt;&gt;",Submissions!$E:$E,"&lt;&gt;Planned"))</f>
        <v/>
      </c>
      <c r="J185" s="13">
        <f>IF(A185="","",COUNTIFS(Submissions!$A:$A,A185,Submissions!$E:$E,"Rejected"))</f>
        <v/>
      </c>
      <c r="K185" s="13">
        <f>IF(A185="","",IFERROR(INDEX(Submissions!$B:$B,MATCH(A185&amp;"|Planned",Submissions!$Q:$Q,0)),""))</f>
        <v/>
      </c>
      <c r="L185" s="11" t="n"/>
      <c r="M185" s="13" t="n"/>
      <c r="N185" s="13" t="n"/>
      <c r="O185" s="13">
        <f>IF(OR(G185="Revision due",G185="Needs resubmission",G185="Not yet submitted"),COUNTIF($G$2:$G$200,"Revision due")*(G185&lt;&gt;"Revision due")+COUNTIF($G$2:$G$200,"Needs resubmission")*(G185="Not yet submitted")+COUNTIFS($G$2:G185,G185),"")</f>
        <v/>
      </c>
    </row>
    <row r="186">
      <c r="A186" s="13" t="n"/>
      <c r="B186" s="11" t="n"/>
      <c r="C186" s="13" t="n"/>
      <c r="D186" s="13" t="n"/>
      <c r="E186" s="13" t="n"/>
      <c r="F186" s="11" t="n"/>
      <c r="G186" s="13">
        <f>IF(A186="","",IF(E186&lt;&gt;"",E186,IF(COUNTIFS(Submissions!$A:$A,A186,Submissions!$E:$E,"Accepted")&gt;0,"Accepted",IF(COUNTIFS(Submissions!$A:$A,A186,Submissions!$E:$E,"Revision requested")&gt;0,"Revision due",IF(COUNTIFS(Submissions!$A:$A,A186,Submissions!$E:$E,"Under review")&gt;0,"Under review",IF(I186&gt;0,"Needs resubmission","Not yet submitted"))))))</f>
        <v/>
      </c>
      <c r="H186" s="13">
        <f>IF(A186="","",IFERROR(INDEX(Submissions!$B:$B,MATCH(A186&amp;"|Under review",Submissions!$Q:$Q,0)),""))</f>
        <v/>
      </c>
      <c r="I186" s="13">
        <f>IF(A186="","",COUNTIFS(Submissions!$A:$A,A186,Submissions!$B:$B,"&lt;&gt;",Submissions!$E:$E,"&lt;&gt;Planned"))</f>
        <v/>
      </c>
      <c r="J186" s="13">
        <f>IF(A186="","",COUNTIFS(Submissions!$A:$A,A186,Submissions!$E:$E,"Rejected"))</f>
        <v/>
      </c>
      <c r="K186" s="13">
        <f>IF(A186="","",IFERROR(INDEX(Submissions!$B:$B,MATCH(A186&amp;"|Planned",Submissions!$Q:$Q,0)),""))</f>
        <v/>
      </c>
      <c r="L186" s="11" t="n"/>
      <c r="M186" s="13" t="n"/>
      <c r="N186" s="13" t="n"/>
      <c r="O186" s="13">
        <f>IF(OR(G186="Revision due",G186="Needs resubmission",G186="Not yet submitted"),COUNTIF($G$2:$G$200,"Revision due")*(G186&lt;&gt;"Revision due")+COUNTIF($G$2:$G$200,"Needs resubmission")*(G186="Not yet submitted")+COUNTIFS($G$2:G186,G186),"")</f>
        <v/>
      </c>
    </row>
    <row r="187">
      <c r="A187" s="13" t="n"/>
      <c r="B187" s="11" t="n"/>
      <c r="C187" s="13" t="n"/>
      <c r="D187" s="13" t="n"/>
      <c r="E187" s="13" t="n"/>
      <c r="F187" s="11" t="n"/>
      <c r="G187" s="13">
        <f>IF(A187="","",IF(E187&lt;&gt;"",E187,IF(COUNTIFS(Submissions!$A:$A,A187,Submissions!$E:$E,"Accepted")&gt;0,"Accepted",IF(COUNTIFS(Submissions!$A:$A,A187,Submissions!$E:$E,"Revision requested")&gt;0,"Revision due",IF(COUNTIFS(Submissions!$A:$A,A187,Submissions!$E:$E,"Under review")&gt;0,"Under review",IF(I187&gt;0,"Needs resubmission","Not yet submitted"))))))</f>
        <v/>
      </c>
      <c r="H187" s="13">
        <f>IF(A187="","",IFERROR(INDEX(Submissions!$B:$B,MATCH(A187&amp;"|Under review",Submissions!$Q:$Q,0)),""))</f>
        <v/>
      </c>
      <c r="I187" s="13">
        <f>IF(A187="","",COUNTIFS(Submissions!$A:$A,A187,Submissions!$B:$B,"&lt;&gt;",Submissions!$E:$E,"&lt;&gt;Planned"))</f>
        <v/>
      </c>
      <c r="J187" s="13">
        <f>IF(A187="","",COUNTIFS(Submissions!$A:$A,A187,Submissions!$E:$E,"Rejected"))</f>
        <v/>
      </c>
      <c r="K187" s="13">
        <f>IF(A187="","",IFERROR(INDEX(Submissions!$B:$B,MATCH(A187&amp;"|Planned",Submissions!$Q:$Q,0)),""))</f>
        <v/>
      </c>
      <c r="L187" s="11" t="n"/>
      <c r="M187" s="13" t="n"/>
      <c r="N187" s="13" t="n"/>
      <c r="O187" s="13">
        <f>IF(OR(G187="Revision due",G187="Needs resubmission",G187="Not yet submitted"),COUNTIF($G$2:$G$200,"Revision due")*(G187&lt;&gt;"Revision due")+COUNTIF($G$2:$G$200,"Needs resubmission")*(G187="Not yet submitted")+COUNTIFS($G$2:G187,G187),"")</f>
        <v/>
      </c>
    </row>
    <row r="188">
      <c r="A188" s="13" t="n"/>
      <c r="B188" s="11" t="n"/>
      <c r="C188" s="13" t="n"/>
      <c r="D188" s="13" t="n"/>
      <c r="E188" s="13" t="n"/>
      <c r="F188" s="11" t="n"/>
      <c r="G188" s="13">
        <f>IF(A188="","",IF(E188&lt;&gt;"",E188,IF(COUNTIFS(Submissions!$A:$A,A188,Submissions!$E:$E,"Accepted")&gt;0,"Accepted",IF(COUNTIFS(Submissions!$A:$A,A188,Submissions!$E:$E,"Revision requested")&gt;0,"Revision due",IF(COUNTIFS(Submissions!$A:$A,A188,Submissions!$E:$E,"Under review")&gt;0,"Under review",IF(I188&gt;0,"Needs resubmission","Not yet submitted"))))))</f>
        <v/>
      </c>
      <c r="H188" s="13">
        <f>IF(A188="","",IFERROR(INDEX(Submissions!$B:$B,MATCH(A188&amp;"|Under review",Submissions!$Q:$Q,0)),""))</f>
        <v/>
      </c>
      <c r="I188" s="13">
        <f>IF(A188="","",COUNTIFS(Submissions!$A:$A,A188,Submissions!$B:$B,"&lt;&gt;",Submissions!$E:$E,"&lt;&gt;Planned"))</f>
        <v/>
      </c>
      <c r="J188" s="13">
        <f>IF(A188="","",COUNTIFS(Submissions!$A:$A,A188,Submissions!$E:$E,"Rejected"))</f>
        <v/>
      </c>
      <c r="K188" s="13">
        <f>IF(A188="","",IFERROR(INDEX(Submissions!$B:$B,MATCH(A188&amp;"|Planned",Submissions!$Q:$Q,0)),""))</f>
        <v/>
      </c>
      <c r="L188" s="11" t="n"/>
      <c r="M188" s="13" t="n"/>
      <c r="N188" s="13" t="n"/>
      <c r="O188" s="13">
        <f>IF(OR(G188="Revision due",G188="Needs resubmission",G188="Not yet submitted"),COUNTIF($G$2:$G$200,"Revision due")*(G188&lt;&gt;"Revision due")+COUNTIF($G$2:$G$200,"Needs resubmission")*(G188="Not yet submitted")+COUNTIFS($G$2:G188,G188),"")</f>
        <v/>
      </c>
    </row>
    <row r="189">
      <c r="A189" s="13" t="n"/>
      <c r="B189" s="11" t="n"/>
      <c r="C189" s="13" t="n"/>
      <c r="D189" s="13" t="n"/>
      <c r="E189" s="13" t="n"/>
      <c r="F189" s="11" t="n"/>
      <c r="G189" s="13">
        <f>IF(A189="","",IF(E189&lt;&gt;"",E189,IF(COUNTIFS(Submissions!$A:$A,A189,Submissions!$E:$E,"Accepted")&gt;0,"Accepted",IF(COUNTIFS(Submissions!$A:$A,A189,Submissions!$E:$E,"Revision requested")&gt;0,"Revision due",IF(COUNTIFS(Submissions!$A:$A,A189,Submissions!$E:$E,"Under review")&gt;0,"Under review",IF(I189&gt;0,"Needs resubmission","Not yet submitted"))))))</f>
        <v/>
      </c>
      <c r="H189" s="13">
        <f>IF(A189="","",IFERROR(INDEX(Submissions!$B:$B,MATCH(A189&amp;"|Under review",Submissions!$Q:$Q,0)),""))</f>
        <v/>
      </c>
      <c r="I189" s="13">
        <f>IF(A189="","",COUNTIFS(Submissions!$A:$A,A189,Submissions!$B:$B,"&lt;&gt;",Submissions!$E:$E,"&lt;&gt;Planned"))</f>
        <v/>
      </c>
      <c r="J189" s="13">
        <f>IF(A189="","",COUNTIFS(Submissions!$A:$A,A189,Submissions!$E:$E,"Rejected"))</f>
        <v/>
      </c>
      <c r="K189" s="13">
        <f>IF(A189="","",IFERROR(INDEX(Submissions!$B:$B,MATCH(A189&amp;"|Planned",Submissions!$Q:$Q,0)),""))</f>
        <v/>
      </c>
      <c r="L189" s="11" t="n"/>
      <c r="M189" s="13" t="n"/>
      <c r="N189" s="13" t="n"/>
      <c r="O189" s="13">
        <f>IF(OR(G189="Revision due",G189="Needs resubmission",G189="Not yet submitted"),COUNTIF($G$2:$G$200,"Revision due")*(G189&lt;&gt;"Revision due")+COUNTIF($G$2:$G$200,"Needs resubmission")*(G189="Not yet submitted")+COUNTIFS($G$2:G189,G189),"")</f>
        <v/>
      </c>
    </row>
    <row r="190">
      <c r="A190" s="13" t="n"/>
      <c r="B190" s="11" t="n"/>
      <c r="C190" s="13" t="n"/>
      <c r="D190" s="13" t="n"/>
      <c r="E190" s="13" t="n"/>
      <c r="F190" s="11" t="n"/>
      <c r="G190" s="13">
        <f>IF(A190="","",IF(E190&lt;&gt;"",E190,IF(COUNTIFS(Submissions!$A:$A,A190,Submissions!$E:$E,"Accepted")&gt;0,"Accepted",IF(COUNTIFS(Submissions!$A:$A,A190,Submissions!$E:$E,"Revision requested")&gt;0,"Revision due",IF(COUNTIFS(Submissions!$A:$A,A190,Submissions!$E:$E,"Under review")&gt;0,"Under review",IF(I190&gt;0,"Needs resubmission","Not yet submitted"))))))</f>
        <v/>
      </c>
      <c r="H190" s="13">
        <f>IF(A190="","",IFERROR(INDEX(Submissions!$B:$B,MATCH(A190&amp;"|Under review",Submissions!$Q:$Q,0)),""))</f>
        <v/>
      </c>
      <c r="I190" s="13">
        <f>IF(A190="","",COUNTIFS(Submissions!$A:$A,A190,Submissions!$B:$B,"&lt;&gt;",Submissions!$E:$E,"&lt;&gt;Planned"))</f>
        <v/>
      </c>
      <c r="J190" s="13">
        <f>IF(A190="","",COUNTIFS(Submissions!$A:$A,A190,Submissions!$E:$E,"Rejected"))</f>
        <v/>
      </c>
      <c r="K190" s="13">
        <f>IF(A190="","",IFERROR(INDEX(Submissions!$B:$B,MATCH(A190&amp;"|Planned",Submissions!$Q:$Q,0)),""))</f>
        <v/>
      </c>
      <c r="L190" s="11" t="n"/>
      <c r="M190" s="13" t="n"/>
      <c r="N190" s="13" t="n"/>
      <c r="O190" s="13">
        <f>IF(OR(G190="Revision due",G190="Needs resubmission",G190="Not yet submitted"),COUNTIF($G$2:$G$200,"Revision due")*(G190&lt;&gt;"Revision due")+COUNTIF($G$2:$G$200,"Needs resubmission")*(G190="Not yet submitted")+COUNTIFS($G$2:G190,G190),"")</f>
        <v/>
      </c>
    </row>
    <row r="191">
      <c r="A191" s="13" t="n"/>
      <c r="B191" s="11" t="n"/>
      <c r="C191" s="13" t="n"/>
      <c r="D191" s="13" t="n"/>
      <c r="E191" s="13" t="n"/>
      <c r="F191" s="11" t="n"/>
      <c r="G191" s="13">
        <f>IF(A191="","",IF(E191&lt;&gt;"",E191,IF(COUNTIFS(Submissions!$A:$A,A191,Submissions!$E:$E,"Accepted")&gt;0,"Accepted",IF(COUNTIFS(Submissions!$A:$A,A191,Submissions!$E:$E,"Revision requested")&gt;0,"Revision due",IF(COUNTIFS(Submissions!$A:$A,A191,Submissions!$E:$E,"Under review")&gt;0,"Under review",IF(I191&gt;0,"Needs resubmission","Not yet submitted"))))))</f>
        <v/>
      </c>
      <c r="H191" s="13">
        <f>IF(A191="","",IFERROR(INDEX(Submissions!$B:$B,MATCH(A191&amp;"|Under review",Submissions!$Q:$Q,0)),""))</f>
        <v/>
      </c>
      <c r="I191" s="13">
        <f>IF(A191="","",COUNTIFS(Submissions!$A:$A,A191,Submissions!$B:$B,"&lt;&gt;",Submissions!$E:$E,"&lt;&gt;Planned"))</f>
        <v/>
      </c>
      <c r="J191" s="13">
        <f>IF(A191="","",COUNTIFS(Submissions!$A:$A,A191,Submissions!$E:$E,"Rejected"))</f>
        <v/>
      </c>
      <c r="K191" s="13">
        <f>IF(A191="","",IFERROR(INDEX(Submissions!$B:$B,MATCH(A191&amp;"|Planned",Submissions!$Q:$Q,0)),""))</f>
        <v/>
      </c>
      <c r="L191" s="11" t="n"/>
      <c r="M191" s="13" t="n"/>
      <c r="N191" s="13" t="n"/>
      <c r="O191" s="13">
        <f>IF(OR(G191="Revision due",G191="Needs resubmission",G191="Not yet submitted"),COUNTIF($G$2:$G$200,"Revision due")*(G191&lt;&gt;"Revision due")+COUNTIF($G$2:$G$200,"Needs resubmission")*(G191="Not yet submitted")+COUNTIFS($G$2:G191,G191),"")</f>
        <v/>
      </c>
    </row>
    <row r="192">
      <c r="A192" s="13" t="n"/>
      <c r="B192" s="11" t="n"/>
      <c r="C192" s="13" t="n"/>
      <c r="D192" s="13" t="n"/>
      <c r="E192" s="13" t="n"/>
      <c r="F192" s="11" t="n"/>
      <c r="G192" s="13">
        <f>IF(A192="","",IF(E192&lt;&gt;"",E192,IF(COUNTIFS(Submissions!$A:$A,A192,Submissions!$E:$E,"Accepted")&gt;0,"Accepted",IF(COUNTIFS(Submissions!$A:$A,A192,Submissions!$E:$E,"Revision requested")&gt;0,"Revision due",IF(COUNTIFS(Submissions!$A:$A,A192,Submissions!$E:$E,"Under review")&gt;0,"Under review",IF(I192&gt;0,"Needs resubmission","Not yet submitted"))))))</f>
        <v/>
      </c>
      <c r="H192" s="13">
        <f>IF(A192="","",IFERROR(INDEX(Submissions!$B:$B,MATCH(A192&amp;"|Under review",Submissions!$Q:$Q,0)),""))</f>
        <v/>
      </c>
      <c r="I192" s="13">
        <f>IF(A192="","",COUNTIFS(Submissions!$A:$A,A192,Submissions!$B:$B,"&lt;&gt;",Submissions!$E:$E,"&lt;&gt;Planned"))</f>
        <v/>
      </c>
      <c r="J192" s="13">
        <f>IF(A192="","",COUNTIFS(Submissions!$A:$A,A192,Submissions!$E:$E,"Rejected"))</f>
        <v/>
      </c>
      <c r="K192" s="13">
        <f>IF(A192="","",IFERROR(INDEX(Submissions!$B:$B,MATCH(A192&amp;"|Planned",Submissions!$Q:$Q,0)),""))</f>
        <v/>
      </c>
      <c r="L192" s="11" t="n"/>
      <c r="M192" s="13" t="n"/>
      <c r="N192" s="13" t="n"/>
      <c r="O192" s="13">
        <f>IF(OR(G192="Revision due",G192="Needs resubmission",G192="Not yet submitted"),COUNTIF($G$2:$G$200,"Revision due")*(G192&lt;&gt;"Revision due")+COUNTIF($G$2:$G$200,"Needs resubmission")*(G192="Not yet submitted")+COUNTIFS($G$2:G192,G192),"")</f>
        <v/>
      </c>
    </row>
    <row r="193">
      <c r="A193" s="13" t="n"/>
      <c r="B193" s="11" t="n"/>
      <c r="C193" s="13" t="n"/>
      <c r="D193" s="13" t="n"/>
      <c r="E193" s="13" t="n"/>
      <c r="F193" s="11" t="n"/>
      <c r="G193" s="13">
        <f>IF(A193="","",IF(E193&lt;&gt;"",E193,IF(COUNTIFS(Submissions!$A:$A,A193,Submissions!$E:$E,"Accepted")&gt;0,"Accepted",IF(COUNTIFS(Submissions!$A:$A,A193,Submissions!$E:$E,"Revision requested")&gt;0,"Revision due",IF(COUNTIFS(Submissions!$A:$A,A193,Submissions!$E:$E,"Under review")&gt;0,"Under review",IF(I193&gt;0,"Needs resubmission","Not yet submitted"))))))</f>
        <v/>
      </c>
      <c r="H193" s="13">
        <f>IF(A193="","",IFERROR(INDEX(Submissions!$B:$B,MATCH(A193&amp;"|Under review",Submissions!$Q:$Q,0)),""))</f>
        <v/>
      </c>
      <c r="I193" s="13">
        <f>IF(A193="","",COUNTIFS(Submissions!$A:$A,A193,Submissions!$B:$B,"&lt;&gt;",Submissions!$E:$E,"&lt;&gt;Planned"))</f>
        <v/>
      </c>
      <c r="J193" s="13">
        <f>IF(A193="","",COUNTIFS(Submissions!$A:$A,A193,Submissions!$E:$E,"Rejected"))</f>
        <v/>
      </c>
      <c r="K193" s="13">
        <f>IF(A193="","",IFERROR(INDEX(Submissions!$B:$B,MATCH(A193&amp;"|Planned",Submissions!$Q:$Q,0)),""))</f>
        <v/>
      </c>
      <c r="L193" s="11" t="n"/>
      <c r="M193" s="13" t="n"/>
      <c r="N193" s="13" t="n"/>
      <c r="O193" s="13">
        <f>IF(OR(G193="Revision due",G193="Needs resubmission",G193="Not yet submitted"),COUNTIF($G$2:$G$200,"Revision due")*(G193&lt;&gt;"Revision due")+COUNTIF($G$2:$G$200,"Needs resubmission")*(G193="Not yet submitted")+COUNTIFS($G$2:G193,G193),"")</f>
        <v/>
      </c>
    </row>
    <row r="194">
      <c r="A194" s="13" t="n"/>
      <c r="B194" s="11" t="n"/>
      <c r="C194" s="13" t="n"/>
      <c r="D194" s="13" t="n"/>
      <c r="E194" s="13" t="n"/>
      <c r="F194" s="11" t="n"/>
      <c r="G194" s="13">
        <f>IF(A194="","",IF(E194&lt;&gt;"",E194,IF(COUNTIFS(Submissions!$A:$A,A194,Submissions!$E:$E,"Accepted")&gt;0,"Accepted",IF(COUNTIFS(Submissions!$A:$A,A194,Submissions!$E:$E,"Revision requested")&gt;0,"Revision due",IF(COUNTIFS(Submissions!$A:$A,A194,Submissions!$E:$E,"Under review")&gt;0,"Under review",IF(I194&gt;0,"Needs resubmission","Not yet submitted"))))))</f>
        <v/>
      </c>
      <c r="H194" s="13">
        <f>IF(A194="","",IFERROR(INDEX(Submissions!$B:$B,MATCH(A194&amp;"|Under review",Submissions!$Q:$Q,0)),""))</f>
        <v/>
      </c>
      <c r="I194" s="13">
        <f>IF(A194="","",COUNTIFS(Submissions!$A:$A,A194,Submissions!$B:$B,"&lt;&gt;",Submissions!$E:$E,"&lt;&gt;Planned"))</f>
        <v/>
      </c>
      <c r="J194" s="13">
        <f>IF(A194="","",COUNTIFS(Submissions!$A:$A,A194,Submissions!$E:$E,"Rejected"))</f>
        <v/>
      </c>
      <c r="K194" s="13">
        <f>IF(A194="","",IFERROR(INDEX(Submissions!$B:$B,MATCH(A194&amp;"|Planned",Submissions!$Q:$Q,0)),""))</f>
        <v/>
      </c>
      <c r="L194" s="11" t="n"/>
      <c r="M194" s="13" t="n"/>
      <c r="N194" s="13" t="n"/>
      <c r="O194" s="13">
        <f>IF(OR(G194="Revision due",G194="Needs resubmission",G194="Not yet submitted"),COUNTIF($G$2:$G$200,"Revision due")*(G194&lt;&gt;"Revision due")+COUNTIF($G$2:$G$200,"Needs resubmission")*(G194="Not yet submitted")+COUNTIFS($G$2:G194,G194),"")</f>
        <v/>
      </c>
    </row>
    <row r="195">
      <c r="A195" s="13" t="n"/>
      <c r="B195" s="11" t="n"/>
      <c r="C195" s="13" t="n"/>
      <c r="D195" s="13" t="n"/>
      <c r="E195" s="13" t="n"/>
      <c r="F195" s="11" t="n"/>
      <c r="G195" s="13">
        <f>IF(A195="","",IF(E195&lt;&gt;"",E195,IF(COUNTIFS(Submissions!$A:$A,A195,Submissions!$E:$E,"Accepted")&gt;0,"Accepted",IF(COUNTIFS(Submissions!$A:$A,A195,Submissions!$E:$E,"Revision requested")&gt;0,"Revision due",IF(COUNTIFS(Submissions!$A:$A,A195,Submissions!$E:$E,"Under review")&gt;0,"Under review",IF(I195&gt;0,"Needs resubmission","Not yet submitted"))))))</f>
        <v/>
      </c>
      <c r="H195" s="13">
        <f>IF(A195="","",IFERROR(INDEX(Submissions!$B:$B,MATCH(A195&amp;"|Under review",Submissions!$Q:$Q,0)),""))</f>
        <v/>
      </c>
      <c r="I195" s="13">
        <f>IF(A195="","",COUNTIFS(Submissions!$A:$A,A195,Submissions!$B:$B,"&lt;&gt;",Submissions!$E:$E,"&lt;&gt;Planned"))</f>
        <v/>
      </c>
      <c r="J195" s="13">
        <f>IF(A195="","",COUNTIFS(Submissions!$A:$A,A195,Submissions!$E:$E,"Rejected"))</f>
        <v/>
      </c>
      <c r="K195" s="13">
        <f>IF(A195="","",IFERROR(INDEX(Submissions!$B:$B,MATCH(A195&amp;"|Planned",Submissions!$Q:$Q,0)),""))</f>
        <v/>
      </c>
      <c r="L195" s="11" t="n"/>
      <c r="M195" s="13" t="n"/>
      <c r="N195" s="13" t="n"/>
      <c r="O195" s="13">
        <f>IF(OR(G195="Revision due",G195="Needs resubmission",G195="Not yet submitted"),COUNTIF($G$2:$G$200,"Revision due")*(G195&lt;&gt;"Revision due")+COUNTIF($G$2:$G$200,"Needs resubmission")*(G195="Not yet submitted")+COUNTIFS($G$2:G195,G195),"")</f>
        <v/>
      </c>
    </row>
    <row r="196">
      <c r="A196" s="13" t="n"/>
      <c r="B196" s="11" t="n"/>
      <c r="C196" s="13" t="n"/>
      <c r="D196" s="13" t="n"/>
      <c r="E196" s="13" t="n"/>
      <c r="F196" s="11" t="n"/>
      <c r="G196" s="13">
        <f>IF(A196="","",IF(E196&lt;&gt;"",E196,IF(COUNTIFS(Submissions!$A:$A,A196,Submissions!$E:$E,"Accepted")&gt;0,"Accepted",IF(COUNTIFS(Submissions!$A:$A,A196,Submissions!$E:$E,"Revision requested")&gt;0,"Revision due",IF(COUNTIFS(Submissions!$A:$A,A196,Submissions!$E:$E,"Under review")&gt;0,"Under review",IF(I196&gt;0,"Needs resubmission","Not yet submitted"))))))</f>
        <v/>
      </c>
      <c r="H196" s="13">
        <f>IF(A196="","",IFERROR(INDEX(Submissions!$B:$B,MATCH(A196&amp;"|Under review",Submissions!$Q:$Q,0)),""))</f>
        <v/>
      </c>
      <c r="I196" s="13">
        <f>IF(A196="","",COUNTIFS(Submissions!$A:$A,A196,Submissions!$B:$B,"&lt;&gt;",Submissions!$E:$E,"&lt;&gt;Planned"))</f>
        <v/>
      </c>
      <c r="J196" s="13">
        <f>IF(A196="","",COUNTIFS(Submissions!$A:$A,A196,Submissions!$E:$E,"Rejected"))</f>
        <v/>
      </c>
      <c r="K196" s="13">
        <f>IF(A196="","",IFERROR(INDEX(Submissions!$B:$B,MATCH(A196&amp;"|Planned",Submissions!$Q:$Q,0)),""))</f>
        <v/>
      </c>
      <c r="L196" s="11" t="n"/>
      <c r="M196" s="13" t="n"/>
      <c r="N196" s="13" t="n"/>
      <c r="O196" s="13">
        <f>IF(OR(G196="Revision due",G196="Needs resubmission",G196="Not yet submitted"),COUNTIF($G$2:$G$200,"Revision due")*(G196&lt;&gt;"Revision due")+COUNTIF($G$2:$G$200,"Needs resubmission")*(G196="Not yet submitted")+COUNTIFS($G$2:G196,G196),"")</f>
        <v/>
      </c>
    </row>
    <row r="197">
      <c r="A197" s="13" t="n"/>
      <c r="B197" s="11" t="n"/>
      <c r="C197" s="13" t="n"/>
      <c r="D197" s="13" t="n"/>
      <c r="E197" s="13" t="n"/>
      <c r="F197" s="11" t="n"/>
      <c r="G197" s="13">
        <f>IF(A197="","",IF(E197&lt;&gt;"",E197,IF(COUNTIFS(Submissions!$A:$A,A197,Submissions!$E:$E,"Accepted")&gt;0,"Accepted",IF(COUNTIFS(Submissions!$A:$A,A197,Submissions!$E:$E,"Revision requested")&gt;0,"Revision due",IF(COUNTIFS(Submissions!$A:$A,A197,Submissions!$E:$E,"Under review")&gt;0,"Under review",IF(I197&gt;0,"Needs resubmission","Not yet submitted"))))))</f>
        <v/>
      </c>
      <c r="H197" s="13">
        <f>IF(A197="","",IFERROR(INDEX(Submissions!$B:$B,MATCH(A197&amp;"|Under review",Submissions!$Q:$Q,0)),""))</f>
        <v/>
      </c>
      <c r="I197" s="13">
        <f>IF(A197="","",COUNTIFS(Submissions!$A:$A,A197,Submissions!$B:$B,"&lt;&gt;",Submissions!$E:$E,"&lt;&gt;Planned"))</f>
        <v/>
      </c>
      <c r="J197" s="13">
        <f>IF(A197="","",COUNTIFS(Submissions!$A:$A,A197,Submissions!$E:$E,"Rejected"))</f>
        <v/>
      </c>
      <c r="K197" s="13">
        <f>IF(A197="","",IFERROR(INDEX(Submissions!$B:$B,MATCH(A197&amp;"|Planned",Submissions!$Q:$Q,0)),""))</f>
        <v/>
      </c>
      <c r="L197" s="11" t="n"/>
      <c r="M197" s="13" t="n"/>
      <c r="N197" s="13" t="n"/>
      <c r="O197" s="13">
        <f>IF(OR(G197="Revision due",G197="Needs resubmission",G197="Not yet submitted"),COUNTIF($G$2:$G$200,"Revision due")*(G197&lt;&gt;"Revision due")+COUNTIF($G$2:$G$200,"Needs resubmission")*(G197="Not yet submitted")+COUNTIFS($G$2:G197,G197),"")</f>
        <v/>
      </c>
    </row>
    <row r="198">
      <c r="A198" s="13" t="n"/>
      <c r="B198" s="11" t="n"/>
      <c r="C198" s="13" t="n"/>
      <c r="D198" s="13" t="n"/>
      <c r="E198" s="13" t="n"/>
      <c r="F198" s="11" t="n"/>
      <c r="G198" s="13">
        <f>IF(A198="","",IF(E198&lt;&gt;"",E198,IF(COUNTIFS(Submissions!$A:$A,A198,Submissions!$E:$E,"Accepted")&gt;0,"Accepted",IF(COUNTIFS(Submissions!$A:$A,A198,Submissions!$E:$E,"Revision requested")&gt;0,"Revision due",IF(COUNTIFS(Submissions!$A:$A,A198,Submissions!$E:$E,"Under review")&gt;0,"Under review",IF(I198&gt;0,"Needs resubmission","Not yet submitted"))))))</f>
        <v/>
      </c>
      <c r="H198" s="13">
        <f>IF(A198="","",IFERROR(INDEX(Submissions!$B:$B,MATCH(A198&amp;"|Under review",Submissions!$Q:$Q,0)),""))</f>
        <v/>
      </c>
      <c r="I198" s="13">
        <f>IF(A198="","",COUNTIFS(Submissions!$A:$A,A198,Submissions!$B:$B,"&lt;&gt;",Submissions!$E:$E,"&lt;&gt;Planned"))</f>
        <v/>
      </c>
      <c r="J198" s="13">
        <f>IF(A198="","",COUNTIFS(Submissions!$A:$A,A198,Submissions!$E:$E,"Rejected"))</f>
        <v/>
      </c>
      <c r="K198" s="13">
        <f>IF(A198="","",IFERROR(INDEX(Submissions!$B:$B,MATCH(A198&amp;"|Planned",Submissions!$Q:$Q,0)),""))</f>
        <v/>
      </c>
      <c r="L198" s="11" t="n"/>
      <c r="M198" s="13" t="n"/>
      <c r="N198" s="13" t="n"/>
      <c r="O198" s="13">
        <f>IF(OR(G198="Revision due",G198="Needs resubmission",G198="Not yet submitted"),COUNTIF($G$2:$G$200,"Revision due")*(G198&lt;&gt;"Revision due")+COUNTIF($G$2:$G$200,"Needs resubmission")*(G198="Not yet submitted")+COUNTIFS($G$2:G198,G198),"")</f>
        <v/>
      </c>
    </row>
    <row r="199">
      <c r="A199" s="13" t="n"/>
      <c r="B199" s="11" t="n"/>
      <c r="C199" s="13" t="n"/>
      <c r="D199" s="13" t="n"/>
      <c r="E199" s="13" t="n"/>
      <c r="F199" s="11" t="n"/>
      <c r="G199" s="13">
        <f>IF(A199="","",IF(E199&lt;&gt;"",E199,IF(COUNTIFS(Submissions!$A:$A,A199,Submissions!$E:$E,"Accepted")&gt;0,"Accepted",IF(COUNTIFS(Submissions!$A:$A,A199,Submissions!$E:$E,"Revision requested")&gt;0,"Revision due",IF(COUNTIFS(Submissions!$A:$A,A199,Submissions!$E:$E,"Under review")&gt;0,"Under review",IF(I199&gt;0,"Needs resubmission","Not yet submitted"))))))</f>
        <v/>
      </c>
      <c r="H199" s="13">
        <f>IF(A199="","",IFERROR(INDEX(Submissions!$B:$B,MATCH(A199&amp;"|Under review",Submissions!$Q:$Q,0)),""))</f>
        <v/>
      </c>
      <c r="I199" s="13">
        <f>IF(A199="","",COUNTIFS(Submissions!$A:$A,A199,Submissions!$B:$B,"&lt;&gt;",Submissions!$E:$E,"&lt;&gt;Planned"))</f>
        <v/>
      </c>
      <c r="J199" s="13">
        <f>IF(A199="","",COUNTIFS(Submissions!$A:$A,A199,Submissions!$E:$E,"Rejected"))</f>
        <v/>
      </c>
      <c r="K199" s="13">
        <f>IF(A199="","",IFERROR(INDEX(Submissions!$B:$B,MATCH(A199&amp;"|Planned",Submissions!$Q:$Q,0)),""))</f>
        <v/>
      </c>
      <c r="L199" s="11" t="n"/>
      <c r="M199" s="13" t="n"/>
      <c r="N199" s="13" t="n"/>
      <c r="O199" s="13">
        <f>IF(OR(G199="Revision due",G199="Needs resubmission",G199="Not yet submitted"),COUNTIF($G$2:$G$200,"Revision due")*(G199&lt;&gt;"Revision due")+COUNTIF($G$2:$G$200,"Needs resubmission")*(G199="Not yet submitted")+COUNTIFS($G$2:G199,G199),"")</f>
        <v/>
      </c>
    </row>
    <row r="200">
      <c r="A200" s="13" t="n"/>
      <c r="B200" s="11" t="n"/>
      <c r="C200" s="13" t="n"/>
      <c r="D200" s="13" t="n"/>
      <c r="E200" s="13" t="n"/>
      <c r="F200" s="11" t="n"/>
      <c r="G200" s="13">
        <f>IF(A200="","",IF(E200&lt;&gt;"",E200,IF(COUNTIFS(Submissions!$A:$A,A200,Submissions!$E:$E,"Accepted")&gt;0,"Accepted",IF(COUNTIFS(Submissions!$A:$A,A200,Submissions!$E:$E,"Revision requested")&gt;0,"Revision due",IF(COUNTIFS(Submissions!$A:$A,A200,Submissions!$E:$E,"Under review")&gt;0,"Under review",IF(I200&gt;0,"Needs resubmission","Not yet submitted"))))))</f>
        <v/>
      </c>
      <c r="H200" s="13">
        <f>IF(A200="","",IFERROR(INDEX(Submissions!$B:$B,MATCH(A200&amp;"|Under review",Submissions!$Q:$Q,0)),""))</f>
        <v/>
      </c>
      <c r="I200" s="13">
        <f>IF(A200="","",COUNTIFS(Submissions!$A:$A,A200,Submissions!$B:$B,"&lt;&gt;",Submissions!$E:$E,"&lt;&gt;Planned"))</f>
        <v/>
      </c>
      <c r="J200" s="13">
        <f>IF(A200="","",COUNTIFS(Submissions!$A:$A,A200,Submissions!$E:$E,"Rejected"))</f>
        <v/>
      </c>
      <c r="K200" s="13">
        <f>IF(A200="","",IFERROR(INDEX(Submissions!$B:$B,MATCH(A200&amp;"|Planned",Submissions!$Q:$Q,0)),""))</f>
        <v/>
      </c>
      <c r="L200" s="11" t="n"/>
      <c r="M200" s="13" t="n"/>
      <c r="N200" s="13" t="n"/>
      <c r="O200" s="13">
        <f>IF(OR(G200="Revision due",G200="Needs resubmission",G200="Not yet submitted"),COUNTIF($G$2:$G$200,"Revision due")*(G200&lt;&gt;"Revision due")+COUNTIF($G$2:$G$200,"Needs resubmission")*(G200="Not yet submitted")+COUNTIFS($G$2:G200,G200),"")</f>
        <v/>
      </c>
    </row>
  </sheetData>
  <dataValidations count="3">
    <dataValidation sqref="E2:E200" showDropDown="0" showInputMessage="0" showErrorMessage="0" allowBlank="1" type="list">
      <formula1>",Closed – rejected,Parked,Published,Withdrawn"</formula1>
    </dataValidation>
    <dataValidation sqref="D2:D200" showDropDown="0" showInputMessage="0" showErrorMessage="0" allowBlank="1" type="list">
      <formula1>"Journal article,EPW / short piece,Book chapter,Other"</formula1>
    </dataValidation>
    <dataValidation sqref="P2:P200" showDropDown="0" showInputMessage="0" showErrorMessage="0" allowBlank="1" type="list">
      <formula1>"Conceptual,Literature review,Empirical – qualitative,Empirical – quantitative,Empirical – mixed methods"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46" customWidth="1" min="1" max="1"/>
    <col width="11" customWidth="1" min="2" max="2"/>
    <col width="34" customWidth="1" min="3" max="3"/>
    <col width="13" customWidth="1" min="4" max="4"/>
    <col width="18" customWidth="1" min="5" max="5"/>
    <col width="44" customWidth="1" min="6" max="6"/>
    <col width="28" customWidth="1" min="7" max="7"/>
    <col width="30" customWidth="1" min="8" max="8"/>
  </cols>
  <sheetData>
    <row r="1" ht="30" customHeight="1">
      <c r="A1" s="12" t="inlineStr">
        <is>
          <t>Journal</t>
        </is>
      </c>
      <c r="B1" s="12" t="inlineStr">
        <is>
          <t>ABDC 2025</t>
        </is>
      </c>
      <c r="C1" s="12" t="inlineStr">
        <is>
          <t>Name on ABDC list (if different)</t>
        </is>
      </c>
      <c r="D1" s="12" t="inlineStr">
        <is>
          <t>ABDC 2022 (if different)</t>
        </is>
      </c>
      <c r="E1" s="12" t="inlineStr">
        <is>
          <t>Other rating / index</t>
        </is>
      </c>
      <c r="F1" s="12" t="inlineStr">
        <is>
          <t>Login link</t>
        </is>
      </c>
      <c r="G1" s="12" t="inlineStr">
        <is>
          <t>Editorial office email</t>
        </is>
      </c>
      <c r="H1" s="12" t="inlineStr">
        <is>
          <t>Notes</t>
        </is>
      </c>
    </row>
    <row r="2">
      <c r="B2">
        <f>IF(A2="","",IFERROR(VLOOKUP(IF(C2&lt;&gt;"",C2,A2),'ABDC list'!$A:$B,2,FALSE),"Not listed"))</f>
        <v/>
      </c>
    </row>
    <row r="3">
      <c r="B3">
        <f>IF(A3="","",IFERROR(VLOOKUP(IF(C3&lt;&gt;"",C3,A3),'ABDC list'!$A:$B,2,FALSE),"Not listed"))</f>
        <v/>
      </c>
    </row>
    <row r="4">
      <c r="B4">
        <f>IF(A4="","",IFERROR(VLOOKUP(IF(C4&lt;&gt;"",C4,A4),'ABDC list'!$A:$B,2,FALSE),"Not listed"))</f>
        <v/>
      </c>
    </row>
    <row r="5">
      <c r="B5">
        <f>IF(A5="","",IFERROR(VLOOKUP(IF(C5&lt;&gt;"",C5,A5),'ABDC list'!$A:$B,2,FALSE),"Not listed"))</f>
        <v/>
      </c>
    </row>
    <row r="6">
      <c r="B6">
        <f>IF(A6="","",IFERROR(VLOOKUP(IF(C6&lt;&gt;"",C6,A6),'ABDC list'!$A:$B,2,FALSE),"Not listed"))</f>
        <v/>
      </c>
    </row>
    <row r="7">
      <c r="B7">
        <f>IF(A7="","",IFERROR(VLOOKUP(IF(C7&lt;&gt;"",C7,A7),'ABDC list'!$A:$B,2,FALSE),"Not listed"))</f>
        <v/>
      </c>
    </row>
    <row r="8">
      <c r="B8">
        <f>IF(A8="","",IFERROR(VLOOKUP(IF(C8&lt;&gt;"",C8,A8),'ABDC list'!$A:$B,2,FALSE),"Not listed"))</f>
        <v/>
      </c>
    </row>
    <row r="9">
      <c r="B9">
        <f>IF(A9="","",IFERROR(VLOOKUP(IF(C9&lt;&gt;"",C9,A9),'ABDC list'!$A:$B,2,FALSE),"Not listed"))</f>
        <v/>
      </c>
    </row>
    <row r="10">
      <c r="B10">
        <f>IF(A10="","",IFERROR(VLOOKUP(IF(C10&lt;&gt;"",C10,A10),'ABDC list'!$A:$B,2,FALSE),"Not listed"))</f>
        <v/>
      </c>
    </row>
    <row r="11">
      <c r="B11">
        <f>IF(A11="","",IFERROR(VLOOKUP(IF(C11&lt;&gt;"",C11,A11),'ABDC list'!$A:$B,2,FALSE),"Not listed"))</f>
        <v/>
      </c>
    </row>
    <row r="12">
      <c r="B12">
        <f>IF(A12="","",IFERROR(VLOOKUP(IF(C12&lt;&gt;"",C12,A12),'ABDC list'!$A:$B,2,FALSE),"Not listed"))</f>
        <v/>
      </c>
    </row>
    <row r="13">
      <c r="B13">
        <f>IF(A13="","",IFERROR(VLOOKUP(IF(C13&lt;&gt;"",C13,A13),'ABDC list'!$A:$B,2,FALSE),"Not listed"))</f>
        <v/>
      </c>
    </row>
    <row r="14">
      <c r="B14">
        <f>IF(A14="","",IFERROR(VLOOKUP(IF(C14&lt;&gt;"",C14,A14),'ABDC list'!$A:$B,2,FALSE),"Not listed"))</f>
        <v/>
      </c>
    </row>
    <row r="15">
      <c r="B15">
        <f>IF(A15="","",IFERROR(VLOOKUP(IF(C15&lt;&gt;"",C15,A15),'ABDC list'!$A:$B,2,FALSE),"Not listed"))</f>
        <v/>
      </c>
    </row>
    <row r="16">
      <c r="B16">
        <f>IF(A16="","",IFERROR(VLOOKUP(IF(C16&lt;&gt;"",C16,A16),'ABDC list'!$A:$B,2,FALSE),"Not listed"))</f>
        <v/>
      </c>
    </row>
    <row r="17">
      <c r="B17">
        <f>IF(A17="","",IFERROR(VLOOKUP(IF(C17&lt;&gt;"",C17,A17),'ABDC list'!$A:$B,2,FALSE),"Not listed"))</f>
        <v/>
      </c>
    </row>
    <row r="18">
      <c r="B18">
        <f>IF(A18="","",IFERROR(VLOOKUP(IF(C18&lt;&gt;"",C18,A18),'ABDC list'!$A:$B,2,FALSE),"Not listed"))</f>
        <v/>
      </c>
    </row>
    <row r="19">
      <c r="B19">
        <f>IF(A19="","",IFERROR(VLOOKUP(IF(C19&lt;&gt;"",C19,A19),'ABDC list'!$A:$B,2,FALSE),"Not listed"))</f>
        <v/>
      </c>
    </row>
    <row r="20">
      <c r="B20">
        <f>IF(A20="","",IFERROR(VLOOKUP(IF(C20&lt;&gt;"",C20,A20),'ABDC list'!$A:$B,2,FALSE),"Not listed"))</f>
        <v/>
      </c>
    </row>
    <row r="21">
      <c r="B21">
        <f>IF(A21="","",IFERROR(VLOOKUP(IF(C21&lt;&gt;"",C21,A21),'ABDC list'!$A:$B,2,FALSE),"Not listed"))</f>
        <v/>
      </c>
    </row>
    <row r="22">
      <c r="B22">
        <f>IF(A22="","",IFERROR(VLOOKUP(IF(C22&lt;&gt;"",C22,A22),'ABDC list'!$A:$B,2,FALSE),"Not listed"))</f>
        <v/>
      </c>
    </row>
    <row r="23">
      <c r="B23">
        <f>IF(A23="","",IFERROR(VLOOKUP(IF(C23&lt;&gt;"",C23,A23),'ABDC list'!$A:$B,2,FALSE),"Not listed"))</f>
        <v/>
      </c>
    </row>
    <row r="24">
      <c r="B24">
        <f>IF(A24="","",IFERROR(VLOOKUP(IF(C24&lt;&gt;"",C24,A24),'ABDC list'!$A:$B,2,FALSE),"Not listed"))</f>
        <v/>
      </c>
    </row>
    <row r="25">
      <c r="B25">
        <f>IF(A25="","",IFERROR(VLOOKUP(IF(C25&lt;&gt;"",C25,A25),'ABDC list'!$A:$B,2,FALSE),"Not listed"))</f>
        <v/>
      </c>
    </row>
    <row r="26">
      <c r="B26">
        <f>IF(A26="","",IFERROR(VLOOKUP(IF(C26&lt;&gt;"",C26,A26),'ABDC list'!$A:$B,2,FALSE),"Not listed"))</f>
        <v/>
      </c>
    </row>
    <row r="27">
      <c r="B27">
        <f>IF(A27="","",IFERROR(VLOOKUP(IF(C27&lt;&gt;"",C27,A27),'ABDC list'!$A:$B,2,FALSE),"Not listed"))</f>
        <v/>
      </c>
    </row>
    <row r="28">
      <c r="B28">
        <f>IF(A28="","",IFERROR(VLOOKUP(IF(C28&lt;&gt;"",C28,A28),'ABDC list'!$A:$B,2,FALSE),"Not listed"))</f>
        <v/>
      </c>
    </row>
    <row r="29">
      <c r="B29">
        <f>IF(A29="","",IFERROR(VLOOKUP(IF(C29&lt;&gt;"",C29,A29),'ABDC list'!$A:$B,2,FALSE),"Not listed"))</f>
        <v/>
      </c>
    </row>
    <row r="30">
      <c r="B30">
        <f>IF(A30="","",IFERROR(VLOOKUP(IF(C30&lt;&gt;"",C30,A30),'ABDC list'!$A:$B,2,FALSE),"Not listed"))</f>
        <v/>
      </c>
    </row>
    <row r="31">
      <c r="B31">
        <f>IF(A31="","",IFERROR(VLOOKUP(IF(C31&lt;&gt;"",C31,A31),'ABDC list'!$A:$B,2,FALSE),"Not listed"))</f>
        <v/>
      </c>
    </row>
    <row r="32">
      <c r="B32">
        <f>IF(A32="","",IFERROR(VLOOKUP(IF(C32&lt;&gt;"",C32,A32),'ABDC list'!$A:$B,2,FALSE),"Not listed"))</f>
        <v/>
      </c>
    </row>
    <row r="33">
      <c r="B33">
        <f>IF(A33="","",IFERROR(VLOOKUP(IF(C33&lt;&gt;"",C33,A33),'ABDC list'!$A:$B,2,FALSE),"Not listed"))</f>
        <v/>
      </c>
    </row>
    <row r="34">
      <c r="B34">
        <f>IF(A34="","",IFERROR(VLOOKUP(IF(C34&lt;&gt;"",C34,A34),'ABDC list'!$A:$B,2,FALSE),"Not listed"))</f>
        <v/>
      </c>
    </row>
    <row r="35">
      <c r="B35">
        <f>IF(A35="","",IFERROR(VLOOKUP(IF(C35&lt;&gt;"",C35,A35),'ABDC list'!$A:$B,2,FALSE),"Not listed"))</f>
        <v/>
      </c>
    </row>
    <row r="36">
      <c r="B36">
        <f>IF(A36="","",IFERROR(VLOOKUP(IF(C36&lt;&gt;"",C36,A36),'ABDC list'!$A:$B,2,FALSE),"Not listed"))</f>
        <v/>
      </c>
    </row>
    <row r="37">
      <c r="B37">
        <f>IF(A37="","",IFERROR(VLOOKUP(IF(C37&lt;&gt;"",C37,A37),'ABDC list'!$A:$B,2,FALSE),"Not listed"))</f>
        <v/>
      </c>
    </row>
    <row r="38">
      <c r="B38">
        <f>IF(A38="","",IFERROR(VLOOKUP(IF(C38&lt;&gt;"",C38,A38),'ABDC list'!$A:$B,2,FALSE),"Not listed"))</f>
        <v/>
      </c>
    </row>
    <row r="39">
      <c r="B39">
        <f>IF(A39="","",IFERROR(VLOOKUP(IF(C39&lt;&gt;"",C39,A39),'ABDC list'!$A:$B,2,FALSE),"Not listed"))</f>
        <v/>
      </c>
    </row>
    <row r="40">
      <c r="B40">
        <f>IF(A40="","",IFERROR(VLOOKUP(IF(C40&lt;&gt;"",C40,A40),'ABDC list'!$A:$B,2,FALSE),"Not listed"))</f>
        <v/>
      </c>
    </row>
    <row r="41">
      <c r="B41">
        <f>IF(A41="","",IFERROR(VLOOKUP(IF(C41&lt;&gt;"",C41,A41),'ABDC list'!$A:$B,2,FALSE),"Not listed"))</f>
        <v/>
      </c>
    </row>
    <row r="42">
      <c r="B42">
        <f>IF(A42="","",IFERROR(VLOOKUP(IF(C42&lt;&gt;"",C42,A42),'ABDC list'!$A:$B,2,FALSE),"Not listed"))</f>
        <v/>
      </c>
    </row>
    <row r="43">
      <c r="B43">
        <f>IF(A43="","",IFERROR(VLOOKUP(IF(C43&lt;&gt;"",C43,A43),'ABDC list'!$A:$B,2,FALSE),"Not listed"))</f>
        <v/>
      </c>
    </row>
    <row r="44">
      <c r="B44">
        <f>IF(A44="","",IFERROR(VLOOKUP(IF(C44&lt;&gt;"",C44,A44),'ABDC list'!$A:$B,2,FALSE),"Not listed"))</f>
        <v/>
      </c>
    </row>
    <row r="45">
      <c r="B45">
        <f>IF(A45="","",IFERROR(VLOOKUP(IF(C45&lt;&gt;"",C45,A45),'ABDC list'!$A:$B,2,FALSE),"Not listed"))</f>
        <v/>
      </c>
    </row>
    <row r="46">
      <c r="B46">
        <f>IF(A46="","",IFERROR(VLOOKUP(IF(C46&lt;&gt;"",C46,A46),'ABDC list'!$A:$B,2,FALSE),"Not listed"))</f>
        <v/>
      </c>
    </row>
    <row r="47">
      <c r="B47">
        <f>IF(A47="","",IFERROR(VLOOKUP(IF(C47&lt;&gt;"",C47,A47),'ABDC list'!$A:$B,2,FALSE),"Not listed"))</f>
        <v/>
      </c>
    </row>
    <row r="48">
      <c r="B48">
        <f>IF(A48="","",IFERROR(VLOOKUP(IF(C48&lt;&gt;"",C48,A48),'ABDC list'!$A:$B,2,FALSE),"Not listed"))</f>
        <v/>
      </c>
    </row>
    <row r="49">
      <c r="B49">
        <f>IF(A49="","",IFERROR(VLOOKUP(IF(C49&lt;&gt;"",C49,A49),'ABDC list'!$A:$B,2,FALSE),"Not listed"))</f>
        <v/>
      </c>
    </row>
    <row r="50">
      <c r="B50">
        <f>IF(A50="","",IFERROR(VLOOKUP(IF(C50&lt;&gt;"",C50,A50),'ABDC list'!$A:$B,2,FALSE),"Not listed"))</f>
        <v/>
      </c>
    </row>
    <row r="51">
      <c r="B51">
        <f>IF(A51="","",IFERROR(VLOOKUP(IF(C51&lt;&gt;"",C51,A51),'ABDC list'!$A:$B,2,FALSE),"Not listed"))</f>
        <v/>
      </c>
    </row>
    <row r="52">
      <c r="B52">
        <f>IF(A52="","",IFERROR(VLOOKUP(IF(C52&lt;&gt;"",C52,A52),'ABDC list'!$A:$B,2,FALSE),"Not listed"))</f>
        <v/>
      </c>
    </row>
    <row r="53">
      <c r="B53">
        <f>IF(A53="","",IFERROR(VLOOKUP(IF(C53&lt;&gt;"",C53,A53),'ABDC list'!$A:$B,2,FALSE),"Not listed"))</f>
        <v/>
      </c>
    </row>
    <row r="54">
      <c r="B54">
        <f>IF(A54="","",IFERROR(VLOOKUP(IF(C54&lt;&gt;"",C54,A54),'ABDC list'!$A:$B,2,FALSE),"Not listed"))</f>
        <v/>
      </c>
    </row>
    <row r="55">
      <c r="B55">
        <f>IF(A55="","",IFERROR(VLOOKUP(IF(C55&lt;&gt;"",C55,A55),'ABDC list'!$A:$B,2,FALSE),"Not listed"))</f>
        <v/>
      </c>
    </row>
    <row r="56">
      <c r="B56">
        <f>IF(A56="","",IFERROR(VLOOKUP(IF(C56&lt;&gt;"",C56,A56),'ABDC list'!$A:$B,2,FALSE),"Not listed"))</f>
        <v/>
      </c>
    </row>
    <row r="57">
      <c r="B57">
        <f>IF(A57="","",IFERROR(VLOOKUP(IF(C57&lt;&gt;"",C57,A57),'ABDC list'!$A:$B,2,FALSE),"Not listed"))</f>
        <v/>
      </c>
    </row>
    <row r="58">
      <c r="B58">
        <f>IF(A58="","",IFERROR(VLOOKUP(IF(C58&lt;&gt;"",C58,A58),'ABDC list'!$A:$B,2,FALSE),"Not listed"))</f>
        <v/>
      </c>
    </row>
    <row r="59">
      <c r="B59">
        <f>IF(A59="","",IFERROR(VLOOKUP(IF(C59&lt;&gt;"",C59,A59),'ABDC list'!$A:$B,2,FALSE),"Not listed"))</f>
        <v/>
      </c>
    </row>
    <row r="60">
      <c r="B60">
        <f>IF(A60="","",IFERROR(VLOOKUP(IF(C60&lt;&gt;"",C60,A60),'ABDC list'!$A:$B,2,FALSE),"Not listed"))</f>
        <v/>
      </c>
    </row>
    <row r="61">
      <c r="B61">
        <f>IF(A61="","",IFERROR(VLOOKUP(IF(C61&lt;&gt;"",C61,A61),'ABDC list'!$A:$B,2,FALSE),"Not listed"))</f>
        <v/>
      </c>
    </row>
    <row r="62">
      <c r="B62">
        <f>IF(A62="","",IFERROR(VLOOKUP(IF(C62&lt;&gt;"",C62,A62),'ABDC list'!$A:$B,2,FALSE),"Not listed"))</f>
        <v/>
      </c>
    </row>
    <row r="63">
      <c r="B63">
        <f>IF(A63="","",IFERROR(VLOOKUP(IF(C63&lt;&gt;"",C63,A63),'ABDC list'!$A:$B,2,FALSE),"Not listed"))</f>
        <v/>
      </c>
    </row>
    <row r="64">
      <c r="B64">
        <f>IF(A64="","",IFERROR(VLOOKUP(IF(C64&lt;&gt;"",C64,A64),'ABDC list'!$A:$B,2,FALSE),"Not listed"))</f>
        <v/>
      </c>
    </row>
    <row r="65">
      <c r="B65">
        <f>IF(A65="","",IFERROR(VLOOKUP(IF(C65&lt;&gt;"",C65,A65),'ABDC list'!$A:$B,2,FALSE),"Not listed"))</f>
        <v/>
      </c>
    </row>
    <row r="66">
      <c r="B66">
        <f>IF(A66="","",IFERROR(VLOOKUP(IF(C66&lt;&gt;"",C66,A66),'ABDC list'!$A:$B,2,FALSE),"Not listed"))</f>
        <v/>
      </c>
    </row>
    <row r="67">
      <c r="B67">
        <f>IF(A67="","",IFERROR(VLOOKUP(IF(C67&lt;&gt;"",C67,A67),'ABDC list'!$A:$B,2,FALSE),"Not listed"))</f>
        <v/>
      </c>
    </row>
    <row r="68">
      <c r="B68">
        <f>IF(A68="","",IFERROR(VLOOKUP(IF(C68&lt;&gt;"",C68,A68),'ABDC list'!$A:$B,2,FALSE),"Not listed"))</f>
        <v/>
      </c>
    </row>
    <row r="69">
      <c r="B69">
        <f>IF(A69="","",IFERROR(VLOOKUP(IF(C69&lt;&gt;"",C69,A69),'ABDC list'!$A:$B,2,FALSE),"Not listed"))</f>
        <v/>
      </c>
    </row>
    <row r="70">
      <c r="B70">
        <f>IF(A70="","",IFERROR(VLOOKUP(IF(C70&lt;&gt;"",C70,A70),'ABDC list'!$A:$B,2,FALSE),"Not listed"))</f>
        <v/>
      </c>
    </row>
    <row r="71">
      <c r="B71">
        <f>IF(A71="","",IFERROR(VLOOKUP(IF(C71&lt;&gt;"",C71,A71),'ABDC list'!$A:$B,2,FALSE),"Not listed"))</f>
        <v/>
      </c>
    </row>
    <row r="72">
      <c r="B72">
        <f>IF(A72="","",IFERROR(VLOOKUP(IF(C72&lt;&gt;"",C72,A72),'ABDC list'!$A:$B,2,FALSE),"Not listed"))</f>
        <v/>
      </c>
    </row>
    <row r="73">
      <c r="B73">
        <f>IF(A73="","",IFERROR(VLOOKUP(IF(C73&lt;&gt;"",C73,A73),'ABDC list'!$A:$B,2,FALSE),"Not listed"))</f>
        <v/>
      </c>
    </row>
    <row r="74">
      <c r="B74">
        <f>IF(A74="","",IFERROR(VLOOKUP(IF(C74&lt;&gt;"",C74,A74),'ABDC list'!$A:$B,2,FALSE),"Not listed"))</f>
        <v/>
      </c>
    </row>
    <row r="75">
      <c r="B75">
        <f>IF(A75="","",IFERROR(VLOOKUP(IF(C75&lt;&gt;"",C75,A75),'ABDC list'!$A:$B,2,FALSE),"Not listed"))</f>
        <v/>
      </c>
    </row>
    <row r="76">
      <c r="B76">
        <f>IF(A76="","",IFERROR(VLOOKUP(IF(C76&lt;&gt;"",C76,A76),'ABDC list'!$A:$B,2,FALSE),"Not listed"))</f>
        <v/>
      </c>
    </row>
    <row r="77">
      <c r="B77">
        <f>IF(A77="","",IFERROR(VLOOKUP(IF(C77&lt;&gt;"",C77,A77),'ABDC list'!$A:$B,2,FALSE),"Not listed"))</f>
        <v/>
      </c>
    </row>
    <row r="78">
      <c r="B78">
        <f>IF(A78="","",IFERROR(VLOOKUP(IF(C78&lt;&gt;"",C78,A78),'ABDC list'!$A:$B,2,FALSE),"Not listed"))</f>
        <v/>
      </c>
    </row>
    <row r="79">
      <c r="B79">
        <f>IF(A79="","",IFERROR(VLOOKUP(IF(C79&lt;&gt;"",C79,A79),'ABDC list'!$A:$B,2,FALSE),"Not listed"))</f>
        <v/>
      </c>
    </row>
    <row r="80">
      <c r="B80">
        <f>IF(A80="","",IFERROR(VLOOKUP(IF(C80&lt;&gt;"",C80,A80),'ABDC list'!$A:$B,2,FALSE),"Not listed"))</f>
        <v/>
      </c>
    </row>
    <row r="81">
      <c r="B81">
        <f>IF(A81="","",IFERROR(VLOOKUP(IF(C81&lt;&gt;"",C81,A81),'ABDC list'!$A:$B,2,FALSE),"Not listed"))</f>
        <v/>
      </c>
    </row>
    <row r="82">
      <c r="B82">
        <f>IF(A82="","",IFERROR(VLOOKUP(IF(C82&lt;&gt;"",C82,A82),'ABDC list'!$A:$B,2,FALSE),"Not listed"))</f>
        <v/>
      </c>
    </row>
    <row r="83">
      <c r="B83">
        <f>IF(A83="","",IFERROR(VLOOKUP(IF(C83&lt;&gt;"",C83,A83),'ABDC list'!$A:$B,2,FALSE),"Not listed"))</f>
        <v/>
      </c>
    </row>
    <row r="84">
      <c r="B84">
        <f>IF(A84="","",IFERROR(VLOOKUP(IF(C84&lt;&gt;"",C84,A84),'ABDC list'!$A:$B,2,FALSE),"Not listed"))</f>
        <v/>
      </c>
    </row>
    <row r="85">
      <c r="B85">
        <f>IF(A85="","",IFERROR(VLOOKUP(IF(C85&lt;&gt;"",C85,A85),'ABDC list'!$A:$B,2,FALSE),"Not listed"))</f>
        <v/>
      </c>
    </row>
    <row r="86">
      <c r="B86">
        <f>IF(A86="","",IFERROR(VLOOKUP(IF(C86&lt;&gt;"",C86,A86),'ABDC list'!$A:$B,2,FALSE),"Not listed"))</f>
        <v/>
      </c>
    </row>
    <row r="87">
      <c r="B87">
        <f>IF(A87="","",IFERROR(VLOOKUP(IF(C87&lt;&gt;"",C87,A87),'ABDC list'!$A:$B,2,FALSE),"Not listed"))</f>
        <v/>
      </c>
    </row>
    <row r="88">
      <c r="B88">
        <f>IF(A88="","",IFERROR(VLOOKUP(IF(C88&lt;&gt;"",C88,A88),'ABDC list'!$A:$B,2,FALSE),"Not listed"))</f>
        <v/>
      </c>
    </row>
    <row r="89">
      <c r="B89">
        <f>IF(A89="","",IFERROR(VLOOKUP(IF(C89&lt;&gt;"",C89,A89),'ABDC list'!$A:$B,2,FALSE),"Not listed"))</f>
        <v/>
      </c>
    </row>
    <row r="90">
      <c r="B90">
        <f>IF(A90="","",IFERROR(VLOOKUP(IF(C90&lt;&gt;"",C90,A90),'ABDC list'!$A:$B,2,FALSE),"Not listed"))</f>
        <v/>
      </c>
    </row>
    <row r="91">
      <c r="B91">
        <f>IF(A91="","",IFERROR(VLOOKUP(IF(C91&lt;&gt;"",C91,A91),'ABDC list'!$A:$B,2,FALSE),"Not listed"))</f>
        <v/>
      </c>
    </row>
    <row r="92">
      <c r="B92">
        <f>IF(A92="","",IFERROR(VLOOKUP(IF(C92&lt;&gt;"",C92,A92),'ABDC list'!$A:$B,2,FALSE),"Not listed"))</f>
        <v/>
      </c>
    </row>
    <row r="93">
      <c r="B93">
        <f>IF(A93="","",IFERROR(VLOOKUP(IF(C93&lt;&gt;"",C93,A93),'ABDC list'!$A:$B,2,FALSE),"Not listed"))</f>
        <v/>
      </c>
    </row>
    <row r="94">
      <c r="B94">
        <f>IF(A94="","",IFERROR(VLOOKUP(IF(C94&lt;&gt;"",C94,A94),'ABDC list'!$A:$B,2,FALSE),"Not listed"))</f>
        <v/>
      </c>
    </row>
    <row r="95">
      <c r="B95">
        <f>IF(A95="","",IFERROR(VLOOKUP(IF(C95&lt;&gt;"",C95,A95),'ABDC list'!$A:$B,2,FALSE),"Not listed"))</f>
        <v/>
      </c>
    </row>
    <row r="96">
      <c r="B96">
        <f>IF(A96="","",IFERROR(VLOOKUP(IF(C96&lt;&gt;"",C96,A96),'ABDC list'!$A:$B,2,FALSE),"Not listed"))</f>
        <v/>
      </c>
    </row>
    <row r="97">
      <c r="B97">
        <f>IF(A97="","",IFERROR(VLOOKUP(IF(C97&lt;&gt;"",C97,A97),'ABDC list'!$A:$B,2,FALSE),"Not listed"))</f>
        <v/>
      </c>
    </row>
    <row r="98">
      <c r="B98">
        <f>IF(A98="","",IFERROR(VLOOKUP(IF(C98&lt;&gt;"",C98,A98),'ABDC list'!$A:$B,2,FALSE),"Not listed"))</f>
        <v/>
      </c>
    </row>
    <row r="99">
      <c r="B99">
        <f>IF(A99="","",IFERROR(VLOOKUP(IF(C99&lt;&gt;"",C99,A99),'ABDC list'!$A:$B,2,FALSE),"Not listed"))</f>
        <v/>
      </c>
    </row>
    <row r="100">
      <c r="B100">
        <f>IF(A100="","",IFERROR(VLOOKUP(IF(C100&lt;&gt;"",C100,A100),'ABDC list'!$A:$B,2,FALSE),"Not listed"))</f>
        <v/>
      </c>
    </row>
    <row r="101">
      <c r="B101">
        <f>IF(A101="","",IFERROR(VLOOKUP(IF(C101&lt;&gt;"",C101,A101),'ABDC list'!$A:$B,2,FALSE),"Not listed"))</f>
        <v/>
      </c>
    </row>
    <row r="102">
      <c r="B102">
        <f>IF(A102="","",IFERROR(VLOOKUP(IF(C102&lt;&gt;"",C102,A102),'ABDC list'!$A:$B,2,FALSE),"Not listed"))</f>
        <v/>
      </c>
    </row>
    <row r="103">
      <c r="B103">
        <f>IF(A103="","",IFERROR(VLOOKUP(IF(C103&lt;&gt;"",C103,A103),'ABDC list'!$A:$B,2,FALSE),"Not listed"))</f>
        <v/>
      </c>
    </row>
    <row r="104">
      <c r="B104">
        <f>IF(A104="","",IFERROR(VLOOKUP(IF(C104&lt;&gt;"",C104,A104),'ABDC list'!$A:$B,2,FALSE),"Not listed"))</f>
        <v/>
      </c>
    </row>
    <row r="105">
      <c r="B105">
        <f>IF(A105="","",IFERROR(VLOOKUP(IF(C105&lt;&gt;"",C105,A105),'ABDC list'!$A:$B,2,FALSE),"Not listed"))</f>
        <v/>
      </c>
    </row>
    <row r="106">
      <c r="B106">
        <f>IF(A106="","",IFERROR(VLOOKUP(IF(C106&lt;&gt;"",C106,A106),'ABDC list'!$A:$B,2,FALSE),"Not listed"))</f>
        <v/>
      </c>
    </row>
    <row r="107">
      <c r="B107">
        <f>IF(A107="","",IFERROR(VLOOKUP(IF(C107&lt;&gt;"",C107,A107),'ABDC list'!$A:$B,2,FALSE),"Not listed"))</f>
        <v/>
      </c>
    </row>
    <row r="108">
      <c r="B108">
        <f>IF(A108="","",IFERROR(VLOOKUP(IF(C108&lt;&gt;"",C108,A108),'ABDC list'!$A:$B,2,FALSE),"Not listed"))</f>
        <v/>
      </c>
    </row>
    <row r="109">
      <c r="B109">
        <f>IF(A109="","",IFERROR(VLOOKUP(IF(C109&lt;&gt;"",C109,A109),'ABDC list'!$A:$B,2,FALSE),"Not listed"))</f>
        <v/>
      </c>
    </row>
    <row r="110">
      <c r="B110">
        <f>IF(A110="","",IFERROR(VLOOKUP(IF(C110&lt;&gt;"",C110,A110),'ABDC list'!$A:$B,2,FALSE),"Not listed"))</f>
        <v/>
      </c>
    </row>
    <row r="111">
      <c r="B111">
        <f>IF(A111="","",IFERROR(VLOOKUP(IF(C111&lt;&gt;"",C111,A111),'ABDC list'!$A:$B,2,FALSE),"Not listed"))</f>
        <v/>
      </c>
    </row>
    <row r="112">
      <c r="B112">
        <f>IF(A112="","",IFERROR(VLOOKUP(IF(C112&lt;&gt;"",C112,A112),'ABDC list'!$A:$B,2,FALSE),"Not listed"))</f>
        <v/>
      </c>
    </row>
    <row r="113">
      <c r="B113">
        <f>IF(A113="","",IFERROR(VLOOKUP(IF(C113&lt;&gt;"",C113,A113),'ABDC list'!$A:$B,2,FALSE),"Not listed"))</f>
        <v/>
      </c>
    </row>
    <row r="114">
      <c r="B114">
        <f>IF(A114="","",IFERROR(VLOOKUP(IF(C114&lt;&gt;"",C114,A114),'ABDC list'!$A:$B,2,FALSE),"Not listed"))</f>
        <v/>
      </c>
    </row>
    <row r="115">
      <c r="B115">
        <f>IF(A115="","",IFERROR(VLOOKUP(IF(C115&lt;&gt;"",C115,A115),'ABDC list'!$A:$B,2,FALSE),"Not listed"))</f>
        <v/>
      </c>
    </row>
    <row r="116">
      <c r="B116">
        <f>IF(A116="","",IFERROR(VLOOKUP(IF(C116&lt;&gt;"",C116,A116),'ABDC list'!$A:$B,2,FALSE),"Not listed"))</f>
        <v/>
      </c>
    </row>
    <row r="117">
      <c r="B117">
        <f>IF(A117="","",IFERROR(VLOOKUP(IF(C117&lt;&gt;"",C117,A117),'ABDC list'!$A:$B,2,FALSE),"Not listed"))</f>
        <v/>
      </c>
    </row>
    <row r="118">
      <c r="B118">
        <f>IF(A118="","",IFERROR(VLOOKUP(IF(C118&lt;&gt;"",C118,A118),'ABDC list'!$A:$B,2,FALSE),"Not listed"))</f>
        <v/>
      </c>
    </row>
    <row r="119">
      <c r="B119">
        <f>IF(A119="","",IFERROR(VLOOKUP(IF(C119&lt;&gt;"",C119,A119),'ABDC list'!$A:$B,2,FALSE),"Not listed"))</f>
        <v/>
      </c>
    </row>
    <row r="120">
      <c r="B120">
        <f>IF(A120="","",IFERROR(VLOOKUP(IF(C120&lt;&gt;"",C120,A120),'ABDC list'!$A:$B,2,FALSE),"Not listed"))</f>
        <v/>
      </c>
    </row>
    <row r="121">
      <c r="B121">
        <f>IF(A121="","",IFERROR(VLOOKUP(IF(C121&lt;&gt;"",C121,A121),'ABDC list'!$A:$B,2,FALSE),"Not listed"))</f>
        <v/>
      </c>
    </row>
    <row r="122">
      <c r="B122">
        <f>IF(A122="","",IFERROR(VLOOKUP(IF(C122&lt;&gt;"",C122,A122),'ABDC list'!$A:$B,2,FALSE),"Not listed"))</f>
        <v/>
      </c>
    </row>
    <row r="123">
      <c r="B123">
        <f>IF(A123="","",IFERROR(VLOOKUP(IF(C123&lt;&gt;"",C123,A123),'ABDC list'!$A:$B,2,FALSE),"Not listed"))</f>
        <v/>
      </c>
    </row>
    <row r="124">
      <c r="B124">
        <f>IF(A124="","",IFERROR(VLOOKUP(IF(C124&lt;&gt;"",C124,A124),'ABDC list'!$A:$B,2,FALSE),"Not listed"))</f>
        <v/>
      </c>
    </row>
    <row r="125">
      <c r="B125">
        <f>IF(A125="","",IFERROR(VLOOKUP(IF(C125&lt;&gt;"",C125,A125),'ABDC list'!$A:$B,2,FALSE),"Not listed"))</f>
        <v/>
      </c>
    </row>
    <row r="126">
      <c r="B126">
        <f>IF(A126="","",IFERROR(VLOOKUP(IF(C126&lt;&gt;"",C126,A126),'ABDC list'!$A:$B,2,FALSE),"Not listed"))</f>
        <v/>
      </c>
    </row>
    <row r="127">
      <c r="B127">
        <f>IF(A127="","",IFERROR(VLOOKUP(IF(C127&lt;&gt;"",C127,A127),'ABDC list'!$A:$B,2,FALSE),"Not listed"))</f>
        <v/>
      </c>
    </row>
    <row r="128">
      <c r="B128">
        <f>IF(A128="","",IFERROR(VLOOKUP(IF(C128&lt;&gt;"",C128,A128),'ABDC list'!$A:$B,2,FALSE),"Not listed"))</f>
        <v/>
      </c>
    </row>
    <row r="129">
      <c r="B129">
        <f>IF(A129="","",IFERROR(VLOOKUP(IF(C129&lt;&gt;"",C129,A129),'ABDC list'!$A:$B,2,FALSE),"Not listed"))</f>
        <v/>
      </c>
    </row>
    <row r="130">
      <c r="B130">
        <f>IF(A130="","",IFERROR(VLOOKUP(IF(C130&lt;&gt;"",C130,A130),'ABDC list'!$A:$B,2,FALSE),"Not listed"))</f>
        <v/>
      </c>
    </row>
    <row r="131">
      <c r="B131">
        <f>IF(A131="","",IFERROR(VLOOKUP(IF(C131&lt;&gt;"",C131,A131),'ABDC list'!$A:$B,2,FALSE),"Not listed"))</f>
        <v/>
      </c>
    </row>
    <row r="132">
      <c r="B132">
        <f>IF(A132="","",IFERROR(VLOOKUP(IF(C132&lt;&gt;"",C132,A132),'ABDC list'!$A:$B,2,FALSE),"Not listed"))</f>
        <v/>
      </c>
    </row>
    <row r="133">
      <c r="B133">
        <f>IF(A133="","",IFERROR(VLOOKUP(IF(C133&lt;&gt;"",C133,A133),'ABDC list'!$A:$B,2,FALSE),"Not listed"))</f>
        <v/>
      </c>
    </row>
    <row r="134">
      <c r="B134">
        <f>IF(A134="","",IFERROR(VLOOKUP(IF(C134&lt;&gt;"",C134,A134),'ABDC list'!$A:$B,2,FALSE),"Not listed"))</f>
        <v/>
      </c>
    </row>
    <row r="135">
      <c r="B135">
        <f>IF(A135="","",IFERROR(VLOOKUP(IF(C135&lt;&gt;"",C135,A135),'ABDC list'!$A:$B,2,FALSE),"Not listed"))</f>
        <v/>
      </c>
    </row>
    <row r="136">
      <c r="B136">
        <f>IF(A136="","",IFERROR(VLOOKUP(IF(C136&lt;&gt;"",C136,A136),'ABDC list'!$A:$B,2,FALSE),"Not listed"))</f>
        <v/>
      </c>
    </row>
    <row r="137">
      <c r="B137">
        <f>IF(A137="","",IFERROR(VLOOKUP(IF(C137&lt;&gt;"",C137,A137),'ABDC list'!$A:$B,2,FALSE),"Not listed"))</f>
        <v/>
      </c>
    </row>
    <row r="138">
      <c r="B138">
        <f>IF(A138="","",IFERROR(VLOOKUP(IF(C138&lt;&gt;"",C138,A138),'ABDC list'!$A:$B,2,FALSE),"Not listed"))</f>
        <v/>
      </c>
    </row>
    <row r="139">
      <c r="B139">
        <f>IF(A139="","",IFERROR(VLOOKUP(IF(C139&lt;&gt;"",C139,A139),'ABDC list'!$A:$B,2,FALSE),"Not listed"))</f>
        <v/>
      </c>
    </row>
    <row r="140">
      <c r="B140">
        <f>IF(A140="","",IFERROR(VLOOKUP(IF(C140&lt;&gt;"",C140,A140),'ABDC list'!$A:$B,2,FALSE),"Not listed"))</f>
        <v/>
      </c>
    </row>
    <row r="141">
      <c r="B141">
        <f>IF(A141="","",IFERROR(VLOOKUP(IF(C141&lt;&gt;"",C141,A141),'ABDC list'!$A:$B,2,FALSE),"Not listed"))</f>
        <v/>
      </c>
    </row>
    <row r="142">
      <c r="B142">
        <f>IF(A142="","",IFERROR(VLOOKUP(IF(C142&lt;&gt;"",C142,A142),'ABDC list'!$A:$B,2,FALSE),"Not listed"))</f>
        <v/>
      </c>
    </row>
    <row r="143">
      <c r="B143">
        <f>IF(A143="","",IFERROR(VLOOKUP(IF(C143&lt;&gt;"",C143,A143),'ABDC list'!$A:$B,2,FALSE),"Not listed"))</f>
        <v/>
      </c>
    </row>
    <row r="144">
      <c r="B144">
        <f>IF(A144="","",IFERROR(VLOOKUP(IF(C144&lt;&gt;"",C144,A144),'ABDC list'!$A:$B,2,FALSE),"Not listed"))</f>
        <v/>
      </c>
    </row>
    <row r="145">
      <c r="B145">
        <f>IF(A145="","",IFERROR(VLOOKUP(IF(C145&lt;&gt;"",C145,A145),'ABDC list'!$A:$B,2,FALSE),"Not listed"))</f>
        <v/>
      </c>
    </row>
    <row r="146">
      <c r="B146">
        <f>IF(A146="","",IFERROR(VLOOKUP(IF(C146&lt;&gt;"",C146,A146),'ABDC list'!$A:$B,2,FALSE),"Not listed"))</f>
        <v/>
      </c>
    </row>
    <row r="147">
      <c r="B147">
        <f>IF(A147="","",IFERROR(VLOOKUP(IF(C147&lt;&gt;"",C147,A147),'ABDC list'!$A:$B,2,FALSE),"Not listed"))</f>
        <v/>
      </c>
    </row>
    <row r="148">
      <c r="B148">
        <f>IF(A148="","",IFERROR(VLOOKUP(IF(C148&lt;&gt;"",C148,A148),'ABDC list'!$A:$B,2,FALSE),"Not listed"))</f>
        <v/>
      </c>
    </row>
    <row r="149">
      <c r="B149">
        <f>IF(A149="","",IFERROR(VLOOKUP(IF(C149&lt;&gt;"",C149,A149),'ABDC list'!$A:$B,2,FALSE),"Not listed"))</f>
        <v/>
      </c>
    </row>
    <row r="150">
      <c r="B150">
        <f>IF(A150="","",IFERROR(VLOOKUP(IF(C150&lt;&gt;"",C150,A150),'ABDC list'!$A:$B,2,FALSE),"Not listed"))</f>
        <v/>
      </c>
    </row>
    <row r="151">
      <c r="B151">
        <f>IF(A151="","",IFERROR(VLOOKUP(IF(C151&lt;&gt;"",C151,A151),'ABDC list'!$A:$B,2,FALSE),"Not listed"))</f>
        <v/>
      </c>
    </row>
    <row r="152">
      <c r="B152">
        <f>IF(A152="","",IFERROR(VLOOKUP(IF(C152&lt;&gt;"",C152,A152),'ABDC list'!$A:$B,2,FALSE),"Not listed"))</f>
        <v/>
      </c>
    </row>
    <row r="153">
      <c r="B153">
        <f>IF(A153="","",IFERROR(VLOOKUP(IF(C153&lt;&gt;"",C153,A153),'ABDC list'!$A:$B,2,FALSE),"Not listed"))</f>
        <v/>
      </c>
    </row>
    <row r="154">
      <c r="B154">
        <f>IF(A154="","",IFERROR(VLOOKUP(IF(C154&lt;&gt;"",C154,A154),'ABDC list'!$A:$B,2,FALSE),"Not listed"))</f>
        <v/>
      </c>
    </row>
    <row r="155">
      <c r="B155">
        <f>IF(A155="","",IFERROR(VLOOKUP(IF(C155&lt;&gt;"",C155,A155),'ABDC list'!$A:$B,2,FALSE),"Not listed"))</f>
        <v/>
      </c>
    </row>
    <row r="156">
      <c r="B156">
        <f>IF(A156="","",IFERROR(VLOOKUP(IF(C156&lt;&gt;"",C156,A156),'ABDC list'!$A:$B,2,FALSE),"Not listed"))</f>
        <v/>
      </c>
    </row>
    <row r="157">
      <c r="B157">
        <f>IF(A157="","",IFERROR(VLOOKUP(IF(C157&lt;&gt;"",C157,A157),'ABDC list'!$A:$B,2,FALSE),"Not listed"))</f>
        <v/>
      </c>
    </row>
    <row r="158">
      <c r="B158">
        <f>IF(A158="","",IFERROR(VLOOKUP(IF(C158&lt;&gt;"",C158,A158),'ABDC list'!$A:$B,2,FALSE),"Not listed"))</f>
        <v/>
      </c>
    </row>
    <row r="159">
      <c r="B159">
        <f>IF(A159="","",IFERROR(VLOOKUP(IF(C159&lt;&gt;"",C159,A159),'ABDC list'!$A:$B,2,FALSE),"Not listed"))</f>
        <v/>
      </c>
    </row>
    <row r="160">
      <c r="B160">
        <f>IF(A160="","",IFERROR(VLOOKUP(IF(C160&lt;&gt;"",C160,A160),'ABDC list'!$A:$B,2,FALSE),"Not listed"))</f>
        <v/>
      </c>
    </row>
    <row r="161">
      <c r="B161">
        <f>IF(A161="","",IFERROR(VLOOKUP(IF(C161&lt;&gt;"",C161,A161),'ABDC list'!$A:$B,2,FALSE),"Not listed"))</f>
        <v/>
      </c>
    </row>
    <row r="162">
      <c r="B162">
        <f>IF(A162="","",IFERROR(VLOOKUP(IF(C162&lt;&gt;"",C162,A162),'ABDC list'!$A:$B,2,FALSE),"Not listed"))</f>
        <v/>
      </c>
    </row>
    <row r="163">
      <c r="B163">
        <f>IF(A163="","",IFERROR(VLOOKUP(IF(C163&lt;&gt;"",C163,A163),'ABDC list'!$A:$B,2,FALSE),"Not listed"))</f>
        <v/>
      </c>
    </row>
    <row r="164">
      <c r="B164">
        <f>IF(A164="","",IFERROR(VLOOKUP(IF(C164&lt;&gt;"",C164,A164),'ABDC list'!$A:$B,2,FALSE),"Not listed"))</f>
        <v/>
      </c>
    </row>
    <row r="165">
      <c r="B165">
        <f>IF(A165="","",IFERROR(VLOOKUP(IF(C165&lt;&gt;"",C165,A165),'ABDC list'!$A:$B,2,FALSE),"Not listed"))</f>
        <v/>
      </c>
    </row>
    <row r="166">
      <c r="B166">
        <f>IF(A166="","",IFERROR(VLOOKUP(IF(C166&lt;&gt;"",C166,A166),'ABDC list'!$A:$B,2,FALSE),"Not listed"))</f>
        <v/>
      </c>
    </row>
    <row r="167">
      <c r="B167">
        <f>IF(A167="","",IFERROR(VLOOKUP(IF(C167&lt;&gt;"",C167,A167),'ABDC list'!$A:$B,2,FALSE),"Not listed"))</f>
        <v/>
      </c>
    </row>
    <row r="168">
      <c r="B168">
        <f>IF(A168="","",IFERROR(VLOOKUP(IF(C168&lt;&gt;"",C168,A168),'ABDC list'!$A:$B,2,FALSE),"Not listed"))</f>
        <v/>
      </c>
    </row>
    <row r="169">
      <c r="B169">
        <f>IF(A169="","",IFERROR(VLOOKUP(IF(C169&lt;&gt;"",C169,A169),'ABDC list'!$A:$B,2,FALSE),"Not listed"))</f>
        <v/>
      </c>
    </row>
    <row r="170">
      <c r="B170">
        <f>IF(A170="","",IFERROR(VLOOKUP(IF(C170&lt;&gt;"",C170,A170),'ABDC list'!$A:$B,2,FALSE),"Not listed"))</f>
        <v/>
      </c>
    </row>
    <row r="171">
      <c r="B171">
        <f>IF(A171="","",IFERROR(VLOOKUP(IF(C171&lt;&gt;"",C171,A171),'ABDC list'!$A:$B,2,FALSE),"Not listed"))</f>
        <v/>
      </c>
    </row>
    <row r="172">
      <c r="B172">
        <f>IF(A172="","",IFERROR(VLOOKUP(IF(C172&lt;&gt;"",C172,A172),'ABDC list'!$A:$B,2,FALSE),"Not listed"))</f>
        <v/>
      </c>
    </row>
    <row r="173">
      <c r="B173">
        <f>IF(A173="","",IFERROR(VLOOKUP(IF(C173&lt;&gt;"",C173,A173),'ABDC list'!$A:$B,2,FALSE),"Not listed"))</f>
        <v/>
      </c>
    </row>
    <row r="174">
      <c r="B174">
        <f>IF(A174="","",IFERROR(VLOOKUP(IF(C174&lt;&gt;"",C174,A174),'ABDC list'!$A:$B,2,FALSE),"Not listed"))</f>
        <v/>
      </c>
    </row>
    <row r="175">
      <c r="B175">
        <f>IF(A175="","",IFERROR(VLOOKUP(IF(C175&lt;&gt;"",C175,A175),'ABDC list'!$A:$B,2,FALSE),"Not listed"))</f>
        <v/>
      </c>
    </row>
    <row r="176">
      <c r="B176">
        <f>IF(A176="","",IFERROR(VLOOKUP(IF(C176&lt;&gt;"",C176,A176),'ABDC list'!$A:$B,2,FALSE),"Not listed"))</f>
        <v/>
      </c>
    </row>
    <row r="177">
      <c r="B177">
        <f>IF(A177="","",IFERROR(VLOOKUP(IF(C177&lt;&gt;"",C177,A177),'ABDC list'!$A:$B,2,FALSE),"Not listed"))</f>
        <v/>
      </c>
    </row>
    <row r="178">
      <c r="B178">
        <f>IF(A178="","",IFERROR(VLOOKUP(IF(C178&lt;&gt;"",C178,A178),'ABDC list'!$A:$B,2,FALSE),"Not listed"))</f>
        <v/>
      </c>
    </row>
    <row r="179">
      <c r="B179">
        <f>IF(A179="","",IFERROR(VLOOKUP(IF(C179&lt;&gt;"",C179,A179),'ABDC list'!$A:$B,2,FALSE),"Not listed"))</f>
        <v/>
      </c>
    </row>
    <row r="180">
      <c r="B180">
        <f>IF(A180="","",IFERROR(VLOOKUP(IF(C180&lt;&gt;"",C180,A180),'ABDC list'!$A:$B,2,FALSE),"Not listed"))</f>
        <v/>
      </c>
    </row>
    <row r="181">
      <c r="B181">
        <f>IF(A181="","",IFERROR(VLOOKUP(IF(C181&lt;&gt;"",C181,A181),'ABDC list'!$A:$B,2,FALSE),"Not listed"))</f>
        <v/>
      </c>
    </row>
    <row r="182">
      <c r="B182">
        <f>IF(A182="","",IFERROR(VLOOKUP(IF(C182&lt;&gt;"",C182,A182),'ABDC list'!$A:$B,2,FALSE),"Not listed"))</f>
        <v/>
      </c>
    </row>
    <row r="183">
      <c r="B183">
        <f>IF(A183="","",IFERROR(VLOOKUP(IF(C183&lt;&gt;"",C183,A183),'ABDC list'!$A:$B,2,FALSE),"Not listed"))</f>
        <v/>
      </c>
    </row>
    <row r="184">
      <c r="B184">
        <f>IF(A184="","",IFERROR(VLOOKUP(IF(C184&lt;&gt;"",C184,A184),'ABDC list'!$A:$B,2,FALSE),"Not listed"))</f>
        <v/>
      </c>
    </row>
    <row r="185">
      <c r="B185">
        <f>IF(A185="","",IFERROR(VLOOKUP(IF(C185&lt;&gt;"",C185,A185),'ABDC list'!$A:$B,2,FALSE),"Not listed"))</f>
        <v/>
      </c>
    </row>
    <row r="186">
      <c r="B186">
        <f>IF(A186="","",IFERROR(VLOOKUP(IF(C186&lt;&gt;"",C186,A186),'ABDC list'!$A:$B,2,FALSE),"Not listed"))</f>
        <v/>
      </c>
    </row>
    <row r="187">
      <c r="B187">
        <f>IF(A187="","",IFERROR(VLOOKUP(IF(C187&lt;&gt;"",C187,A187),'ABDC list'!$A:$B,2,FALSE),"Not listed"))</f>
        <v/>
      </c>
    </row>
    <row r="188">
      <c r="B188">
        <f>IF(A188="","",IFERROR(VLOOKUP(IF(C188&lt;&gt;"",C188,A188),'ABDC list'!$A:$B,2,FALSE),"Not listed"))</f>
        <v/>
      </c>
    </row>
    <row r="189">
      <c r="B189">
        <f>IF(A189="","",IFERROR(VLOOKUP(IF(C189&lt;&gt;"",C189,A189),'ABDC list'!$A:$B,2,FALSE),"Not listed"))</f>
        <v/>
      </c>
    </row>
    <row r="190">
      <c r="B190">
        <f>IF(A190="","",IFERROR(VLOOKUP(IF(C190&lt;&gt;"",C190,A190),'ABDC list'!$A:$B,2,FALSE),"Not listed"))</f>
        <v/>
      </c>
    </row>
    <row r="191">
      <c r="B191">
        <f>IF(A191="","",IFERROR(VLOOKUP(IF(C191&lt;&gt;"",C191,A191),'ABDC list'!$A:$B,2,FALSE),"Not listed"))</f>
        <v/>
      </c>
    </row>
    <row r="192">
      <c r="B192">
        <f>IF(A192="","",IFERROR(VLOOKUP(IF(C192&lt;&gt;"",C192,A192),'ABDC list'!$A:$B,2,FALSE),"Not listed"))</f>
        <v/>
      </c>
    </row>
    <row r="193">
      <c r="B193">
        <f>IF(A193="","",IFERROR(VLOOKUP(IF(C193&lt;&gt;"",C193,A193),'ABDC list'!$A:$B,2,FALSE),"Not listed"))</f>
        <v/>
      </c>
    </row>
    <row r="194">
      <c r="B194">
        <f>IF(A194="","",IFERROR(VLOOKUP(IF(C194&lt;&gt;"",C194,A194),'ABDC list'!$A:$B,2,FALSE),"Not listed"))</f>
        <v/>
      </c>
    </row>
    <row r="195">
      <c r="B195">
        <f>IF(A195="","",IFERROR(VLOOKUP(IF(C195&lt;&gt;"",C195,A195),'ABDC list'!$A:$B,2,FALSE),"Not listed"))</f>
        <v/>
      </c>
    </row>
    <row r="196">
      <c r="B196">
        <f>IF(A196="","",IFERROR(VLOOKUP(IF(C196&lt;&gt;"",C196,A196),'ABDC list'!$A:$B,2,FALSE),"Not listed"))</f>
        <v/>
      </c>
    </row>
    <row r="197">
      <c r="B197">
        <f>IF(A197="","",IFERROR(VLOOKUP(IF(C197&lt;&gt;"",C197,A197),'ABDC list'!$A:$B,2,FALSE),"Not listed"))</f>
        <v/>
      </c>
    </row>
    <row r="198">
      <c r="B198">
        <f>IF(A198="","",IFERROR(VLOOKUP(IF(C198&lt;&gt;"",C198,A198),'ABDC list'!$A:$B,2,FALSE),"Not listed"))</f>
        <v/>
      </c>
    </row>
    <row r="199">
      <c r="B199">
        <f>IF(A199="","",IFERROR(VLOOKUP(IF(C199&lt;&gt;"",C199,A199),'ABDC list'!$A:$B,2,FALSE),"Not listed"))</f>
        <v/>
      </c>
    </row>
    <row r="200">
      <c r="B200">
        <f>IF(A200="","",IFERROR(VLOOKUP(IF(C200&lt;&gt;"",C200,A200),'ABDC list'!$A:$B,2,FALSE),"Not listed"))</f>
        <v/>
      </c>
    </row>
    <row r="201">
      <c r="B201">
        <f>IF(A201="","",IFERROR(VLOOKUP(IF(C201&lt;&gt;"",C201,A201),'ABDC list'!$A:$B,2,FALSE),"Not listed"))</f>
        <v/>
      </c>
    </row>
    <row r="202">
      <c r="B202">
        <f>IF(A202="","",IFERROR(VLOOKUP(IF(C202&lt;&gt;"",C202,A202),'ABDC list'!$A:$B,2,FALSE),"Not listed"))</f>
        <v/>
      </c>
    </row>
    <row r="203">
      <c r="B203">
        <f>IF(A203="","",IFERROR(VLOOKUP(IF(C203&lt;&gt;"",C203,A203),'ABDC list'!$A:$B,2,FALSE),"Not listed"))</f>
        <v/>
      </c>
    </row>
    <row r="204">
      <c r="B204">
        <f>IF(A204="","",IFERROR(VLOOKUP(IF(C204&lt;&gt;"",C204,A204),'ABDC list'!$A:$B,2,FALSE),"Not listed"))</f>
        <v/>
      </c>
    </row>
    <row r="205">
      <c r="B205">
        <f>IF(A205="","",IFERROR(VLOOKUP(IF(C205&lt;&gt;"",C205,A205),'ABDC list'!$A:$B,2,FALSE),"Not listed"))</f>
        <v/>
      </c>
    </row>
    <row r="206">
      <c r="B206">
        <f>IF(A206="","",IFERROR(VLOOKUP(IF(C206&lt;&gt;"",C206,A206),'ABDC list'!$A:$B,2,FALSE),"Not listed"))</f>
        <v/>
      </c>
    </row>
    <row r="207">
      <c r="B207">
        <f>IF(A207="","",IFERROR(VLOOKUP(IF(C207&lt;&gt;"",C207,A207),'ABDC list'!$A:$B,2,FALSE),"Not listed"))</f>
        <v/>
      </c>
    </row>
    <row r="208">
      <c r="B208">
        <f>IF(A208="","",IFERROR(VLOOKUP(IF(C208&lt;&gt;"",C208,A208),'ABDC list'!$A:$B,2,FALSE),"Not listed"))</f>
        <v/>
      </c>
    </row>
    <row r="209">
      <c r="B209">
        <f>IF(A209="","",IFERROR(VLOOKUP(IF(C209&lt;&gt;"",C209,A209),'ABDC list'!$A:$B,2,FALSE),"Not listed"))</f>
        <v/>
      </c>
    </row>
    <row r="210">
      <c r="B210">
        <f>IF(A210="","",IFERROR(VLOOKUP(IF(C210&lt;&gt;"",C210,A210),'ABDC list'!$A:$B,2,FALSE),"Not listed"))</f>
        <v/>
      </c>
    </row>
    <row r="211">
      <c r="B211">
        <f>IF(A211="","",IFERROR(VLOOKUP(IF(C211&lt;&gt;"",C211,A211),'ABDC list'!$A:$B,2,FALSE),"Not listed"))</f>
        <v/>
      </c>
    </row>
    <row r="212">
      <c r="B212">
        <f>IF(A212="","",IFERROR(VLOOKUP(IF(C212&lt;&gt;"",C212,A212),'ABDC list'!$A:$B,2,FALSE),"Not listed"))</f>
        <v/>
      </c>
    </row>
    <row r="213">
      <c r="B213">
        <f>IF(A213="","",IFERROR(VLOOKUP(IF(C213&lt;&gt;"",C213,A213),'ABDC list'!$A:$B,2,FALSE),"Not listed"))</f>
        <v/>
      </c>
    </row>
    <row r="214">
      <c r="B214">
        <f>IF(A214="","",IFERROR(VLOOKUP(IF(C214&lt;&gt;"",C214,A214),'ABDC list'!$A:$B,2,FALSE),"Not listed"))</f>
        <v/>
      </c>
    </row>
    <row r="215">
      <c r="B215">
        <f>IF(A215="","",IFERROR(VLOOKUP(IF(C215&lt;&gt;"",C215,A215),'ABDC list'!$A:$B,2,FALSE),"Not listed"))</f>
        <v/>
      </c>
    </row>
    <row r="216">
      <c r="B216">
        <f>IF(A216="","",IFERROR(VLOOKUP(IF(C216&lt;&gt;"",C216,A216),'ABDC list'!$A:$B,2,FALSE),"Not listed"))</f>
        <v/>
      </c>
    </row>
    <row r="217">
      <c r="B217">
        <f>IF(A217="","",IFERROR(VLOOKUP(IF(C217&lt;&gt;"",C217,A217),'ABDC list'!$A:$B,2,FALSE),"Not listed"))</f>
        <v/>
      </c>
    </row>
    <row r="218">
      <c r="B218">
        <f>IF(A218="","",IFERROR(VLOOKUP(IF(C218&lt;&gt;"",C218,A218),'ABDC list'!$A:$B,2,FALSE),"Not listed"))</f>
        <v/>
      </c>
    </row>
    <row r="219">
      <c r="B219">
        <f>IF(A219="","",IFERROR(VLOOKUP(IF(C219&lt;&gt;"",C219,A219),'ABDC list'!$A:$B,2,FALSE),"Not listed"))</f>
        <v/>
      </c>
    </row>
    <row r="220">
      <c r="B220">
        <f>IF(A220="","",IFERROR(VLOOKUP(IF(C220&lt;&gt;"",C220,A220),'ABDC list'!$A:$B,2,FALSE),"Not listed"))</f>
        <v/>
      </c>
    </row>
    <row r="221">
      <c r="B221">
        <f>IF(A221="","",IFERROR(VLOOKUP(IF(C221&lt;&gt;"",C221,A221),'ABDC list'!$A:$B,2,FALSE),"Not listed"))</f>
        <v/>
      </c>
    </row>
    <row r="222">
      <c r="B222">
        <f>IF(A222="","",IFERROR(VLOOKUP(IF(C222&lt;&gt;"",C222,A222),'ABDC list'!$A:$B,2,FALSE),"Not listed"))</f>
        <v/>
      </c>
    </row>
    <row r="223">
      <c r="B223">
        <f>IF(A223="","",IFERROR(VLOOKUP(IF(C223&lt;&gt;"",C223,A223),'ABDC list'!$A:$B,2,FALSE),"Not listed"))</f>
        <v/>
      </c>
    </row>
    <row r="224">
      <c r="B224">
        <f>IF(A224="","",IFERROR(VLOOKUP(IF(C224&lt;&gt;"",C224,A224),'ABDC list'!$A:$B,2,FALSE),"Not listed"))</f>
        <v/>
      </c>
    </row>
    <row r="225">
      <c r="B225">
        <f>IF(A225="","",IFERROR(VLOOKUP(IF(C225&lt;&gt;"",C225,A225),'ABDC list'!$A:$B,2,FALSE),"Not listed"))</f>
        <v/>
      </c>
    </row>
    <row r="226">
      <c r="B226">
        <f>IF(A226="","",IFERROR(VLOOKUP(IF(C226&lt;&gt;"",C226,A226),'ABDC list'!$A:$B,2,FALSE),"Not listed"))</f>
        <v/>
      </c>
    </row>
    <row r="227">
      <c r="B227">
        <f>IF(A227="","",IFERROR(VLOOKUP(IF(C227&lt;&gt;"",C227,A227),'ABDC list'!$A:$B,2,FALSE),"Not listed"))</f>
        <v/>
      </c>
    </row>
    <row r="228">
      <c r="B228">
        <f>IF(A228="","",IFERROR(VLOOKUP(IF(C228&lt;&gt;"",C228,A228),'ABDC list'!$A:$B,2,FALSE),"Not listed"))</f>
        <v/>
      </c>
    </row>
    <row r="229">
      <c r="B229">
        <f>IF(A229="","",IFERROR(VLOOKUP(IF(C229&lt;&gt;"",C229,A229),'ABDC list'!$A:$B,2,FALSE),"Not listed"))</f>
        <v/>
      </c>
    </row>
    <row r="230">
      <c r="B230">
        <f>IF(A230="","",IFERROR(VLOOKUP(IF(C230&lt;&gt;"",C230,A230),'ABDC list'!$A:$B,2,FALSE),"Not listed"))</f>
        <v/>
      </c>
    </row>
    <row r="231">
      <c r="B231">
        <f>IF(A231="","",IFERROR(VLOOKUP(IF(C231&lt;&gt;"",C231,A231),'ABDC list'!$A:$B,2,FALSE),"Not listed"))</f>
        <v/>
      </c>
    </row>
    <row r="232">
      <c r="B232">
        <f>IF(A232="","",IFERROR(VLOOKUP(IF(C232&lt;&gt;"",C232,A232),'ABDC list'!$A:$B,2,FALSE),"Not listed"))</f>
        <v/>
      </c>
    </row>
    <row r="233">
      <c r="B233">
        <f>IF(A233="","",IFERROR(VLOOKUP(IF(C233&lt;&gt;"",C233,A233),'ABDC list'!$A:$B,2,FALSE),"Not listed"))</f>
        <v/>
      </c>
    </row>
    <row r="234">
      <c r="B234">
        <f>IF(A234="","",IFERROR(VLOOKUP(IF(C234&lt;&gt;"",C234,A234),'ABDC list'!$A:$B,2,FALSE),"Not listed"))</f>
        <v/>
      </c>
    </row>
    <row r="235">
      <c r="B235">
        <f>IF(A235="","",IFERROR(VLOOKUP(IF(C235&lt;&gt;"",C235,A235),'ABDC list'!$A:$B,2,FALSE),"Not listed"))</f>
        <v/>
      </c>
    </row>
    <row r="236">
      <c r="B236">
        <f>IF(A236="","",IFERROR(VLOOKUP(IF(C236&lt;&gt;"",C236,A236),'ABDC list'!$A:$B,2,FALSE),"Not listed"))</f>
        <v/>
      </c>
    </row>
    <row r="237">
      <c r="B237">
        <f>IF(A237="","",IFERROR(VLOOKUP(IF(C237&lt;&gt;"",C237,A237),'ABDC list'!$A:$B,2,FALSE),"Not listed"))</f>
        <v/>
      </c>
    </row>
    <row r="238">
      <c r="B238">
        <f>IF(A238="","",IFERROR(VLOOKUP(IF(C238&lt;&gt;"",C238,A238),'ABDC list'!$A:$B,2,FALSE),"Not listed"))</f>
        <v/>
      </c>
    </row>
    <row r="239">
      <c r="B239">
        <f>IF(A239="","",IFERROR(VLOOKUP(IF(C239&lt;&gt;"",C239,A239),'ABDC list'!$A:$B,2,FALSE),"Not listed"))</f>
        <v/>
      </c>
    </row>
    <row r="240">
      <c r="B240">
        <f>IF(A240="","",IFERROR(VLOOKUP(IF(C240&lt;&gt;"",C240,A240),'ABDC list'!$A:$B,2,FALSE),"Not listed"))</f>
        <v/>
      </c>
    </row>
    <row r="241">
      <c r="B241">
        <f>IF(A241="","",IFERROR(VLOOKUP(IF(C241&lt;&gt;"",C241,A241),'ABDC list'!$A:$B,2,FALSE),"Not listed"))</f>
        <v/>
      </c>
    </row>
    <row r="242">
      <c r="B242">
        <f>IF(A242="","",IFERROR(VLOOKUP(IF(C242&lt;&gt;"",C242,A242),'ABDC list'!$A:$B,2,FALSE),"Not listed"))</f>
        <v/>
      </c>
    </row>
    <row r="243">
      <c r="B243">
        <f>IF(A243="","",IFERROR(VLOOKUP(IF(C243&lt;&gt;"",C243,A243),'ABDC list'!$A:$B,2,FALSE),"Not listed"))</f>
        <v/>
      </c>
    </row>
    <row r="244">
      <c r="B244">
        <f>IF(A244="","",IFERROR(VLOOKUP(IF(C244&lt;&gt;"",C244,A244),'ABDC list'!$A:$B,2,FALSE),"Not listed"))</f>
        <v/>
      </c>
    </row>
    <row r="245">
      <c r="B245">
        <f>IF(A245="","",IFERROR(VLOOKUP(IF(C245&lt;&gt;"",C245,A245),'ABDC list'!$A:$B,2,FALSE),"Not listed"))</f>
        <v/>
      </c>
    </row>
    <row r="246">
      <c r="B246">
        <f>IF(A246="","",IFERROR(VLOOKUP(IF(C246&lt;&gt;"",C246,A246),'ABDC list'!$A:$B,2,FALSE),"Not listed"))</f>
        <v/>
      </c>
    </row>
    <row r="247">
      <c r="B247">
        <f>IF(A247="","",IFERROR(VLOOKUP(IF(C247&lt;&gt;"",C247,A247),'ABDC list'!$A:$B,2,FALSE),"Not listed"))</f>
        <v/>
      </c>
    </row>
    <row r="248">
      <c r="B248">
        <f>IF(A248="","",IFERROR(VLOOKUP(IF(C248&lt;&gt;"",C248,A248),'ABDC list'!$A:$B,2,FALSE),"Not listed"))</f>
        <v/>
      </c>
    </row>
    <row r="249">
      <c r="B249">
        <f>IF(A249="","",IFERROR(VLOOKUP(IF(C249&lt;&gt;"",C249,A249),'ABDC list'!$A:$B,2,FALSE),"Not listed"))</f>
        <v/>
      </c>
    </row>
    <row r="250">
      <c r="B250">
        <f>IF(A250="","",IFERROR(VLOOKUP(IF(C250&lt;&gt;"",C250,A250),'ABDC list'!$A:$B,2,FALSE),"Not listed"))</f>
        <v/>
      </c>
    </row>
    <row r="251">
      <c r="B251">
        <f>IF(A251="","",IFERROR(VLOOKUP(IF(C251&lt;&gt;"",C251,A251),'ABDC list'!$A:$B,2,FALSE),"Not listed"))</f>
        <v/>
      </c>
    </row>
    <row r="252">
      <c r="B252">
        <f>IF(A252="","",IFERROR(VLOOKUP(IF(C252&lt;&gt;"",C252,A252),'ABDC list'!$A:$B,2,FALSE),"Not listed"))</f>
        <v/>
      </c>
    </row>
    <row r="253">
      <c r="B253">
        <f>IF(A253="","",IFERROR(VLOOKUP(IF(C253&lt;&gt;"",C253,A253),'ABDC list'!$A:$B,2,FALSE),"Not listed"))</f>
        <v/>
      </c>
    </row>
    <row r="254">
      <c r="B254">
        <f>IF(A254="","",IFERROR(VLOOKUP(IF(C254&lt;&gt;"",C254,A254),'ABDC list'!$A:$B,2,FALSE),"Not listed"))</f>
        <v/>
      </c>
    </row>
    <row r="255">
      <c r="B255">
        <f>IF(A255="","",IFERROR(VLOOKUP(IF(C255&lt;&gt;"",C255,A255),'ABDC list'!$A:$B,2,FALSE),"Not listed"))</f>
        <v/>
      </c>
    </row>
    <row r="256">
      <c r="B256">
        <f>IF(A256="","",IFERROR(VLOOKUP(IF(C256&lt;&gt;"",C256,A256),'ABDC list'!$A:$B,2,FALSE),"Not listed"))</f>
        <v/>
      </c>
    </row>
    <row r="257">
      <c r="B257">
        <f>IF(A257="","",IFERROR(VLOOKUP(IF(C257&lt;&gt;"",C257,A257),'ABDC list'!$A:$B,2,FALSE),"Not listed"))</f>
        <v/>
      </c>
    </row>
    <row r="258">
      <c r="B258">
        <f>IF(A258="","",IFERROR(VLOOKUP(IF(C258&lt;&gt;"",C258,A258),'ABDC list'!$A:$B,2,FALSE),"Not listed"))</f>
        <v/>
      </c>
    </row>
    <row r="259">
      <c r="B259">
        <f>IF(A259="","",IFERROR(VLOOKUP(IF(C259&lt;&gt;"",C259,A259),'ABDC list'!$A:$B,2,FALSE),"Not listed"))</f>
        <v/>
      </c>
    </row>
    <row r="260">
      <c r="B260">
        <f>IF(A260="","",IFERROR(VLOOKUP(IF(C260&lt;&gt;"",C260,A260),'ABDC list'!$A:$B,2,FALSE),"Not listed"))</f>
        <v/>
      </c>
    </row>
    <row r="261">
      <c r="B261">
        <f>IF(A261="","",IFERROR(VLOOKUP(IF(C261&lt;&gt;"",C261,A261),'ABDC list'!$A:$B,2,FALSE),"Not listed"))</f>
        <v/>
      </c>
    </row>
    <row r="262">
      <c r="B262">
        <f>IF(A262="","",IFERROR(VLOOKUP(IF(C262&lt;&gt;"",C262,A262),'ABDC list'!$A:$B,2,FALSE),"Not listed"))</f>
        <v/>
      </c>
    </row>
    <row r="263">
      <c r="B263">
        <f>IF(A263="","",IFERROR(VLOOKUP(IF(C263&lt;&gt;"",C263,A263),'ABDC list'!$A:$B,2,FALSE),"Not listed"))</f>
        <v/>
      </c>
    </row>
    <row r="264">
      <c r="B264">
        <f>IF(A264="","",IFERROR(VLOOKUP(IF(C264&lt;&gt;"",C264,A264),'ABDC list'!$A:$B,2,FALSE),"Not listed"))</f>
        <v/>
      </c>
    </row>
    <row r="265">
      <c r="B265">
        <f>IF(A265="","",IFERROR(VLOOKUP(IF(C265&lt;&gt;"",C265,A265),'ABDC list'!$A:$B,2,FALSE),"Not listed"))</f>
        <v/>
      </c>
    </row>
    <row r="266">
      <c r="B266">
        <f>IF(A266="","",IFERROR(VLOOKUP(IF(C266&lt;&gt;"",C266,A266),'ABDC list'!$A:$B,2,FALSE),"Not listed"))</f>
        <v/>
      </c>
    </row>
    <row r="267">
      <c r="B267">
        <f>IF(A267="","",IFERROR(VLOOKUP(IF(C267&lt;&gt;"",C267,A267),'ABDC list'!$A:$B,2,FALSE),"Not listed"))</f>
        <v/>
      </c>
    </row>
    <row r="268">
      <c r="B268">
        <f>IF(A268="","",IFERROR(VLOOKUP(IF(C268&lt;&gt;"",C268,A268),'ABDC list'!$A:$B,2,FALSE),"Not listed"))</f>
        <v/>
      </c>
    </row>
    <row r="269">
      <c r="B269">
        <f>IF(A269="","",IFERROR(VLOOKUP(IF(C269&lt;&gt;"",C269,A269),'ABDC list'!$A:$B,2,FALSE),"Not listed"))</f>
        <v/>
      </c>
    </row>
    <row r="270">
      <c r="B270">
        <f>IF(A270="","",IFERROR(VLOOKUP(IF(C270&lt;&gt;"",C270,A270),'ABDC list'!$A:$B,2,FALSE),"Not listed"))</f>
        <v/>
      </c>
    </row>
    <row r="271">
      <c r="B271">
        <f>IF(A271="","",IFERROR(VLOOKUP(IF(C271&lt;&gt;"",C271,A271),'ABDC list'!$A:$B,2,FALSE),"Not listed"))</f>
        <v/>
      </c>
    </row>
    <row r="272">
      <c r="B272">
        <f>IF(A272="","",IFERROR(VLOOKUP(IF(C272&lt;&gt;"",C272,A272),'ABDC list'!$A:$B,2,FALSE),"Not listed"))</f>
        <v/>
      </c>
    </row>
    <row r="273">
      <c r="B273">
        <f>IF(A273="","",IFERROR(VLOOKUP(IF(C273&lt;&gt;"",C273,A273),'ABDC list'!$A:$B,2,FALSE),"Not listed"))</f>
        <v/>
      </c>
    </row>
    <row r="274">
      <c r="B274">
        <f>IF(A274="","",IFERROR(VLOOKUP(IF(C274&lt;&gt;"",C274,A274),'ABDC list'!$A:$B,2,FALSE),"Not listed"))</f>
        <v/>
      </c>
    </row>
    <row r="275">
      <c r="B275">
        <f>IF(A275="","",IFERROR(VLOOKUP(IF(C275&lt;&gt;"",C275,A275),'ABDC list'!$A:$B,2,FALSE),"Not listed"))</f>
        <v/>
      </c>
    </row>
    <row r="276">
      <c r="B276">
        <f>IF(A276="","",IFERROR(VLOOKUP(IF(C276&lt;&gt;"",C276,A276),'ABDC list'!$A:$B,2,FALSE),"Not listed"))</f>
        <v/>
      </c>
    </row>
    <row r="277">
      <c r="B277">
        <f>IF(A277="","",IFERROR(VLOOKUP(IF(C277&lt;&gt;"",C277,A277),'ABDC list'!$A:$B,2,FALSE),"Not listed"))</f>
        <v/>
      </c>
    </row>
    <row r="278">
      <c r="B278">
        <f>IF(A278="","",IFERROR(VLOOKUP(IF(C278&lt;&gt;"",C278,A278),'ABDC list'!$A:$B,2,FALSE),"Not listed"))</f>
        <v/>
      </c>
    </row>
    <row r="279">
      <c r="B279">
        <f>IF(A279="","",IFERROR(VLOOKUP(IF(C279&lt;&gt;"",C279,A279),'ABDC list'!$A:$B,2,FALSE),"Not listed"))</f>
        <v/>
      </c>
    </row>
    <row r="280">
      <c r="B280">
        <f>IF(A280="","",IFERROR(VLOOKUP(IF(C280&lt;&gt;"",C280,A280),'ABDC list'!$A:$B,2,FALSE),"Not listed"))</f>
        <v/>
      </c>
    </row>
    <row r="281">
      <c r="B281">
        <f>IF(A281="","",IFERROR(VLOOKUP(IF(C281&lt;&gt;"",C281,A281),'ABDC list'!$A:$B,2,FALSE),"Not listed"))</f>
        <v/>
      </c>
    </row>
    <row r="282">
      <c r="B282">
        <f>IF(A282="","",IFERROR(VLOOKUP(IF(C282&lt;&gt;"",C282,A282),'ABDC list'!$A:$B,2,FALSE),"Not listed"))</f>
        <v/>
      </c>
    </row>
    <row r="283">
      <c r="B283">
        <f>IF(A283="","",IFERROR(VLOOKUP(IF(C283&lt;&gt;"",C283,A283),'ABDC list'!$A:$B,2,FALSE),"Not listed"))</f>
        <v/>
      </c>
    </row>
    <row r="284">
      <c r="B284">
        <f>IF(A284="","",IFERROR(VLOOKUP(IF(C284&lt;&gt;"",C284,A284),'ABDC list'!$A:$B,2,FALSE),"Not listed"))</f>
        <v/>
      </c>
    </row>
    <row r="285">
      <c r="B285">
        <f>IF(A285="","",IFERROR(VLOOKUP(IF(C285&lt;&gt;"",C285,A285),'ABDC list'!$A:$B,2,FALSE),"Not listed"))</f>
        <v/>
      </c>
    </row>
    <row r="286">
      <c r="B286">
        <f>IF(A286="","",IFERROR(VLOOKUP(IF(C286&lt;&gt;"",C286,A286),'ABDC list'!$A:$B,2,FALSE),"Not listed"))</f>
        <v/>
      </c>
    </row>
    <row r="287">
      <c r="B287">
        <f>IF(A287="","",IFERROR(VLOOKUP(IF(C287&lt;&gt;"",C287,A287),'ABDC list'!$A:$B,2,FALSE),"Not listed"))</f>
        <v/>
      </c>
    </row>
    <row r="288">
      <c r="B288">
        <f>IF(A288="","",IFERROR(VLOOKUP(IF(C288&lt;&gt;"",C288,A288),'ABDC list'!$A:$B,2,FALSE),"Not listed"))</f>
        <v/>
      </c>
    </row>
    <row r="289">
      <c r="B289">
        <f>IF(A289="","",IFERROR(VLOOKUP(IF(C289&lt;&gt;"",C289,A289),'ABDC list'!$A:$B,2,FALSE),"Not listed"))</f>
        <v/>
      </c>
    </row>
    <row r="290">
      <c r="B290">
        <f>IF(A290="","",IFERROR(VLOOKUP(IF(C290&lt;&gt;"",C290,A290),'ABDC list'!$A:$B,2,FALSE),"Not listed"))</f>
        <v/>
      </c>
    </row>
    <row r="291">
      <c r="B291">
        <f>IF(A291="","",IFERROR(VLOOKUP(IF(C291&lt;&gt;"",C291,A291),'ABDC list'!$A:$B,2,FALSE),"Not listed"))</f>
        <v/>
      </c>
    </row>
    <row r="292">
      <c r="B292">
        <f>IF(A292="","",IFERROR(VLOOKUP(IF(C292&lt;&gt;"",C292,A292),'ABDC list'!$A:$B,2,FALSE),"Not listed"))</f>
        <v/>
      </c>
    </row>
    <row r="293">
      <c r="B293">
        <f>IF(A293="","",IFERROR(VLOOKUP(IF(C293&lt;&gt;"",C293,A293),'ABDC list'!$A:$B,2,FALSE),"Not listed"))</f>
        <v/>
      </c>
    </row>
    <row r="294">
      <c r="B294">
        <f>IF(A294="","",IFERROR(VLOOKUP(IF(C294&lt;&gt;"",C294,A294),'ABDC list'!$A:$B,2,FALSE),"Not listed"))</f>
        <v/>
      </c>
    </row>
    <row r="295">
      <c r="B295">
        <f>IF(A295="","",IFERROR(VLOOKUP(IF(C295&lt;&gt;"",C295,A295),'ABDC list'!$A:$B,2,FALSE),"Not listed"))</f>
        <v/>
      </c>
    </row>
    <row r="296">
      <c r="B296">
        <f>IF(A296="","",IFERROR(VLOOKUP(IF(C296&lt;&gt;"",C296,A296),'ABDC list'!$A:$B,2,FALSE),"Not listed"))</f>
        <v/>
      </c>
    </row>
    <row r="297">
      <c r="B297">
        <f>IF(A297="","",IFERROR(VLOOKUP(IF(C297&lt;&gt;"",C297,A297),'ABDC list'!$A:$B,2,FALSE),"Not listed"))</f>
        <v/>
      </c>
    </row>
    <row r="298">
      <c r="B298">
        <f>IF(A298="","",IFERROR(VLOOKUP(IF(C298&lt;&gt;"",C298,A298),'ABDC list'!$A:$B,2,FALSE),"Not listed"))</f>
        <v/>
      </c>
    </row>
    <row r="299">
      <c r="B299">
        <f>IF(A299="","",IFERROR(VLOOKUP(IF(C299&lt;&gt;"",C299,A299),'ABDC list'!$A:$B,2,FALSE),"Not listed"))</f>
        <v/>
      </c>
    </row>
    <row r="300">
      <c r="B300">
        <f>IF(A300="","",IFERROR(VLOOKUP(IF(C300&lt;&gt;"",C300,A300),'ABDC list'!$A:$B,2,FALSE),"Not listed"))</f>
        <v/>
      </c>
    </row>
    <row r="301">
      <c r="B301">
        <f>IF(A301="","",IFERROR(VLOOKUP(IF(C301&lt;&gt;"",C301,A301),'ABDC list'!$A:$B,2,FALSE),"Not listed"))</f>
        <v/>
      </c>
    </row>
    <row r="302">
      <c r="B302">
        <f>IF(A302="","",IFERROR(VLOOKUP(IF(C302&lt;&gt;"",C302,A302),'ABDC list'!$A:$B,2,FALSE),"Not listed"))</f>
        <v/>
      </c>
    </row>
    <row r="303">
      <c r="B303">
        <f>IF(A303="","",IFERROR(VLOOKUP(IF(C303&lt;&gt;"",C303,A303),'ABDC list'!$A:$B,2,FALSE),"Not listed"))</f>
        <v/>
      </c>
    </row>
    <row r="304">
      <c r="B304">
        <f>IF(A304="","",IFERROR(VLOOKUP(IF(C304&lt;&gt;"",C304,A304),'ABDC list'!$A:$B,2,FALSE),"Not listed"))</f>
        <v/>
      </c>
    </row>
    <row r="305">
      <c r="B305">
        <f>IF(A305="","",IFERROR(VLOOKUP(IF(C305&lt;&gt;"",C305,A305),'ABDC list'!$A:$B,2,FALSE),"Not listed"))</f>
        <v/>
      </c>
    </row>
    <row r="306">
      <c r="B306">
        <f>IF(A306="","",IFERROR(VLOOKUP(IF(C306&lt;&gt;"",C306,A306),'ABDC list'!$A:$B,2,FALSE),"Not listed"))</f>
        <v/>
      </c>
    </row>
    <row r="307">
      <c r="B307">
        <f>IF(A307="","",IFERROR(VLOOKUP(IF(C307&lt;&gt;"",C307,A307),'ABDC list'!$A:$B,2,FALSE),"Not listed"))</f>
        <v/>
      </c>
    </row>
    <row r="308">
      <c r="B308">
        <f>IF(A308="","",IFERROR(VLOOKUP(IF(C308&lt;&gt;"",C308,A308),'ABDC list'!$A:$B,2,FALSE),"Not listed"))</f>
        <v/>
      </c>
    </row>
    <row r="309">
      <c r="B309">
        <f>IF(A309="","",IFERROR(VLOOKUP(IF(C309&lt;&gt;"",C309,A309),'ABDC list'!$A:$B,2,FALSE),"Not listed"))</f>
        <v/>
      </c>
    </row>
    <row r="310">
      <c r="B310">
        <f>IF(A310="","",IFERROR(VLOOKUP(IF(C310&lt;&gt;"",C310,A310),'ABDC list'!$A:$B,2,FALSE),"Not listed"))</f>
        <v/>
      </c>
    </row>
    <row r="311">
      <c r="B311">
        <f>IF(A311="","",IFERROR(VLOOKUP(IF(C311&lt;&gt;"",C311,A311),'ABDC list'!$A:$B,2,FALSE),"Not listed"))</f>
        <v/>
      </c>
    </row>
    <row r="312">
      <c r="B312">
        <f>IF(A312="","",IFERROR(VLOOKUP(IF(C312&lt;&gt;"",C312,A312),'ABDC list'!$A:$B,2,FALSE),"Not listed"))</f>
        <v/>
      </c>
    </row>
    <row r="313">
      <c r="B313">
        <f>IF(A313="","",IFERROR(VLOOKUP(IF(C313&lt;&gt;"",C313,A313),'ABDC list'!$A:$B,2,FALSE),"Not listed"))</f>
        <v/>
      </c>
    </row>
    <row r="314">
      <c r="B314">
        <f>IF(A314="","",IFERROR(VLOOKUP(IF(C314&lt;&gt;"",C314,A314),'ABDC list'!$A:$B,2,FALSE),"Not listed"))</f>
        <v/>
      </c>
    </row>
    <row r="315">
      <c r="B315">
        <f>IF(A315="","",IFERROR(VLOOKUP(IF(C315&lt;&gt;"",C315,A315),'ABDC list'!$A:$B,2,FALSE),"Not listed"))</f>
        <v/>
      </c>
    </row>
    <row r="316">
      <c r="B316">
        <f>IF(A316="","",IFERROR(VLOOKUP(IF(C316&lt;&gt;"",C316,A316),'ABDC list'!$A:$B,2,FALSE),"Not listed"))</f>
        <v/>
      </c>
    </row>
    <row r="317">
      <c r="B317">
        <f>IF(A317="","",IFERROR(VLOOKUP(IF(C317&lt;&gt;"",C317,A317),'ABDC list'!$A:$B,2,FALSE),"Not listed"))</f>
        <v/>
      </c>
    </row>
    <row r="318">
      <c r="B318">
        <f>IF(A318="","",IFERROR(VLOOKUP(IF(C318&lt;&gt;"",C318,A318),'ABDC list'!$A:$B,2,FALSE),"Not listed"))</f>
        <v/>
      </c>
    </row>
    <row r="319">
      <c r="B319">
        <f>IF(A319="","",IFERROR(VLOOKUP(IF(C319&lt;&gt;"",C319,A319),'ABDC list'!$A:$B,2,FALSE),"Not listed"))</f>
        <v/>
      </c>
    </row>
    <row r="320">
      <c r="B320">
        <f>IF(A320="","",IFERROR(VLOOKUP(IF(C320&lt;&gt;"",C320,A320),'ABDC list'!$A:$B,2,FALSE),"Not listed"))</f>
        <v/>
      </c>
    </row>
    <row r="321">
      <c r="B321">
        <f>IF(A321="","",IFERROR(VLOOKUP(IF(C321&lt;&gt;"",C321,A321),'ABDC list'!$A:$B,2,FALSE),"Not listed"))</f>
        <v/>
      </c>
    </row>
    <row r="322">
      <c r="B322">
        <f>IF(A322="","",IFERROR(VLOOKUP(IF(C322&lt;&gt;"",C322,A322),'ABDC list'!$A:$B,2,FALSE),"Not listed"))</f>
        <v/>
      </c>
    </row>
    <row r="323">
      <c r="B323">
        <f>IF(A323="","",IFERROR(VLOOKUP(IF(C323&lt;&gt;"",C323,A323),'ABDC list'!$A:$B,2,FALSE),"Not listed"))</f>
        <v/>
      </c>
    </row>
    <row r="324">
      <c r="B324">
        <f>IF(A324="","",IFERROR(VLOOKUP(IF(C324&lt;&gt;"",C324,A324),'ABDC list'!$A:$B,2,FALSE),"Not listed"))</f>
        <v/>
      </c>
    </row>
    <row r="325">
      <c r="B325">
        <f>IF(A325="","",IFERROR(VLOOKUP(IF(C325&lt;&gt;"",C325,A325),'ABDC list'!$A:$B,2,FALSE),"Not listed"))</f>
        <v/>
      </c>
    </row>
    <row r="326">
      <c r="B326">
        <f>IF(A326="","",IFERROR(VLOOKUP(IF(C326&lt;&gt;"",C326,A326),'ABDC list'!$A:$B,2,FALSE),"Not listed"))</f>
        <v/>
      </c>
    </row>
    <row r="327">
      <c r="B327">
        <f>IF(A327="","",IFERROR(VLOOKUP(IF(C327&lt;&gt;"",C327,A327),'ABDC list'!$A:$B,2,FALSE),"Not listed"))</f>
        <v/>
      </c>
    </row>
    <row r="328">
      <c r="B328">
        <f>IF(A328="","",IFERROR(VLOOKUP(IF(C328&lt;&gt;"",C328,A328),'ABDC list'!$A:$B,2,FALSE),"Not listed"))</f>
        <v/>
      </c>
    </row>
    <row r="329">
      <c r="B329">
        <f>IF(A329="","",IFERROR(VLOOKUP(IF(C329&lt;&gt;"",C329,A329),'ABDC list'!$A:$B,2,FALSE),"Not listed"))</f>
        <v/>
      </c>
    </row>
    <row r="330">
      <c r="B330">
        <f>IF(A330="","",IFERROR(VLOOKUP(IF(C330&lt;&gt;"",C330,A330),'ABDC list'!$A:$B,2,FALSE),"Not listed"))</f>
        <v/>
      </c>
    </row>
    <row r="331">
      <c r="B331">
        <f>IF(A331="","",IFERROR(VLOOKUP(IF(C331&lt;&gt;"",C331,A331),'ABDC list'!$A:$B,2,FALSE),"Not listed"))</f>
        <v/>
      </c>
    </row>
    <row r="332">
      <c r="B332">
        <f>IF(A332="","",IFERROR(VLOOKUP(IF(C332&lt;&gt;"",C332,A332),'ABDC list'!$A:$B,2,FALSE),"Not listed"))</f>
        <v/>
      </c>
    </row>
    <row r="333">
      <c r="B333">
        <f>IF(A333="","",IFERROR(VLOOKUP(IF(C333&lt;&gt;"",C333,A333),'ABDC list'!$A:$B,2,FALSE),"Not listed"))</f>
        <v/>
      </c>
    </row>
    <row r="334">
      <c r="B334">
        <f>IF(A334="","",IFERROR(VLOOKUP(IF(C334&lt;&gt;"",C334,A334),'ABDC list'!$A:$B,2,FALSE),"Not listed"))</f>
        <v/>
      </c>
    </row>
    <row r="335">
      <c r="B335">
        <f>IF(A335="","",IFERROR(VLOOKUP(IF(C335&lt;&gt;"",C335,A335),'ABDC list'!$A:$B,2,FALSE),"Not listed"))</f>
        <v/>
      </c>
    </row>
    <row r="336">
      <c r="B336">
        <f>IF(A336="","",IFERROR(VLOOKUP(IF(C336&lt;&gt;"",C336,A336),'ABDC list'!$A:$B,2,FALSE),"Not listed"))</f>
        <v/>
      </c>
    </row>
    <row r="337">
      <c r="B337">
        <f>IF(A337="","",IFERROR(VLOOKUP(IF(C337&lt;&gt;"",C337,A337),'ABDC list'!$A:$B,2,FALSE),"Not listed"))</f>
        <v/>
      </c>
    </row>
    <row r="338">
      <c r="B338">
        <f>IF(A338="","",IFERROR(VLOOKUP(IF(C338&lt;&gt;"",C338,A338),'ABDC list'!$A:$B,2,FALSE),"Not listed"))</f>
        <v/>
      </c>
    </row>
    <row r="339">
      <c r="B339">
        <f>IF(A339="","",IFERROR(VLOOKUP(IF(C339&lt;&gt;"",C339,A339),'ABDC list'!$A:$B,2,FALSE),"Not listed"))</f>
        <v/>
      </c>
    </row>
    <row r="340">
      <c r="B340">
        <f>IF(A340="","",IFERROR(VLOOKUP(IF(C340&lt;&gt;"",C340,A340),'ABDC list'!$A:$B,2,FALSE),"Not listed"))</f>
        <v/>
      </c>
    </row>
    <row r="341">
      <c r="B341">
        <f>IF(A341="","",IFERROR(VLOOKUP(IF(C341&lt;&gt;"",C341,A341),'ABDC list'!$A:$B,2,FALSE),"Not listed"))</f>
        <v/>
      </c>
    </row>
    <row r="342">
      <c r="B342">
        <f>IF(A342="","",IFERROR(VLOOKUP(IF(C342&lt;&gt;"",C342,A342),'ABDC list'!$A:$B,2,FALSE),"Not listed"))</f>
        <v/>
      </c>
    </row>
    <row r="343">
      <c r="B343">
        <f>IF(A343="","",IFERROR(VLOOKUP(IF(C343&lt;&gt;"",C343,A343),'ABDC list'!$A:$B,2,FALSE),"Not listed"))</f>
        <v/>
      </c>
    </row>
    <row r="344">
      <c r="B344">
        <f>IF(A344="","",IFERROR(VLOOKUP(IF(C344&lt;&gt;"",C344,A344),'ABDC list'!$A:$B,2,FALSE),"Not listed"))</f>
        <v/>
      </c>
    </row>
    <row r="345">
      <c r="B345">
        <f>IF(A345="","",IFERROR(VLOOKUP(IF(C345&lt;&gt;"",C345,A345),'ABDC list'!$A:$B,2,FALSE),"Not listed"))</f>
        <v/>
      </c>
    </row>
    <row r="346">
      <c r="B346">
        <f>IF(A346="","",IFERROR(VLOOKUP(IF(C346&lt;&gt;"",C346,A346),'ABDC list'!$A:$B,2,FALSE),"Not listed"))</f>
        <v/>
      </c>
    </row>
    <row r="347">
      <c r="B347">
        <f>IF(A347="","",IFERROR(VLOOKUP(IF(C347&lt;&gt;"",C347,A347),'ABDC list'!$A:$B,2,FALSE),"Not listed"))</f>
        <v/>
      </c>
    </row>
    <row r="348">
      <c r="B348">
        <f>IF(A348="","",IFERROR(VLOOKUP(IF(C348&lt;&gt;"",C348,A348),'ABDC list'!$A:$B,2,FALSE),"Not listed"))</f>
        <v/>
      </c>
    </row>
    <row r="349">
      <c r="B349">
        <f>IF(A349="","",IFERROR(VLOOKUP(IF(C349&lt;&gt;"",C349,A349),'ABDC list'!$A:$B,2,FALSE),"Not listed"))</f>
        <v/>
      </c>
    </row>
    <row r="350">
      <c r="B350">
        <f>IF(A350="","",IFERROR(VLOOKUP(IF(C350&lt;&gt;"",C350,A350),'ABDC list'!$A:$B,2,FALSE),"Not listed"))</f>
        <v/>
      </c>
    </row>
    <row r="351">
      <c r="B351">
        <f>IF(A351="","",IFERROR(VLOOKUP(IF(C351&lt;&gt;"",C351,A351),'ABDC list'!$A:$B,2,FALSE),"Not listed"))</f>
        <v/>
      </c>
    </row>
    <row r="352">
      <c r="B352">
        <f>IF(A352="","",IFERROR(VLOOKUP(IF(C352&lt;&gt;"",C352,A352),'ABDC list'!$A:$B,2,FALSE),"Not listed"))</f>
        <v/>
      </c>
    </row>
    <row r="353">
      <c r="B353">
        <f>IF(A353="","",IFERROR(VLOOKUP(IF(C353&lt;&gt;"",C353,A353),'ABDC list'!$A:$B,2,FALSE),"Not listed"))</f>
        <v/>
      </c>
    </row>
    <row r="354">
      <c r="B354">
        <f>IF(A354="","",IFERROR(VLOOKUP(IF(C354&lt;&gt;"",C354,A354),'ABDC list'!$A:$B,2,FALSE),"Not listed"))</f>
        <v/>
      </c>
    </row>
    <row r="355">
      <c r="B355">
        <f>IF(A355="","",IFERROR(VLOOKUP(IF(C355&lt;&gt;"",C355,A355),'ABDC list'!$A:$B,2,FALSE),"Not listed"))</f>
        <v/>
      </c>
    </row>
    <row r="356">
      <c r="B356">
        <f>IF(A356="","",IFERROR(VLOOKUP(IF(C356&lt;&gt;"",C356,A356),'ABDC list'!$A:$B,2,FALSE),"Not listed"))</f>
        <v/>
      </c>
    </row>
    <row r="357">
      <c r="B357">
        <f>IF(A357="","",IFERROR(VLOOKUP(IF(C357&lt;&gt;"",C357,A357),'ABDC list'!$A:$B,2,FALSE),"Not listed"))</f>
        <v/>
      </c>
    </row>
    <row r="358">
      <c r="B358">
        <f>IF(A358="","",IFERROR(VLOOKUP(IF(C358&lt;&gt;"",C358,A358),'ABDC list'!$A:$B,2,FALSE),"Not listed"))</f>
        <v/>
      </c>
    </row>
    <row r="359">
      <c r="B359">
        <f>IF(A359="","",IFERROR(VLOOKUP(IF(C359&lt;&gt;"",C359,A359),'ABDC list'!$A:$B,2,FALSE),"Not listed"))</f>
        <v/>
      </c>
    </row>
    <row r="360">
      <c r="B360">
        <f>IF(A360="","",IFERROR(VLOOKUP(IF(C360&lt;&gt;"",C360,A360),'ABDC list'!$A:$B,2,FALSE),"Not listed"))</f>
        <v/>
      </c>
    </row>
    <row r="361">
      <c r="B361">
        <f>IF(A361="","",IFERROR(VLOOKUP(IF(C361&lt;&gt;"",C361,A361),'ABDC list'!$A:$B,2,FALSE),"Not listed"))</f>
        <v/>
      </c>
    </row>
    <row r="362">
      <c r="B362">
        <f>IF(A362="","",IFERROR(VLOOKUP(IF(C362&lt;&gt;"",C362,A362),'ABDC list'!$A:$B,2,FALSE),"Not listed"))</f>
        <v/>
      </c>
    </row>
    <row r="363">
      <c r="B363">
        <f>IF(A363="","",IFERROR(VLOOKUP(IF(C363&lt;&gt;"",C363,A363),'ABDC list'!$A:$B,2,FALSE),"Not listed"))</f>
        <v/>
      </c>
    </row>
    <row r="364">
      <c r="B364">
        <f>IF(A364="","",IFERROR(VLOOKUP(IF(C364&lt;&gt;"",C364,A364),'ABDC list'!$A:$B,2,FALSE),"Not listed"))</f>
        <v/>
      </c>
    </row>
    <row r="365">
      <c r="B365">
        <f>IF(A365="","",IFERROR(VLOOKUP(IF(C365&lt;&gt;"",C365,A365),'ABDC list'!$A:$B,2,FALSE),"Not listed"))</f>
        <v/>
      </c>
    </row>
    <row r="366">
      <c r="B366">
        <f>IF(A366="","",IFERROR(VLOOKUP(IF(C366&lt;&gt;"",C366,A366),'ABDC list'!$A:$B,2,FALSE),"Not listed"))</f>
        <v/>
      </c>
    </row>
    <row r="367">
      <c r="B367">
        <f>IF(A367="","",IFERROR(VLOOKUP(IF(C367&lt;&gt;"",C367,A367),'ABDC list'!$A:$B,2,FALSE),"Not listed"))</f>
        <v/>
      </c>
    </row>
    <row r="368">
      <c r="B368">
        <f>IF(A368="","",IFERROR(VLOOKUP(IF(C368&lt;&gt;"",C368,A368),'ABDC list'!$A:$B,2,FALSE),"Not listed"))</f>
        <v/>
      </c>
    </row>
    <row r="369">
      <c r="B369">
        <f>IF(A369="","",IFERROR(VLOOKUP(IF(C369&lt;&gt;"",C369,A369),'ABDC list'!$A:$B,2,FALSE),"Not listed"))</f>
        <v/>
      </c>
    </row>
    <row r="370">
      <c r="B370">
        <f>IF(A370="","",IFERROR(VLOOKUP(IF(C370&lt;&gt;"",C370,A370),'ABDC list'!$A:$B,2,FALSE),"Not listed"))</f>
        <v/>
      </c>
    </row>
    <row r="371">
      <c r="B371">
        <f>IF(A371="","",IFERROR(VLOOKUP(IF(C371&lt;&gt;"",C371,A371),'ABDC list'!$A:$B,2,FALSE),"Not listed"))</f>
        <v/>
      </c>
    </row>
    <row r="372">
      <c r="B372">
        <f>IF(A372="","",IFERROR(VLOOKUP(IF(C372&lt;&gt;"",C372,A372),'ABDC list'!$A:$B,2,FALSE),"Not listed"))</f>
        <v/>
      </c>
    </row>
    <row r="373">
      <c r="B373">
        <f>IF(A373="","",IFERROR(VLOOKUP(IF(C373&lt;&gt;"",C373,A373),'ABDC list'!$A:$B,2,FALSE),"Not listed"))</f>
        <v/>
      </c>
    </row>
    <row r="374">
      <c r="B374">
        <f>IF(A374="","",IFERROR(VLOOKUP(IF(C374&lt;&gt;"",C374,A374),'ABDC list'!$A:$B,2,FALSE),"Not listed"))</f>
        <v/>
      </c>
    </row>
    <row r="375">
      <c r="B375">
        <f>IF(A375="","",IFERROR(VLOOKUP(IF(C375&lt;&gt;"",C375,A375),'ABDC list'!$A:$B,2,FALSE),"Not listed"))</f>
        <v/>
      </c>
    </row>
    <row r="376">
      <c r="B376">
        <f>IF(A376="","",IFERROR(VLOOKUP(IF(C376&lt;&gt;"",C376,A376),'ABDC list'!$A:$B,2,FALSE),"Not listed"))</f>
        <v/>
      </c>
    </row>
    <row r="377">
      <c r="B377">
        <f>IF(A377="","",IFERROR(VLOOKUP(IF(C377&lt;&gt;"",C377,A377),'ABDC list'!$A:$B,2,FALSE),"Not listed"))</f>
        <v/>
      </c>
    </row>
    <row r="378">
      <c r="B378">
        <f>IF(A378="","",IFERROR(VLOOKUP(IF(C378&lt;&gt;"",C378,A378),'ABDC list'!$A:$B,2,FALSE),"Not listed"))</f>
        <v/>
      </c>
    </row>
    <row r="379">
      <c r="B379">
        <f>IF(A379="","",IFERROR(VLOOKUP(IF(C379&lt;&gt;"",C379,A379),'ABDC list'!$A:$B,2,FALSE),"Not listed"))</f>
        <v/>
      </c>
    </row>
    <row r="380">
      <c r="B380">
        <f>IF(A380="","",IFERROR(VLOOKUP(IF(C380&lt;&gt;"",C380,A380),'ABDC list'!$A:$B,2,FALSE),"Not listed"))</f>
        <v/>
      </c>
    </row>
    <row r="381">
      <c r="B381">
        <f>IF(A381="","",IFERROR(VLOOKUP(IF(C381&lt;&gt;"",C381,A381),'ABDC list'!$A:$B,2,FALSE),"Not listed"))</f>
        <v/>
      </c>
    </row>
    <row r="382">
      <c r="B382">
        <f>IF(A382="","",IFERROR(VLOOKUP(IF(C382&lt;&gt;"",C382,A382),'ABDC list'!$A:$B,2,FALSE),"Not listed"))</f>
        <v/>
      </c>
    </row>
    <row r="383">
      <c r="B383">
        <f>IF(A383="","",IFERROR(VLOOKUP(IF(C383&lt;&gt;"",C383,A383),'ABDC list'!$A:$B,2,FALSE),"Not listed"))</f>
        <v/>
      </c>
    </row>
    <row r="384">
      <c r="B384">
        <f>IF(A384="","",IFERROR(VLOOKUP(IF(C384&lt;&gt;"",C384,A384),'ABDC list'!$A:$B,2,FALSE),"Not listed"))</f>
        <v/>
      </c>
    </row>
    <row r="385">
      <c r="B385">
        <f>IF(A385="","",IFERROR(VLOOKUP(IF(C385&lt;&gt;"",C385,A385),'ABDC list'!$A:$B,2,FALSE),"Not listed"))</f>
        <v/>
      </c>
    </row>
    <row r="386">
      <c r="B386">
        <f>IF(A386="","",IFERROR(VLOOKUP(IF(C386&lt;&gt;"",C386,A386),'ABDC list'!$A:$B,2,FALSE),"Not listed"))</f>
        <v/>
      </c>
    </row>
    <row r="387">
      <c r="B387">
        <f>IF(A387="","",IFERROR(VLOOKUP(IF(C387&lt;&gt;"",C387,A387),'ABDC list'!$A:$B,2,FALSE),"Not listed"))</f>
        <v/>
      </c>
    </row>
    <row r="388">
      <c r="B388">
        <f>IF(A388="","",IFERROR(VLOOKUP(IF(C388&lt;&gt;"",C388,A388),'ABDC list'!$A:$B,2,FALSE),"Not listed"))</f>
        <v/>
      </c>
    </row>
    <row r="389">
      <c r="B389">
        <f>IF(A389="","",IFERROR(VLOOKUP(IF(C389&lt;&gt;"",C389,A389),'ABDC list'!$A:$B,2,FALSE),"Not listed"))</f>
        <v/>
      </c>
    </row>
    <row r="390">
      <c r="B390">
        <f>IF(A390="","",IFERROR(VLOOKUP(IF(C390&lt;&gt;"",C390,A390),'ABDC list'!$A:$B,2,FALSE),"Not listed"))</f>
        <v/>
      </c>
    </row>
    <row r="391">
      <c r="B391">
        <f>IF(A391="","",IFERROR(VLOOKUP(IF(C391&lt;&gt;"",C391,A391),'ABDC list'!$A:$B,2,FALSE),"Not listed"))</f>
        <v/>
      </c>
    </row>
    <row r="392">
      <c r="B392">
        <f>IF(A392="","",IFERROR(VLOOKUP(IF(C392&lt;&gt;"",C392,A392),'ABDC list'!$A:$B,2,FALSE),"Not listed"))</f>
        <v/>
      </c>
    </row>
    <row r="393">
      <c r="B393">
        <f>IF(A393="","",IFERROR(VLOOKUP(IF(C393&lt;&gt;"",C393,A393),'ABDC list'!$A:$B,2,FALSE),"Not listed"))</f>
        <v/>
      </c>
    </row>
    <row r="394">
      <c r="B394">
        <f>IF(A394="","",IFERROR(VLOOKUP(IF(C394&lt;&gt;"",C394,A394),'ABDC list'!$A:$B,2,FALSE),"Not listed"))</f>
        <v/>
      </c>
    </row>
    <row r="395">
      <c r="B395">
        <f>IF(A395="","",IFERROR(VLOOKUP(IF(C395&lt;&gt;"",C395,A395),'ABDC list'!$A:$B,2,FALSE),"Not listed"))</f>
        <v/>
      </c>
    </row>
    <row r="396">
      <c r="B396">
        <f>IF(A396="","",IFERROR(VLOOKUP(IF(C396&lt;&gt;"",C396,A396),'ABDC list'!$A:$B,2,FALSE),"Not listed"))</f>
        <v/>
      </c>
    </row>
    <row r="397">
      <c r="B397">
        <f>IF(A397="","",IFERROR(VLOOKUP(IF(C397&lt;&gt;"",C397,A397),'ABDC list'!$A:$B,2,FALSE),"Not listed"))</f>
        <v/>
      </c>
    </row>
    <row r="398">
      <c r="B398">
        <f>IF(A398="","",IFERROR(VLOOKUP(IF(C398&lt;&gt;"",C398,A398),'ABDC list'!$A:$B,2,FALSE),"Not listed"))</f>
        <v/>
      </c>
    </row>
    <row r="399">
      <c r="B399">
        <f>IF(A399="","",IFERROR(VLOOKUP(IF(C399&lt;&gt;"",C399,A399),'ABDC list'!$A:$B,2,FALSE),"Not listed"))</f>
        <v/>
      </c>
    </row>
    <row r="400">
      <c r="B400">
        <f>IF(A400="","",IFERROR(VLOOKUP(IF(C400&lt;&gt;"",C400,A400),'ABDC list'!$A:$B,2,FALSE),"Not listed"))</f>
        <v/>
      </c>
    </row>
  </sheetData>
  <conditionalFormatting sqref="B2:B400">
    <cfRule type="cellIs" priority="1" operator="equal" dxfId="7">
      <formula>"Not listed"</formula>
    </cfRule>
  </conditionalFormatting>
  <dataValidations count="1">
    <dataValidation sqref="C2:C400" showDropDown="0" showInputMessage="0" showErrorMessage="0" allowBlank="1" type="list">
      <formula1>='ABDC list'!$A$2:$A$2700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49"/>
  <sheetViews>
    <sheetView workbookViewId="0">
      <pane ySplit="1" topLeftCell="A2" activePane="bottomLeft" state="frozen"/>
      <selection pane="bottomLeft"/>
      <selection pane="bottomLeft"/>
      <selection pane="bottomRight" activeCell="A1" sqref="A1"/>
    </sheetView>
  </sheetViews>
  <sheetFormatPr baseColWidth="8" defaultRowHeight="15"/>
  <cols>
    <col width="60" customWidth="1" min="1" max="1"/>
    <col width="10" customWidth="1" min="2" max="2"/>
    <col width="8" customWidth="1" min="3" max="3"/>
    <col width="36" customWidth="1" min="4" max="4"/>
  </cols>
  <sheetData>
    <row r="1" ht="30" customHeight="1">
      <c r="A1" s="12" t="inlineStr">
        <is>
          <t>Journal Title</t>
        </is>
      </c>
      <c r="B1" s="12" t="inlineStr">
        <is>
          <t>2025 rating</t>
        </is>
      </c>
      <c r="C1" s="12" t="inlineStr">
        <is>
          <t>FoR</t>
        </is>
      </c>
      <c r="D1" s="12" t="inlineStr">
        <is>
          <t>Publisher</t>
        </is>
      </c>
      <c r="F1" s="15" t="inlineStr">
        <is>
          <t>Source: ABDC Journal Quality List 2025 (v3, current to September 2026), abdc.edu.au</t>
        </is>
      </c>
    </row>
    <row r="2">
      <c r="A2" t="inlineStr">
        <is>
          <t>4OR</t>
        </is>
      </c>
      <c r="B2" t="inlineStr">
        <is>
          <t>B</t>
        </is>
      </c>
      <c r="C2" t="n">
        <v>3599</v>
      </c>
      <c r="D2" t="inlineStr">
        <is>
          <t>Springer Nature</t>
        </is>
      </c>
    </row>
    <row r="3">
      <c r="A3" t="inlineStr">
        <is>
          <t>AACE International Transactions</t>
        </is>
      </c>
      <c r="B3" t="inlineStr">
        <is>
          <t>B</t>
        </is>
      </c>
      <c r="C3" t="n">
        <v>3599</v>
      </c>
      <c r="D3" t="inlineStr">
        <is>
          <t>AACE International</t>
        </is>
      </c>
    </row>
    <row r="4">
      <c r="A4" t="inlineStr">
        <is>
          <t>Abacus</t>
        </is>
      </c>
      <c r="B4" t="inlineStr">
        <is>
          <t>A</t>
        </is>
      </c>
      <c r="C4" t="n">
        <v>3501</v>
      </c>
      <c r="D4" t="inlineStr">
        <is>
          <t>Wiley-Blackwell Publishing</t>
        </is>
      </c>
    </row>
    <row r="5">
      <c r="A5" t="inlineStr">
        <is>
          <t>Academia Economic Papers</t>
        </is>
      </c>
      <c r="B5" t="inlineStr">
        <is>
          <t>C</t>
        </is>
      </c>
      <c r="C5" t="n">
        <v>3801</v>
      </c>
      <c r="D5" t="inlineStr">
        <is>
          <t>Institute of Economics, Academia Sinica</t>
        </is>
      </c>
    </row>
    <row r="6">
      <c r="A6" t="inlineStr">
        <is>
          <t>Academy of Management Annals</t>
        </is>
      </c>
      <c r="B6" t="inlineStr">
        <is>
          <t>A*</t>
        </is>
      </c>
      <c r="C6" t="n">
        <v>3507</v>
      </c>
      <c r="D6" t="inlineStr">
        <is>
          <t>Academy of Management</t>
        </is>
      </c>
    </row>
    <row r="7">
      <c r="A7" t="inlineStr">
        <is>
          <t>Academy of Management Discoveries</t>
        </is>
      </c>
      <c r="B7" t="inlineStr">
        <is>
          <t>A*</t>
        </is>
      </c>
      <c r="C7" t="n">
        <v>3507</v>
      </c>
      <c r="D7" t="inlineStr">
        <is>
          <t>Academy of Management</t>
        </is>
      </c>
    </row>
    <row r="8">
      <c r="A8" t="inlineStr">
        <is>
          <t>Academy of Management Journal</t>
        </is>
      </c>
      <c r="B8" t="inlineStr">
        <is>
          <t>A*</t>
        </is>
      </c>
      <c r="C8" t="n">
        <v>3507</v>
      </c>
      <c r="D8" t="inlineStr">
        <is>
          <t>Academy of Management</t>
        </is>
      </c>
    </row>
    <row r="9">
      <c r="A9" t="inlineStr">
        <is>
          <t>Academy of Management Learning and Education</t>
        </is>
      </c>
      <c r="B9" t="inlineStr">
        <is>
          <t>A*</t>
        </is>
      </c>
      <c r="C9" t="n">
        <v>3507</v>
      </c>
      <c r="D9" t="inlineStr">
        <is>
          <t>Academy of Management</t>
        </is>
      </c>
    </row>
    <row r="10">
      <c r="A10" t="inlineStr">
        <is>
          <t>Academy of Management Perspectives</t>
        </is>
      </c>
      <c r="B10" t="inlineStr">
        <is>
          <t>A</t>
        </is>
      </c>
      <c r="C10" t="n">
        <v>3507</v>
      </c>
      <c r="D10" t="inlineStr">
        <is>
          <t>Academy of Management</t>
        </is>
      </c>
    </row>
    <row r="11">
      <c r="A11" t="inlineStr">
        <is>
          <t>Academy of Management Review</t>
        </is>
      </c>
      <c r="B11" t="inlineStr">
        <is>
          <t>A*</t>
        </is>
      </c>
      <c r="C11" t="n">
        <v>3507</v>
      </c>
      <c r="D11" t="inlineStr">
        <is>
          <t>Academy of Management</t>
        </is>
      </c>
    </row>
    <row r="12">
      <c r="A12" t="inlineStr">
        <is>
          <t>Academy of Marketing Studies Journal</t>
        </is>
      </c>
      <c r="B12" t="inlineStr">
        <is>
          <t>B</t>
        </is>
      </c>
      <c r="C12" t="n">
        <v>3506</v>
      </c>
      <c r="D12" t="inlineStr">
        <is>
          <t>Allied Business Academies</t>
        </is>
      </c>
    </row>
    <row r="13">
      <c r="A13" t="inlineStr">
        <is>
          <t>Accident Analysis and Prevention</t>
        </is>
      </c>
      <c r="B13" t="inlineStr">
        <is>
          <t>A*</t>
        </is>
      </c>
      <c r="C13" t="n">
        <v>3509</v>
      </c>
      <c r="D13" t="inlineStr">
        <is>
          <t>Elsevier</t>
        </is>
      </c>
    </row>
    <row r="14">
      <c r="A14" t="inlineStr">
        <is>
          <t>Accountancy Business and the Public Interest</t>
        </is>
      </c>
      <c r="B14" t="inlineStr">
        <is>
          <t>B</t>
        </is>
      </c>
      <c r="C14" t="n">
        <v>3501</v>
      </c>
      <c r="D14" t="inlineStr">
        <is>
          <t>Association for Accountancy &amp; Business Affairs</t>
        </is>
      </c>
    </row>
    <row r="15">
      <c r="A15" t="inlineStr">
        <is>
          <t>Accounting &amp; Finance Journal / Revista Contabilidade &amp; Finanças</t>
        </is>
      </c>
      <c r="B15" t="inlineStr">
        <is>
          <t>C</t>
        </is>
      </c>
      <c r="C15" t="n">
        <v>3501</v>
      </c>
      <c r="D15" t="inlineStr">
        <is>
          <t>University of São Paulo</t>
        </is>
      </c>
    </row>
    <row r="16">
      <c r="A16" t="inlineStr">
        <is>
          <t>Accounting Accountability and Performance</t>
        </is>
      </c>
      <c r="B16" t="inlineStr">
        <is>
          <t>C</t>
        </is>
      </c>
      <c r="C16" t="n">
        <v>3501</v>
      </c>
      <c r="D16" t="inlineStr">
        <is>
          <t>Griffith University</t>
        </is>
      </c>
    </row>
    <row r="17">
      <c r="A17" t="inlineStr">
        <is>
          <t>Accounting and Business Research</t>
        </is>
      </c>
      <c r="B17" t="inlineStr">
        <is>
          <t>A</t>
        </is>
      </c>
      <c r="C17" t="n">
        <v>3501</v>
      </c>
      <c r="D17" t="inlineStr">
        <is>
          <t>Taylor &amp; Francis Online</t>
        </is>
      </c>
    </row>
    <row r="18">
      <c r="A18" t="inlineStr">
        <is>
          <t>Accounting and Finance</t>
        </is>
      </c>
      <c r="B18" t="inlineStr">
        <is>
          <t>A</t>
        </is>
      </c>
      <c r="C18" t="n">
        <v>3501</v>
      </c>
      <c r="D18" t="inlineStr">
        <is>
          <t>Wiley-Blackwell Publishing</t>
        </is>
      </c>
    </row>
    <row r="19">
      <c r="A19" t="inlineStr">
        <is>
          <t>Accounting and Taxation</t>
        </is>
      </c>
      <c r="B19" t="inlineStr">
        <is>
          <t>C</t>
        </is>
      </c>
      <c r="C19" t="n">
        <v>3501</v>
      </c>
      <c r="D19" t="inlineStr">
        <is>
          <t>Institute for Business and Finance Research</t>
        </is>
      </c>
    </row>
    <row r="20">
      <c r="A20" t="inlineStr">
        <is>
          <t>Accounting and the Public Interest</t>
        </is>
      </c>
      <c r="B20" t="inlineStr">
        <is>
          <t>B</t>
        </is>
      </c>
      <c r="C20" t="n">
        <v>3501</v>
      </c>
      <c r="D20" t="inlineStr">
        <is>
          <t>American Accounting Association</t>
        </is>
      </c>
    </row>
    <row r="21">
      <c r="A21" t="inlineStr">
        <is>
          <t>Accounting Auditing and Accountability Journal</t>
        </is>
      </c>
      <c r="B21" t="inlineStr">
        <is>
          <t>A*</t>
        </is>
      </c>
      <c r="C21" t="n">
        <v>3501</v>
      </c>
      <c r="D21" t="inlineStr">
        <is>
          <t>Emerald Group Publishing Limited</t>
        </is>
      </c>
    </row>
    <row r="22">
      <c r="A22" t="inlineStr">
        <is>
          <t>Accounting Education</t>
        </is>
      </c>
      <c r="B22" t="inlineStr">
        <is>
          <t>A</t>
        </is>
      </c>
      <c r="C22" t="n">
        <v>3501</v>
      </c>
      <c r="D22" t="inlineStr">
        <is>
          <t>Taylor &amp; Francis Online</t>
        </is>
      </c>
    </row>
    <row r="23">
      <c r="A23" t="inlineStr">
        <is>
          <t>Accounting Educators Journal</t>
        </is>
      </c>
      <c r="B23" t="inlineStr">
        <is>
          <t>B</t>
        </is>
      </c>
      <c r="C23" t="n">
        <v>3501</v>
      </c>
      <c r="D23" t="inlineStr">
        <is>
          <t>Academy of Accounting Educators Inc.</t>
        </is>
      </c>
    </row>
    <row r="24">
      <c r="A24" t="inlineStr">
        <is>
          <t>Accounting Forum</t>
        </is>
      </c>
      <c r="B24" t="inlineStr">
        <is>
          <t>A</t>
        </is>
      </c>
      <c r="C24" t="n">
        <v>3501</v>
      </c>
      <c r="D24" t="inlineStr">
        <is>
          <t>Taylor &amp; Francis Online</t>
        </is>
      </c>
    </row>
    <row r="25">
      <c r="A25" t="inlineStr">
        <is>
          <t>Accounting Historians Journal</t>
        </is>
      </c>
      <c r="B25" t="inlineStr">
        <is>
          <t>B</t>
        </is>
      </c>
      <c r="C25" t="n">
        <v>3501</v>
      </c>
      <c r="D25" t="inlineStr">
        <is>
          <t>American Accounting Association</t>
        </is>
      </c>
    </row>
    <row r="26">
      <c r="A26" t="inlineStr">
        <is>
          <t>Accounting History</t>
        </is>
      </c>
      <c r="B26" t="inlineStr">
        <is>
          <t>A</t>
        </is>
      </c>
      <c r="C26" t="n">
        <v>3501</v>
      </c>
      <c r="D26" t="inlineStr">
        <is>
          <t>Sage Publications</t>
        </is>
      </c>
    </row>
    <row r="27">
      <c r="A27" t="inlineStr">
        <is>
          <t>Accounting History Review</t>
        </is>
      </c>
      <c r="B27" t="inlineStr">
        <is>
          <t>B</t>
        </is>
      </c>
      <c r="C27" t="n">
        <v>3501</v>
      </c>
      <c r="D27" t="inlineStr">
        <is>
          <t>Taylor &amp; Francis Online</t>
        </is>
      </c>
    </row>
    <row r="28">
      <c r="A28" t="inlineStr">
        <is>
          <t>Accounting Horizons</t>
        </is>
      </c>
      <c r="B28" t="inlineStr">
        <is>
          <t>A</t>
        </is>
      </c>
      <c r="C28" t="n">
        <v>3501</v>
      </c>
      <c r="D28" t="inlineStr">
        <is>
          <t>American Accounting Association</t>
        </is>
      </c>
    </row>
    <row r="29">
      <c r="A29" t="inlineStr">
        <is>
          <t>Accounting in Europe</t>
        </is>
      </c>
      <c r="B29" t="inlineStr">
        <is>
          <t>A</t>
        </is>
      </c>
      <c r="C29" t="n">
        <v>3501</v>
      </c>
      <c r="D29" t="inlineStr">
        <is>
          <t>Taylor &amp; Francis Online</t>
        </is>
      </c>
    </row>
    <row r="30">
      <c r="A30" t="inlineStr">
        <is>
          <t>Accounting Perspectives</t>
        </is>
      </c>
      <c r="B30" t="inlineStr">
        <is>
          <t>B</t>
        </is>
      </c>
      <c r="C30" t="n">
        <v>3501</v>
      </c>
      <c r="D30" t="inlineStr">
        <is>
          <t>Wiley-Blackwell Publishing</t>
        </is>
      </c>
    </row>
    <row r="31">
      <c r="A31" t="inlineStr">
        <is>
          <t>Accounting Research Journal</t>
        </is>
      </c>
      <c r="B31" t="inlineStr">
        <is>
          <t>B</t>
        </is>
      </c>
      <c r="C31" t="n">
        <v>3501</v>
      </c>
      <c r="D31" t="inlineStr">
        <is>
          <t>Emerald Group Publishing Limited</t>
        </is>
      </c>
    </row>
    <row r="32">
      <c r="A32" t="inlineStr">
        <is>
          <t>Accounting Theory and Practice</t>
        </is>
      </c>
      <c r="B32" t="inlineStr">
        <is>
          <t>C</t>
        </is>
      </c>
      <c r="C32" t="n">
        <v>3501</v>
      </c>
      <c r="D32" t="inlineStr">
        <is>
          <t>Elsevier ScienceDirect</t>
        </is>
      </c>
    </row>
    <row r="33">
      <c r="A33" t="inlineStr">
        <is>
          <t>Accounting, Economics and Law – A Convivium</t>
        </is>
      </c>
      <c r="B33" t="inlineStr">
        <is>
          <t>B</t>
        </is>
      </c>
      <c r="C33" t="n">
        <v>3501</v>
      </c>
      <c r="D33" t="inlineStr">
        <is>
          <t>De Gruyter</t>
        </is>
      </c>
    </row>
    <row r="34">
      <c r="A34" t="inlineStr">
        <is>
          <t>Accounting, Finance and Governance Review</t>
        </is>
      </c>
      <c r="B34" t="inlineStr">
        <is>
          <t>C</t>
        </is>
      </c>
      <c r="C34" t="n">
        <v>3501</v>
      </c>
      <c r="D34" t="inlineStr">
        <is>
          <t>Irish Accounting and Finance Association</t>
        </is>
      </c>
    </row>
    <row r="35">
      <c r="A35" t="inlineStr">
        <is>
          <t>Accounting, Organizations and Society</t>
        </is>
      </c>
      <c r="B35" t="inlineStr">
        <is>
          <t>A*</t>
        </is>
      </c>
      <c r="C35" t="n">
        <v>3501</v>
      </c>
      <c r="D35" t="inlineStr">
        <is>
          <t>Elsevier</t>
        </is>
      </c>
    </row>
    <row r="36">
      <c r="A36" t="inlineStr">
        <is>
          <t>ACM Transactions on Information Systems</t>
        </is>
      </c>
      <c r="B36" t="inlineStr">
        <is>
          <t>C</t>
        </is>
      </c>
      <c r="C36" t="n">
        <v>4609</v>
      </c>
      <c r="D36" t="inlineStr">
        <is>
          <t>Association for Computing Machinery</t>
        </is>
      </c>
    </row>
    <row r="37">
      <c r="A37" t="inlineStr">
        <is>
          <t>ACM Transactions on Modeling and Computer Simulation</t>
        </is>
      </c>
      <c r="B37" t="inlineStr">
        <is>
          <t>B</t>
        </is>
      </c>
      <c r="C37" t="n">
        <v>3599</v>
      </c>
      <c r="D37" t="inlineStr">
        <is>
          <t>Association for Computing Machinery</t>
        </is>
      </c>
    </row>
    <row r="38">
      <c r="A38" t="inlineStr">
        <is>
          <t>Acta Oeconomica</t>
        </is>
      </c>
      <c r="B38" t="inlineStr">
        <is>
          <t>C</t>
        </is>
      </c>
      <c r="C38" t="n">
        <v>3899</v>
      </c>
      <c r="D38" t="inlineStr">
        <is>
          <t>Akademiai Kiado</t>
        </is>
      </c>
    </row>
    <row r="39">
      <c r="A39" t="inlineStr">
        <is>
          <t>Acta Psychologica</t>
        </is>
      </c>
      <c r="B39" t="inlineStr">
        <is>
          <t>A</t>
        </is>
      </c>
      <c r="C39" t="n">
        <v>3507</v>
      </c>
      <c r="D39" t="inlineStr">
        <is>
          <t>Elsevier</t>
        </is>
      </c>
    </row>
    <row r="40">
      <c r="A40" t="inlineStr">
        <is>
          <t>Acta Turistica</t>
        </is>
      </c>
      <c r="B40" t="inlineStr">
        <is>
          <t>C</t>
        </is>
      </c>
      <c r="C40" t="n">
        <v>3508</v>
      </c>
      <c r="D40" t="inlineStr">
        <is>
          <t>University of Zagreb, Faculty of Economics and Business</t>
        </is>
      </c>
    </row>
    <row r="41">
      <c r="A41" t="inlineStr">
        <is>
          <t>Acta Universitatis Bohemiae Meridionalis</t>
        </is>
      </c>
      <c r="B41" t="inlineStr">
        <is>
          <t>C</t>
        </is>
      </c>
      <c r="C41" t="n">
        <v>3801</v>
      </c>
      <c r="D41" t="inlineStr">
        <is>
          <t>University of South Bohemia Faculty of Economics</t>
        </is>
      </c>
    </row>
    <row r="42">
      <c r="A42" t="inlineStr">
        <is>
          <t>Action Learning and Action Research Journal</t>
        </is>
      </c>
      <c r="B42" t="inlineStr">
        <is>
          <t>C</t>
        </is>
      </c>
      <c r="C42" t="n">
        <v>3507</v>
      </c>
      <c r="D42" t="inlineStr">
        <is>
          <t>ALARA Association Inc.</t>
        </is>
      </c>
    </row>
    <row r="43">
      <c r="A43" t="inlineStr">
        <is>
          <t>Action Learning Research and Practice</t>
        </is>
      </c>
      <c r="B43" t="inlineStr">
        <is>
          <t>C</t>
        </is>
      </c>
      <c r="C43" t="n">
        <v>3507</v>
      </c>
      <c r="D43" t="inlineStr">
        <is>
          <t>Taylor and Francis Online</t>
        </is>
      </c>
    </row>
    <row r="44">
      <c r="A44" t="inlineStr">
        <is>
          <t>Active Learning in Higher Education</t>
        </is>
      </c>
      <c r="B44" t="inlineStr">
        <is>
          <t>B</t>
        </is>
      </c>
      <c r="C44" t="n">
        <v>3505</v>
      </c>
      <c r="D44" t="inlineStr">
        <is>
          <t>Sage Publications</t>
        </is>
      </c>
    </row>
    <row r="45">
      <c r="A45" t="inlineStr">
        <is>
          <t>Actuarial Research Clearinghouse</t>
        </is>
      </c>
      <c r="B45" t="inlineStr">
        <is>
          <t>C</t>
        </is>
      </c>
      <c r="C45" t="n">
        <v>3502</v>
      </c>
      <c r="D45" t="inlineStr">
        <is>
          <t>SOA Education and Research Section</t>
        </is>
      </c>
    </row>
    <row r="46">
      <c r="A46" t="inlineStr">
        <is>
          <t>Adelaide Law Review</t>
        </is>
      </c>
      <c r="B46" t="inlineStr">
        <is>
          <t>A</t>
        </is>
      </c>
      <c r="C46" t="n">
        <v>4801</v>
      </c>
      <c r="D46" t="inlineStr">
        <is>
          <t>University of Adelaide</t>
        </is>
      </c>
    </row>
    <row r="47">
      <c r="A47" t="inlineStr">
        <is>
          <t>Administration and Society</t>
        </is>
      </c>
      <c r="B47" t="inlineStr">
        <is>
          <t>B</t>
        </is>
      </c>
      <c r="C47" t="n">
        <v>3507</v>
      </c>
      <c r="D47" t="inlineStr">
        <is>
          <t>Sage Publications</t>
        </is>
      </c>
    </row>
    <row r="48">
      <c r="A48" t="inlineStr">
        <is>
          <t>Administrative Science Quarterly</t>
        </is>
      </c>
      <c r="B48" t="inlineStr">
        <is>
          <t>A*</t>
        </is>
      </c>
      <c r="C48" t="n">
        <v>3507</v>
      </c>
      <c r="D48" t="inlineStr">
        <is>
          <t>Sage Publications</t>
        </is>
      </c>
    </row>
    <row r="49">
      <c r="A49" t="inlineStr">
        <is>
          <t>Administrative Sciences</t>
        </is>
      </c>
      <c r="B49" t="inlineStr">
        <is>
          <t>C</t>
        </is>
      </c>
      <c r="C49" t="n">
        <v>3507</v>
      </c>
      <c r="D49" t="inlineStr">
        <is>
          <t>MDPI</t>
        </is>
      </c>
    </row>
    <row r="50">
      <c r="A50" t="inlineStr">
        <is>
          <t>Administrative Theory and Praxis</t>
        </is>
      </c>
      <c r="B50" t="inlineStr">
        <is>
          <t>B</t>
        </is>
      </c>
      <c r="C50" t="n">
        <v>3507</v>
      </c>
      <c r="D50" t="inlineStr">
        <is>
          <t>Taylor &amp; Francis Online</t>
        </is>
      </c>
    </row>
    <row r="51">
      <c r="A51" t="inlineStr">
        <is>
          <t>Advances and Applications in Statistics</t>
        </is>
      </c>
      <c r="B51" t="inlineStr">
        <is>
          <t>C</t>
        </is>
      </c>
      <c r="C51" t="n">
        <v>4905</v>
      </c>
      <c r="D51" t="inlineStr">
        <is>
          <t>Pushpa Publishing House</t>
        </is>
      </c>
    </row>
    <row r="52">
      <c r="A52" t="inlineStr">
        <is>
          <t>Advances in Accounting</t>
        </is>
      </c>
      <c r="B52" t="inlineStr">
        <is>
          <t>A</t>
        </is>
      </c>
      <c r="C52" t="n">
        <v>3501</v>
      </c>
      <c r="D52" t="inlineStr">
        <is>
          <t>Elsevier</t>
        </is>
      </c>
    </row>
    <row r="53">
      <c r="A53" t="inlineStr">
        <is>
          <t>Advances in Accounting Behavioral Research</t>
        </is>
      </c>
      <c r="B53" t="inlineStr">
        <is>
          <t>A</t>
        </is>
      </c>
      <c r="C53" t="n">
        <v>3501</v>
      </c>
      <c r="D53" t="inlineStr">
        <is>
          <t>Emerald Group Publishing</t>
        </is>
      </c>
    </row>
    <row r="54">
      <c r="A54" t="inlineStr">
        <is>
          <t>Advances in Accounting Education: teaching and curriculum innovations</t>
        </is>
      </c>
      <c r="B54" t="inlineStr">
        <is>
          <t>C</t>
        </is>
      </c>
      <c r="C54" t="n">
        <v>3501</v>
      </c>
      <c r="D54" t="inlineStr">
        <is>
          <t>Emerald Group Publishing</t>
        </is>
      </c>
    </row>
    <row r="55">
      <c r="A55" t="inlineStr">
        <is>
          <t>Advances in Applied Probability</t>
        </is>
      </c>
      <c r="B55" t="inlineStr">
        <is>
          <t>A</t>
        </is>
      </c>
      <c r="C55" t="n">
        <v>4905</v>
      </c>
      <c r="D55" t="inlineStr">
        <is>
          <t>Applied Probability Trust</t>
        </is>
      </c>
    </row>
    <row r="56">
      <c r="A56" t="inlineStr">
        <is>
          <t>Advances in Consumer Research</t>
        </is>
      </c>
      <c r="B56" t="inlineStr">
        <is>
          <t>B</t>
        </is>
      </c>
      <c r="C56" t="n">
        <v>3506</v>
      </c>
      <c r="D56" t="inlineStr">
        <is>
          <t>Association for Consumer Research</t>
        </is>
      </c>
    </row>
    <row r="57">
      <c r="A57" t="inlineStr">
        <is>
          <t>Advances in Developing Human Resources</t>
        </is>
      </c>
      <c r="B57" t="inlineStr">
        <is>
          <t>C</t>
        </is>
      </c>
      <c r="C57" t="n">
        <v>3505</v>
      </c>
      <c r="D57" t="inlineStr">
        <is>
          <t>Sage Publications</t>
        </is>
      </c>
    </row>
    <row r="58">
      <c r="A58" t="inlineStr">
        <is>
          <t>Advances in Environmental Accounting and Management</t>
        </is>
      </c>
      <c r="B58" t="inlineStr">
        <is>
          <t>B</t>
        </is>
      </c>
      <c r="C58" t="n">
        <v>3501</v>
      </c>
      <c r="D58" t="inlineStr">
        <is>
          <t>Emerald Group Publishing</t>
        </is>
      </c>
    </row>
    <row r="59">
      <c r="A59" t="inlineStr">
        <is>
          <t>Advances in Experimental Social Psychology</t>
        </is>
      </c>
      <c r="B59" t="inlineStr">
        <is>
          <t>A*</t>
        </is>
      </c>
      <c r="C59" t="n">
        <v>3507</v>
      </c>
      <c r="D59" t="inlineStr">
        <is>
          <t>Elsevier</t>
        </is>
      </c>
    </row>
    <row r="60">
      <c r="A60" t="inlineStr">
        <is>
          <t>Advances in Hospitality and Leisure</t>
        </is>
      </c>
      <c r="B60" t="inlineStr">
        <is>
          <t>C</t>
        </is>
      </c>
      <c r="C60" t="n">
        <v>3504</v>
      </c>
      <c r="D60" t="inlineStr">
        <is>
          <t>Emerald Group Publishing</t>
        </is>
      </c>
    </row>
    <row r="61">
      <c r="A61" t="inlineStr">
        <is>
          <t>Advances in International Management</t>
        </is>
      </c>
      <c r="B61" t="inlineStr">
        <is>
          <t>C</t>
        </is>
      </c>
      <c r="C61" t="n">
        <v>3507</v>
      </c>
      <c r="D61" t="inlineStr">
        <is>
          <t>Emerald Group Publishing</t>
        </is>
      </c>
    </row>
    <row r="62">
      <c r="A62" t="inlineStr">
        <is>
          <t>Advances in International Marketing</t>
        </is>
      </c>
      <c r="B62" t="inlineStr">
        <is>
          <t>C</t>
        </is>
      </c>
      <c r="C62" t="n">
        <v>3506</v>
      </c>
      <c r="D62" t="inlineStr">
        <is>
          <t>Emerald Group Publishing</t>
        </is>
      </c>
    </row>
    <row r="63">
      <c r="A63" t="inlineStr">
        <is>
          <t>Advances in Management Accounting</t>
        </is>
      </c>
      <c r="B63" t="inlineStr">
        <is>
          <t>A</t>
        </is>
      </c>
      <c r="C63" t="n">
        <v>3501</v>
      </c>
      <c r="D63" t="inlineStr">
        <is>
          <t>Emerald Group Publishing</t>
        </is>
      </c>
    </row>
    <row r="64">
      <c r="A64" t="inlineStr">
        <is>
          <t>Advances in Public Interest Accounting</t>
        </is>
      </c>
      <c r="B64" t="inlineStr">
        <is>
          <t>C</t>
        </is>
      </c>
      <c r="C64" t="n">
        <v>3501</v>
      </c>
      <c r="D64" t="inlineStr">
        <is>
          <t>Emerald Group Publishing</t>
        </is>
      </c>
    </row>
    <row r="65">
      <c r="A65" t="inlineStr">
        <is>
          <t>Advances in Strategic Management</t>
        </is>
      </c>
      <c r="B65" t="inlineStr">
        <is>
          <t>C</t>
        </is>
      </c>
      <c r="C65" t="n">
        <v>3507</v>
      </c>
      <c r="D65" t="inlineStr">
        <is>
          <t>Emerald Group Publishing</t>
        </is>
      </c>
    </row>
    <row r="66">
      <c r="A66" t="inlineStr">
        <is>
          <t>Advances in Taxation</t>
        </is>
      </c>
      <c r="B66" t="inlineStr">
        <is>
          <t>B</t>
        </is>
      </c>
      <c r="C66" t="n">
        <v>4801</v>
      </c>
      <c r="D66" t="inlineStr">
        <is>
          <t>Emerald Group Publishing</t>
        </is>
      </c>
    </row>
    <row r="67">
      <c r="A67" t="inlineStr">
        <is>
          <t>Advertising &amp; Society Review</t>
        </is>
      </c>
      <c r="B67" t="inlineStr">
        <is>
          <t>C</t>
        </is>
      </c>
      <c r="C67" t="n">
        <v>3506</v>
      </c>
      <c r="D67" t="inlineStr">
        <is>
          <t>Johns Hopkins University Press</t>
        </is>
      </c>
    </row>
    <row r="68">
      <c r="A68" t="inlineStr">
        <is>
          <t>Afaq Iqtisadiyyah</t>
        </is>
      </c>
      <c r="B68" t="inlineStr">
        <is>
          <t>C</t>
        </is>
      </c>
      <c r="C68" t="n">
        <v>3801</v>
      </c>
      <c r="D68" t="inlineStr">
        <is>
          <t>Federation of UAE Chambers of Commerce and Industry: Centre for Research and Authentication</t>
        </is>
      </c>
    </row>
    <row r="69">
      <c r="A69" t="inlineStr">
        <is>
          <t>Africa Development/Afrique et Developpement</t>
        </is>
      </c>
      <c r="B69" t="inlineStr">
        <is>
          <t>C</t>
        </is>
      </c>
      <c r="C69" t="n">
        <v>3899</v>
      </c>
      <c r="D69" t="inlineStr">
        <is>
          <t>Council for the Development of Economic and Social Research in Africa</t>
        </is>
      </c>
    </row>
    <row r="70">
      <c r="A70" t="inlineStr">
        <is>
          <t>African Development Review</t>
        </is>
      </c>
      <c r="B70" t="inlineStr">
        <is>
          <t>C</t>
        </is>
      </c>
      <c r="C70" t="n">
        <v>3899</v>
      </c>
      <c r="D70" t="inlineStr">
        <is>
          <t>Wiley-Blackwell Publishing</t>
        </is>
      </c>
    </row>
    <row r="71">
      <c r="A71" t="inlineStr">
        <is>
          <t>African Economic History</t>
        </is>
      </c>
      <c r="B71" t="inlineStr">
        <is>
          <t>C</t>
        </is>
      </c>
      <c r="C71" t="n">
        <v>3801</v>
      </c>
      <c r="D71" t="inlineStr">
        <is>
          <t>University of Wisconsin Press</t>
        </is>
      </c>
    </row>
    <row r="72">
      <c r="A72" t="inlineStr">
        <is>
          <t>African Journal of Accounting, Auditing and Finance</t>
        </is>
      </c>
      <c r="B72" t="inlineStr">
        <is>
          <t>C</t>
        </is>
      </c>
      <c r="C72" t="n">
        <v>3501</v>
      </c>
      <c r="D72" t="inlineStr">
        <is>
          <t>Inderscience Enterprises Ltd.</t>
        </is>
      </c>
    </row>
    <row r="73">
      <c r="A73" t="inlineStr">
        <is>
          <t>African Journal of Agricultural and Resource Economics</t>
        </is>
      </c>
      <c r="B73" t="inlineStr">
        <is>
          <t>B</t>
        </is>
      </c>
      <c r="C73" t="n">
        <v>3801</v>
      </c>
      <c r="D73" t="inlineStr">
        <is>
          <t>African Association of Agricultural Economists</t>
        </is>
      </c>
    </row>
    <row r="74">
      <c r="A74" t="inlineStr">
        <is>
          <t>African Journal of Business and Economic Research</t>
        </is>
      </c>
      <c r="B74" t="inlineStr">
        <is>
          <t>C</t>
        </is>
      </c>
      <c r="C74" t="n">
        <v>3801</v>
      </c>
      <c r="D74" t="inlineStr">
        <is>
          <t>Adonis and Abbey Publishers Ltd</t>
        </is>
      </c>
    </row>
    <row r="75">
      <c r="A75" t="inlineStr">
        <is>
          <t>African Journal of Economic and Management Studies</t>
        </is>
      </c>
      <c r="B75" t="inlineStr">
        <is>
          <t>C</t>
        </is>
      </c>
      <c r="C75" t="n">
        <v>3507</v>
      </c>
      <c r="D75" t="inlineStr">
        <is>
          <t>Emerald Group Publishing</t>
        </is>
      </c>
    </row>
    <row r="76">
      <c r="A76" t="inlineStr">
        <is>
          <t>African Journal of Economic and Sustainable Development</t>
        </is>
      </c>
      <c r="B76" t="inlineStr">
        <is>
          <t>C</t>
        </is>
      </c>
      <c r="C76" t="n">
        <v>3801</v>
      </c>
      <c r="D76" t="inlineStr">
        <is>
          <t>Inderscience Enterprises Ltd.</t>
        </is>
      </c>
    </row>
    <row r="77">
      <c r="A77" t="inlineStr">
        <is>
          <t>African Review of Economics and Finance</t>
        </is>
      </c>
      <c r="B77" t="inlineStr">
        <is>
          <t>C</t>
        </is>
      </c>
      <c r="C77" t="n">
        <v>3801</v>
      </c>
      <c r="D77" t="inlineStr">
        <is>
          <t>Wits University Press</t>
        </is>
      </c>
    </row>
    <row r="78">
      <c r="A78" t="inlineStr">
        <is>
          <t>Afrika Spectrum</t>
        </is>
      </c>
      <c r="B78" t="inlineStr">
        <is>
          <t>C</t>
        </is>
      </c>
      <c r="C78" t="n">
        <v>3801</v>
      </c>
      <c r="D78" t="inlineStr">
        <is>
          <t>Deutsches Institut für Afrika-Forschung</t>
        </is>
      </c>
    </row>
    <row r="79">
      <c r="A79" t="inlineStr">
        <is>
          <t>Afro-Asian Journal of Finance and Accounting</t>
        </is>
      </c>
      <c r="B79" t="inlineStr">
        <is>
          <t>C</t>
        </is>
      </c>
      <c r="C79" t="n">
        <v>3502</v>
      </c>
      <c r="D79" t="inlineStr">
        <is>
          <t>Inderscience Enterprises Ltd.</t>
        </is>
      </c>
    </row>
    <row r="80">
      <c r="A80" t="inlineStr">
        <is>
          <t>AgBioForum</t>
        </is>
      </c>
      <c r="B80" t="inlineStr">
        <is>
          <t>C</t>
        </is>
      </c>
      <c r="C80" t="n">
        <v>3801</v>
      </c>
      <c r="D80" t="inlineStr">
        <is>
          <t>Illinois Missouri Biotechnology Alliance</t>
        </is>
      </c>
    </row>
    <row r="81">
      <c r="A81" t="inlineStr">
        <is>
          <t>Agenda: a journal of policy analysis and reform</t>
        </is>
      </c>
      <c r="B81" t="inlineStr">
        <is>
          <t>B</t>
        </is>
      </c>
      <c r="C81" t="n">
        <v>3801</v>
      </c>
      <c r="D81" t="inlineStr">
        <is>
          <t>Australian National University</t>
        </is>
      </c>
    </row>
    <row r="82">
      <c r="A82" t="inlineStr">
        <is>
          <t>Agribusiness: An international journal</t>
        </is>
      </c>
      <c r="B82" t="inlineStr">
        <is>
          <t>C</t>
        </is>
      </c>
      <c r="C82" t="n">
        <v>3801</v>
      </c>
      <c r="D82" t="inlineStr">
        <is>
          <t>Wiley-Blackwell Publishing</t>
        </is>
      </c>
    </row>
    <row r="83">
      <c r="A83" t="inlineStr">
        <is>
          <t>Agricultural and Resource Economics Review</t>
        </is>
      </c>
      <c r="B83" t="inlineStr">
        <is>
          <t>B</t>
        </is>
      </c>
      <c r="C83" t="n">
        <v>3801</v>
      </c>
      <c r="D83" t="inlineStr">
        <is>
          <t>Cambridge University Press</t>
        </is>
      </c>
    </row>
    <row r="84">
      <c r="A84" t="inlineStr">
        <is>
          <t>Agricultural Economics</t>
        </is>
      </c>
      <c r="B84" t="inlineStr">
        <is>
          <t>A</t>
        </is>
      </c>
      <c r="C84" t="n">
        <v>3801</v>
      </c>
      <c r="D84" t="inlineStr">
        <is>
          <t>Wiley-Blackwell Publishing</t>
        </is>
      </c>
    </row>
    <row r="85">
      <c r="A85" t="inlineStr">
        <is>
          <t>Agricultural Economics and Rural Development</t>
        </is>
      </c>
      <c r="B85" t="inlineStr">
        <is>
          <t>C</t>
        </is>
      </c>
      <c r="C85" t="n">
        <v>3899</v>
      </c>
      <c r="D85" t="inlineStr">
        <is>
          <t>Institute of Agricultural Economics</t>
        </is>
      </c>
    </row>
    <row r="86">
      <c r="A86" t="inlineStr">
        <is>
          <t>Agricultural Economics Research Review</t>
        </is>
      </c>
      <c r="B86" t="inlineStr">
        <is>
          <t>C</t>
        </is>
      </c>
      <c r="C86" t="n">
        <v>3899</v>
      </c>
      <c r="D86" t="inlineStr">
        <is>
          <t>Sage Publications</t>
        </is>
      </c>
    </row>
    <row r="87">
      <c r="A87" t="inlineStr">
        <is>
          <t>Agricultural Economics Review</t>
        </is>
      </c>
      <c r="B87" t="inlineStr">
        <is>
          <t>C</t>
        </is>
      </c>
      <c r="C87" t="n">
        <v>3899</v>
      </c>
      <c r="D87" t="inlineStr">
        <is>
          <t>Greek Association of Agricultural Economists</t>
        </is>
      </c>
    </row>
    <row r="88">
      <c r="A88" t="inlineStr">
        <is>
          <t>Agricultural Finance Review</t>
        </is>
      </c>
      <c r="B88" t="inlineStr">
        <is>
          <t>C</t>
        </is>
      </c>
      <c r="C88" t="n">
        <v>3502</v>
      </c>
      <c r="D88" t="inlineStr">
        <is>
          <t>Emerald Group Publishing</t>
        </is>
      </c>
    </row>
    <row r="89">
      <c r="A89" t="inlineStr">
        <is>
          <t>Agriculture and Human Values</t>
        </is>
      </c>
      <c r="B89" t="inlineStr">
        <is>
          <t>B</t>
        </is>
      </c>
      <c r="C89" t="n">
        <v>3801</v>
      </c>
      <c r="D89" t="inlineStr">
        <is>
          <t>Springer International Publishing</t>
        </is>
      </c>
    </row>
    <row r="90">
      <c r="A90" t="inlineStr">
        <is>
          <t>AIMS International Journal of Management</t>
        </is>
      </c>
      <c r="B90" t="inlineStr">
        <is>
          <t>C</t>
        </is>
      </c>
      <c r="C90" t="n">
        <v>3507</v>
      </c>
      <c r="D90" t="inlineStr">
        <is>
          <t>AIMS International</t>
        </is>
      </c>
    </row>
    <row r="91">
      <c r="A91" t="inlineStr">
        <is>
          <t>Air and Space Law</t>
        </is>
      </c>
      <c r="B91" t="inlineStr">
        <is>
          <t>B</t>
        </is>
      </c>
      <c r="C91" t="n">
        <v>4801</v>
      </c>
      <c r="D91" t="inlineStr">
        <is>
          <t>Kluwer Law International</t>
        </is>
      </c>
    </row>
    <row r="92">
      <c r="A92" t="inlineStr">
        <is>
          <t>AIS Educator Journal</t>
        </is>
      </c>
      <c r="B92" t="inlineStr">
        <is>
          <t>C</t>
        </is>
      </c>
      <c r="C92" t="n">
        <v>3501</v>
      </c>
      <c r="D92" t="inlineStr">
        <is>
          <t>Allen Press Inc.</t>
        </is>
      </c>
    </row>
    <row r="93">
      <c r="A93" t="inlineStr">
        <is>
          <t>AIS Transactions on Human-Computer Interaction</t>
        </is>
      </c>
      <c r="B93" t="inlineStr">
        <is>
          <t>A</t>
        </is>
      </c>
      <c r="C93" t="n">
        <v>4609</v>
      </c>
      <c r="D93" t="inlineStr">
        <is>
          <t>Association for Information Systems</t>
        </is>
      </c>
    </row>
    <row r="94">
      <c r="A94" t="inlineStr">
        <is>
          <t>Akron Tax Journal</t>
        </is>
      </c>
      <c r="B94" t="inlineStr">
        <is>
          <t>B</t>
        </is>
      </c>
      <c r="C94" t="n">
        <v>4801</v>
      </c>
      <c r="D94" t="inlineStr">
        <is>
          <t>University of Akron</t>
        </is>
      </c>
    </row>
    <row r="95">
      <c r="A95" t="inlineStr">
        <is>
          <t>Alberta Law Review</t>
        </is>
      </c>
      <c r="B95" t="inlineStr">
        <is>
          <t>B</t>
        </is>
      </c>
      <c r="C95" t="n">
        <v>4801</v>
      </c>
      <c r="D95" t="inlineStr">
        <is>
          <t>University of Alberta</t>
        </is>
      </c>
    </row>
    <row r="96">
      <c r="A96" t="inlineStr">
        <is>
          <t>Algorithmic Finance</t>
        </is>
      </c>
      <c r="B96" t="inlineStr">
        <is>
          <t>B</t>
        </is>
      </c>
      <c r="C96" t="n">
        <v>3502</v>
      </c>
      <c r="D96" t="inlineStr">
        <is>
          <t>Sage Publications</t>
        </is>
      </c>
    </row>
    <row r="97">
      <c r="A97" t="inlineStr">
        <is>
          <t>ALI - ABA Business Law Course Materials Journal</t>
        </is>
      </c>
      <c r="B97" t="inlineStr">
        <is>
          <t>C</t>
        </is>
      </c>
      <c r="C97" t="n">
        <v>4801</v>
      </c>
      <c r="D97" t="inlineStr">
        <is>
          <t>American Law Institute</t>
        </is>
      </c>
    </row>
    <row r="98">
      <c r="A98" t="inlineStr">
        <is>
          <t>Aligarh Journal of Statistics</t>
        </is>
      </c>
      <c r="B98" t="inlineStr">
        <is>
          <t>C</t>
        </is>
      </c>
      <c r="C98" t="n">
        <v>4905</v>
      </c>
      <c r="D98" t="inlineStr">
        <is>
          <t>Aligarh Muslim University</t>
        </is>
      </c>
    </row>
    <row r="99">
      <c r="A99" t="inlineStr">
        <is>
          <t>Alternative Law Journal</t>
        </is>
      </c>
      <c r="B99" t="inlineStr">
        <is>
          <t>B</t>
        </is>
      </c>
      <c r="C99" t="n">
        <v>4801</v>
      </c>
      <c r="D99" t="inlineStr">
        <is>
          <t>Sage Publications</t>
        </is>
      </c>
    </row>
    <row r="100">
      <c r="A100" t="inlineStr">
        <is>
          <t>Alternatives: global, local, political</t>
        </is>
      </c>
      <c r="B100" t="inlineStr">
        <is>
          <t>A</t>
        </is>
      </c>
      <c r="C100" t="n">
        <v>3507</v>
      </c>
      <c r="D100" t="inlineStr">
        <is>
          <t>Sage Publications</t>
        </is>
      </c>
    </row>
    <row r="101">
      <c r="A101" t="inlineStr">
        <is>
          <t>American Bankruptcy Institute Law Review</t>
        </is>
      </c>
      <c r="B101" t="inlineStr">
        <is>
          <t>B</t>
        </is>
      </c>
      <c r="C101" t="n">
        <v>4801</v>
      </c>
      <c r="D101" t="inlineStr">
        <is>
          <t>St. John's University School of Law</t>
        </is>
      </c>
    </row>
    <row r="102">
      <c r="A102" t="inlineStr">
        <is>
          <t>American Bankruptcy Law Journal</t>
        </is>
      </c>
      <c r="B102" t="inlineStr">
        <is>
          <t>B</t>
        </is>
      </c>
      <c r="C102" t="n">
        <v>4801</v>
      </c>
      <c r="D102" t="inlineStr">
        <is>
          <t>The National Conference of Bankruptcy Judges</t>
        </is>
      </c>
    </row>
    <row r="103">
      <c r="A103" t="inlineStr">
        <is>
          <t>American Behavioral Scientist</t>
        </is>
      </c>
      <c r="B103" t="inlineStr">
        <is>
          <t>B</t>
        </is>
      </c>
      <c r="C103" t="n">
        <v>3507</v>
      </c>
      <c r="D103" t="inlineStr">
        <is>
          <t>Sage Publications</t>
        </is>
      </c>
    </row>
    <row r="104">
      <c r="A104" t="inlineStr">
        <is>
          <t>American Business Law Journal</t>
        </is>
      </c>
      <c r="B104" t="inlineStr">
        <is>
          <t>A</t>
        </is>
      </c>
      <c r="C104" t="n">
        <v>4801</v>
      </c>
      <c r="D104" t="inlineStr">
        <is>
          <t>Wiley-Blackwell Publishing</t>
        </is>
      </c>
    </row>
    <row r="105">
      <c r="A105" t="inlineStr">
        <is>
          <t>American Business Review</t>
        </is>
      </c>
      <c r="B105" t="inlineStr">
        <is>
          <t>B</t>
        </is>
      </c>
      <c r="C105" t="n">
        <v>3507</v>
      </c>
      <c r="D105" t="inlineStr">
        <is>
          <t>University of New Haven</t>
        </is>
      </c>
    </row>
    <row r="106">
      <c r="A106" t="inlineStr">
        <is>
          <t>American Economic Journal: Applied Economics</t>
        </is>
      </c>
      <c r="B106" t="inlineStr">
        <is>
          <t>A*</t>
        </is>
      </c>
      <c r="C106" t="n">
        <v>3801</v>
      </c>
      <c r="D106" t="inlineStr">
        <is>
          <t>American Economic Association</t>
        </is>
      </c>
    </row>
    <row r="107">
      <c r="A107" t="inlineStr">
        <is>
          <t>American Economic Journal: Economic Policy</t>
        </is>
      </c>
      <c r="B107" t="inlineStr">
        <is>
          <t>A*</t>
        </is>
      </c>
      <c r="C107" t="n">
        <v>3801</v>
      </c>
      <c r="D107" t="inlineStr">
        <is>
          <t>American Economic Association</t>
        </is>
      </c>
    </row>
    <row r="108">
      <c r="A108" t="inlineStr">
        <is>
          <t>American Economic Journal: Macroeconomics</t>
        </is>
      </c>
      <c r="B108" t="inlineStr">
        <is>
          <t>A*</t>
        </is>
      </c>
      <c r="C108" t="n">
        <v>3801</v>
      </c>
      <c r="D108" t="inlineStr">
        <is>
          <t>American Economic Association</t>
        </is>
      </c>
    </row>
    <row r="109">
      <c r="A109" t="inlineStr">
        <is>
          <t>American Economic Journal: Microeconomics</t>
        </is>
      </c>
      <c r="B109" t="inlineStr">
        <is>
          <t>A*</t>
        </is>
      </c>
      <c r="C109" t="n">
        <v>3801</v>
      </c>
      <c r="D109" t="inlineStr">
        <is>
          <t>American Economic Association</t>
        </is>
      </c>
    </row>
    <row r="110">
      <c r="A110" t="inlineStr">
        <is>
          <t>American Economic Review: Insights</t>
        </is>
      </c>
      <c r="B110" t="inlineStr">
        <is>
          <t>A*</t>
        </is>
      </c>
      <c r="C110" t="n">
        <v>3801</v>
      </c>
      <c r="D110" t="inlineStr">
        <is>
          <t>American Economic Association</t>
        </is>
      </c>
    </row>
    <row r="111">
      <c r="A111" t="inlineStr">
        <is>
          <t>American Economist</t>
        </is>
      </c>
      <c r="B111" t="inlineStr">
        <is>
          <t>C</t>
        </is>
      </c>
      <c r="C111" t="n">
        <v>3801</v>
      </c>
      <c r="D111" t="inlineStr">
        <is>
          <t>Sage Publications</t>
        </is>
      </c>
    </row>
    <row r="112">
      <c r="A112" t="inlineStr">
        <is>
          <t>American International Journal of Business and Management Studies</t>
        </is>
      </c>
      <c r="B112" t="inlineStr">
        <is>
          <t>C</t>
        </is>
      </c>
      <c r="C112" t="n">
        <v>3507</v>
      </c>
      <c r="D112" t="inlineStr">
        <is>
          <t>American Center of Science and Education</t>
        </is>
      </c>
    </row>
    <row r="113">
      <c r="A113" t="inlineStr">
        <is>
          <t>American Journal of Agricultural Economics</t>
        </is>
      </c>
      <c r="B113" t="inlineStr">
        <is>
          <t>A*</t>
        </is>
      </c>
      <c r="C113" t="n">
        <v>3801</v>
      </c>
      <c r="D113" t="inlineStr">
        <is>
          <t>Oxford University Press</t>
        </is>
      </c>
    </row>
    <row r="114">
      <c r="A114" t="inlineStr">
        <is>
          <t>American Journal of Business (AJB)</t>
        </is>
      </c>
      <c r="B114" t="inlineStr">
        <is>
          <t>C</t>
        </is>
      </c>
      <c r="C114" t="n">
        <v>3507</v>
      </c>
      <c r="D114" t="inlineStr">
        <is>
          <t>Emerald Publishing</t>
        </is>
      </c>
    </row>
    <row r="115">
      <c r="A115" t="inlineStr">
        <is>
          <t>American Journal of Comparative Law</t>
        </is>
      </c>
      <c r="B115" t="inlineStr">
        <is>
          <t>A</t>
        </is>
      </c>
      <c r="C115" t="n">
        <v>4801</v>
      </c>
      <c r="D115" t="inlineStr">
        <is>
          <t>Oxford University Press</t>
        </is>
      </c>
    </row>
    <row r="116">
      <c r="A116" t="inlineStr">
        <is>
          <t>American Journal of Economics and Sociology</t>
        </is>
      </c>
      <c r="B116" t="inlineStr">
        <is>
          <t>B</t>
        </is>
      </c>
      <c r="C116" t="n">
        <v>3801</v>
      </c>
      <c r="D116" t="inlineStr">
        <is>
          <t>Wiley-Blackwell Publishing</t>
        </is>
      </c>
    </row>
    <row r="117">
      <c r="A117" t="inlineStr">
        <is>
          <t>American Journal of Evaluation</t>
        </is>
      </c>
      <c r="B117" t="inlineStr">
        <is>
          <t>C</t>
        </is>
      </c>
      <c r="C117" t="n">
        <v>3503</v>
      </c>
      <c r="D117" t="inlineStr">
        <is>
          <t>Sage Publications</t>
        </is>
      </c>
    </row>
    <row r="118">
      <c r="A118" t="inlineStr">
        <is>
          <t>American Journal of Finance and Accounting</t>
        </is>
      </c>
      <c r="B118" t="inlineStr">
        <is>
          <t>C</t>
        </is>
      </c>
      <c r="C118" t="n">
        <v>3502</v>
      </c>
      <c r="D118" t="inlineStr">
        <is>
          <t>Inderscience Publishers</t>
        </is>
      </c>
    </row>
    <row r="119">
      <c r="A119" t="inlineStr">
        <is>
          <t>American Journal of Health Economics</t>
        </is>
      </c>
      <c r="B119" t="inlineStr">
        <is>
          <t>A*</t>
        </is>
      </c>
      <c r="C119" t="n">
        <v>3801</v>
      </c>
      <c r="D119" t="inlineStr">
        <is>
          <t>MIT Press</t>
        </is>
      </c>
    </row>
    <row r="120">
      <c r="A120" t="inlineStr">
        <is>
          <t>American Journal of Political Science</t>
        </is>
      </c>
      <c r="B120" t="inlineStr">
        <is>
          <t>A*</t>
        </is>
      </c>
      <c r="C120" t="n">
        <v>3599</v>
      </c>
      <c r="D120" t="inlineStr">
        <is>
          <t>Wiley-Blackwell Publishing</t>
        </is>
      </c>
    </row>
    <row r="121">
      <c r="A121" t="inlineStr">
        <is>
          <t>American Journal of Public Health</t>
        </is>
      </c>
      <c r="B121" t="inlineStr">
        <is>
          <t>A*</t>
        </is>
      </c>
      <c r="C121" t="n">
        <v>3599</v>
      </c>
      <c r="D121" t="inlineStr">
        <is>
          <t>The American Public Health Association</t>
        </is>
      </c>
    </row>
    <row r="122">
      <c r="A122" t="inlineStr">
        <is>
          <t>American Journal of Recreation Therapy</t>
        </is>
      </c>
      <c r="B122" t="inlineStr">
        <is>
          <t>C</t>
        </is>
      </c>
      <c r="C122" t="n">
        <v>3504</v>
      </c>
      <c r="D122" t="inlineStr">
        <is>
          <t>Weston Medical Publishing</t>
        </is>
      </c>
    </row>
    <row r="123">
      <c r="A123" t="inlineStr">
        <is>
          <t>American Journal of Sociology</t>
        </is>
      </c>
      <c r="B123" t="inlineStr">
        <is>
          <t>A*</t>
        </is>
      </c>
      <c r="C123" t="n">
        <v>3507</v>
      </c>
      <c r="D123" t="inlineStr">
        <is>
          <t>The University of Chicago Press</t>
        </is>
      </c>
    </row>
    <row r="124">
      <c r="A124" t="inlineStr">
        <is>
          <t>American Law and Economics Review</t>
        </is>
      </c>
      <c r="B124" t="inlineStr">
        <is>
          <t>B</t>
        </is>
      </c>
      <c r="C124" t="n">
        <v>3801</v>
      </c>
      <c r="D124" t="inlineStr">
        <is>
          <t>Oxford University Press</t>
        </is>
      </c>
    </row>
    <row r="125">
      <c r="A125" t="inlineStr">
        <is>
          <t>American Political Science Review</t>
        </is>
      </c>
      <c r="B125" t="inlineStr">
        <is>
          <t>A*</t>
        </is>
      </c>
      <c r="C125" t="n">
        <v>3599</v>
      </c>
      <c r="D125" t="inlineStr">
        <is>
          <t>Cambridge University Press</t>
        </is>
      </c>
    </row>
    <row r="126">
      <c r="A126" t="inlineStr">
        <is>
          <t>American Psychologist</t>
        </is>
      </c>
      <c r="B126" t="inlineStr">
        <is>
          <t>A*</t>
        </is>
      </c>
      <c r="C126" t="n">
        <v>3507</v>
      </c>
      <c r="D126" t="inlineStr">
        <is>
          <t>American Psychological Association</t>
        </is>
      </c>
    </row>
    <row r="127">
      <c r="A127" t="inlineStr">
        <is>
          <t>American Review of Political Economy</t>
        </is>
      </c>
      <c r="B127" t="inlineStr">
        <is>
          <t>C</t>
        </is>
      </c>
      <c r="C127" t="n">
        <v>3899</v>
      </c>
      <c r="D127" t="inlineStr">
        <is>
          <t>American Review of Political Economy</t>
        </is>
      </c>
    </row>
    <row r="128">
      <c r="A128" t="inlineStr">
        <is>
          <t>American Review of Public Administration</t>
        </is>
      </c>
      <c r="B128" t="inlineStr">
        <is>
          <t>B</t>
        </is>
      </c>
      <c r="C128" t="n">
        <v>3599</v>
      </c>
      <c r="D128" t="inlineStr">
        <is>
          <t>Sage Publications</t>
        </is>
      </c>
    </row>
    <row r="129">
      <c r="A129" t="inlineStr">
        <is>
          <t>American Sociological Review</t>
        </is>
      </c>
      <c r="B129" t="inlineStr">
        <is>
          <t>A*</t>
        </is>
      </c>
      <c r="C129" t="n">
        <v>3507</v>
      </c>
      <c r="D129" t="inlineStr">
        <is>
          <t>Sage Publications</t>
        </is>
      </c>
    </row>
    <row r="130">
      <c r="A130" t="inlineStr">
        <is>
          <t>AMS Review</t>
        </is>
      </c>
      <c r="B130" t="inlineStr">
        <is>
          <t>B</t>
        </is>
      </c>
      <c r="C130" t="n">
        <v>3506</v>
      </c>
      <c r="D130" t="inlineStr">
        <is>
          <t>Springer International Publishing</t>
        </is>
      </c>
    </row>
    <row r="131">
      <c r="A131" t="inlineStr">
        <is>
          <t>Analisis: cuadernos de investigacion</t>
        </is>
      </c>
      <c r="B131" t="inlineStr">
        <is>
          <t>C</t>
        </is>
      </c>
      <c r="C131" t="n">
        <v>3801</v>
      </c>
      <c r="D131" t="inlineStr">
        <is>
          <t>Centre for Latin American Monetary Studies (CEMLA)</t>
        </is>
      </c>
    </row>
    <row r="132">
      <c r="A132" t="inlineStr">
        <is>
          <t>Analytic Methods in Accident Research</t>
        </is>
      </c>
      <c r="B132" t="inlineStr">
        <is>
          <t>B</t>
        </is>
      </c>
      <c r="C132" t="n">
        <v>3509</v>
      </c>
      <c r="D132" t="inlineStr">
        <is>
          <t>Elsevier</t>
        </is>
      </c>
    </row>
    <row r="133">
      <c r="A133" t="inlineStr">
        <is>
          <t>Anatolia</t>
        </is>
      </c>
      <c r="B133" t="inlineStr">
        <is>
          <t>B</t>
        </is>
      </c>
      <c r="C133" t="n">
        <v>3508</v>
      </c>
      <c r="D133" t="inlineStr">
        <is>
          <t>Taylor &amp; Francis Online</t>
        </is>
      </c>
    </row>
    <row r="134">
      <c r="A134" t="inlineStr">
        <is>
          <t>Annals Economy Series</t>
        </is>
      </c>
      <c r="B134" t="inlineStr">
        <is>
          <t>C</t>
        </is>
      </c>
      <c r="C134" t="n">
        <v>3899</v>
      </c>
      <c r="D134" t="inlineStr">
        <is>
          <t>Universitatea Constantin Brancusi din Targu-Jiu</t>
        </is>
      </c>
    </row>
    <row r="135">
      <c r="A135" t="inlineStr">
        <is>
          <t>Annals of Actuarial Science</t>
        </is>
      </c>
      <c r="B135" t="inlineStr">
        <is>
          <t>A</t>
        </is>
      </c>
      <c r="C135" t="n">
        <v>3502</v>
      </c>
      <c r="D135" t="inlineStr">
        <is>
          <t>Cambridge University Press</t>
        </is>
      </c>
    </row>
    <row r="136">
      <c r="A136" t="inlineStr">
        <is>
          <t>Annals of Applied Probability</t>
        </is>
      </c>
      <c r="B136" t="inlineStr">
        <is>
          <t>A</t>
        </is>
      </c>
      <c r="C136" t="n">
        <v>4905</v>
      </c>
      <c r="D136" t="inlineStr">
        <is>
          <t>Institute of Mathematical Statistics</t>
        </is>
      </c>
    </row>
    <row r="137">
      <c r="A137" t="inlineStr">
        <is>
          <t>Annals of Applied Statistics</t>
        </is>
      </c>
      <c r="B137" t="inlineStr">
        <is>
          <t>A</t>
        </is>
      </c>
      <c r="C137" t="n">
        <v>4905</v>
      </c>
      <c r="D137" t="inlineStr">
        <is>
          <t>Institute of Mathematical Statistics</t>
        </is>
      </c>
    </row>
    <row r="138">
      <c r="A138" t="inlineStr">
        <is>
          <t>Annals of Economics and Finance</t>
        </is>
      </c>
      <c r="B138" t="inlineStr">
        <is>
          <t>C</t>
        </is>
      </c>
      <c r="C138" t="n">
        <v>3502</v>
      </c>
      <c r="D138" t="inlineStr">
        <is>
          <t>Peking University Press</t>
        </is>
      </c>
    </row>
    <row r="139">
      <c r="A139" t="inlineStr">
        <is>
          <t>Annals of Finance</t>
        </is>
      </c>
      <c r="B139" t="inlineStr">
        <is>
          <t>B</t>
        </is>
      </c>
      <c r="C139" t="n">
        <v>3502</v>
      </c>
      <c r="D139" t="inlineStr">
        <is>
          <t>Springer International Publishing</t>
        </is>
      </c>
    </row>
    <row r="140">
      <c r="A140" t="inlineStr">
        <is>
          <t>Annals of Leisure Research</t>
        </is>
      </c>
      <c r="B140" t="inlineStr">
        <is>
          <t>B</t>
        </is>
      </c>
      <c r="C140" t="n">
        <v>3504</v>
      </c>
      <c r="D140" t="inlineStr">
        <is>
          <t>Routledge</t>
        </is>
      </c>
    </row>
    <row r="141">
      <c r="A141" t="inlineStr">
        <is>
          <t>Annals of Operations Research</t>
        </is>
      </c>
      <c r="B141" t="inlineStr">
        <is>
          <t>A</t>
        </is>
      </c>
      <c r="C141" t="n">
        <v>3507</v>
      </c>
      <c r="D141" t="inlineStr">
        <is>
          <t>Springer International Publishing</t>
        </is>
      </c>
    </row>
    <row r="142">
      <c r="A142" t="inlineStr">
        <is>
          <t>Annals of Probability</t>
        </is>
      </c>
      <c r="B142" t="inlineStr">
        <is>
          <t>A*</t>
        </is>
      </c>
      <c r="C142" t="n">
        <v>4905</v>
      </c>
      <c r="D142" t="inlineStr">
        <is>
          <t>Institute of Mathematical Statistics</t>
        </is>
      </c>
    </row>
    <row r="143">
      <c r="A143" t="inlineStr">
        <is>
          <t>Annals of Public and Cooperative Economics</t>
        </is>
      </c>
      <c r="B143" t="inlineStr">
        <is>
          <t>B</t>
        </is>
      </c>
      <c r="C143" t="n">
        <v>3801</v>
      </c>
      <c r="D143" t="inlineStr">
        <is>
          <t>Wiley-Blackwell Publishing</t>
        </is>
      </c>
    </row>
    <row r="144">
      <c r="A144" t="inlineStr">
        <is>
          <t>Annals of Statistics</t>
        </is>
      </c>
      <c r="B144" t="inlineStr">
        <is>
          <t>A*</t>
        </is>
      </c>
      <c r="C144" t="n">
        <v>4905</v>
      </c>
      <c r="D144" t="inlineStr">
        <is>
          <t>Institute of Mathematical Statistics</t>
        </is>
      </c>
    </row>
    <row r="145">
      <c r="A145" t="inlineStr">
        <is>
          <t>Annals of the American Academy of Political and Social Science</t>
        </is>
      </c>
      <c r="B145" t="inlineStr">
        <is>
          <t>B</t>
        </is>
      </c>
      <c r="C145" t="n">
        <v>3599</v>
      </c>
      <c r="D145" t="inlineStr">
        <is>
          <t>Sage Publications</t>
        </is>
      </c>
    </row>
    <row r="146">
      <c r="A146" t="inlineStr">
        <is>
          <t>Annals of the Institute of Statistical Mathematics</t>
        </is>
      </c>
      <c r="B146" t="inlineStr">
        <is>
          <t>A</t>
        </is>
      </c>
      <c r="C146" t="n">
        <v>4905</v>
      </c>
      <c r="D146" t="inlineStr">
        <is>
          <t>Springer International Publishing</t>
        </is>
      </c>
    </row>
    <row r="147">
      <c r="A147" t="inlineStr">
        <is>
          <t>Annals of Tourism Research</t>
        </is>
      </c>
      <c r="B147" t="inlineStr">
        <is>
          <t>A*</t>
        </is>
      </c>
      <c r="C147" t="n">
        <v>3508</v>
      </c>
      <c r="D147" t="inlineStr">
        <is>
          <t>Elsevier</t>
        </is>
      </c>
    </row>
    <row r="148">
      <c r="A148" t="inlineStr">
        <is>
          <t>Annals of Tourism Research Empirical Insights</t>
        </is>
      </c>
      <c r="B148" t="inlineStr">
        <is>
          <t>B</t>
        </is>
      </c>
      <c r="C148" t="n">
        <v>3508</v>
      </c>
      <c r="D148" t="inlineStr">
        <is>
          <t>Elsevier</t>
        </is>
      </c>
    </row>
    <row r="149">
      <c r="A149" t="inlineStr">
        <is>
          <t>Annual Editions: Economics</t>
        </is>
      </c>
      <c r="B149" t="inlineStr">
        <is>
          <t>C</t>
        </is>
      </c>
      <c r="C149" t="n">
        <v>3801</v>
      </c>
      <c r="D149" t="inlineStr">
        <is>
          <t>Dushkin Publ. Group</t>
        </is>
      </c>
    </row>
    <row r="150">
      <c r="A150" t="inlineStr">
        <is>
          <t>Annual Review of Banking and Financial Law</t>
        </is>
      </c>
      <c r="B150" t="inlineStr">
        <is>
          <t>C</t>
        </is>
      </c>
      <c r="C150" t="n">
        <v>4801</v>
      </c>
      <c r="D150" t="inlineStr">
        <is>
          <t>Boston University School of Law</t>
        </is>
      </c>
    </row>
    <row r="151">
      <c r="A151" t="inlineStr">
        <is>
          <t>Annual Review of Economics</t>
        </is>
      </c>
      <c r="B151" t="inlineStr">
        <is>
          <t>A*</t>
        </is>
      </c>
      <c r="C151" t="n">
        <v>3801</v>
      </c>
      <c r="D151" t="inlineStr">
        <is>
          <t>Annual Reviews</t>
        </is>
      </c>
    </row>
    <row r="152">
      <c r="A152" t="inlineStr">
        <is>
          <t>Annual Review of Financial Economics</t>
        </is>
      </c>
      <c r="B152" t="inlineStr">
        <is>
          <t>B</t>
        </is>
      </c>
      <c r="C152" t="n">
        <v>3801</v>
      </c>
      <c r="D152" t="inlineStr">
        <is>
          <t>Annual Reviews</t>
        </is>
      </c>
    </row>
    <row r="153">
      <c r="A153" t="inlineStr">
        <is>
          <t>Annual Review of Organizational Psychology and Organizational Behavior</t>
        </is>
      </c>
      <c r="B153" t="inlineStr">
        <is>
          <t>A*</t>
        </is>
      </c>
      <c r="C153" t="n">
        <v>3507</v>
      </c>
      <c r="D153" t="inlineStr">
        <is>
          <t>Annual Reviews</t>
        </is>
      </c>
    </row>
    <row r="154">
      <c r="A154" t="inlineStr">
        <is>
          <t>Annual Review of Psychology</t>
        </is>
      </c>
      <c r="B154" t="inlineStr">
        <is>
          <t>A*</t>
        </is>
      </c>
      <c r="C154" t="n">
        <v>3507</v>
      </c>
      <c r="D154" t="inlineStr">
        <is>
          <t>Annual Reviews</t>
        </is>
      </c>
    </row>
    <row r="155">
      <c r="A155" t="inlineStr">
        <is>
          <t>Annual Review of Resource Economics</t>
        </is>
      </c>
      <c r="B155" t="inlineStr">
        <is>
          <t>B</t>
        </is>
      </c>
      <c r="C155" t="n">
        <v>3801</v>
      </c>
      <c r="D155" t="inlineStr">
        <is>
          <t>Annual Reviews</t>
        </is>
      </c>
    </row>
    <row r="156">
      <c r="A156" t="inlineStr">
        <is>
          <t>Annual Review of Sociology</t>
        </is>
      </c>
      <c r="B156" t="inlineStr">
        <is>
          <t>A*</t>
        </is>
      </c>
      <c r="C156" t="n">
        <v>3507</v>
      </c>
      <c r="D156" t="inlineStr">
        <is>
          <t>Annual Reviews</t>
        </is>
      </c>
    </row>
    <row r="157">
      <c r="A157" t="inlineStr">
        <is>
          <t>Anti Trust Law Journal</t>
        </is>
      </c>
      <c r="B157" t="inlineStr">
        <is>
          <t>A</t>
        </is>
      </c>
      <c r="C157" t="n">
        <v>4801</v>
      </c>
      <c r="D157" t="inlineStr">
        <is>
          <t>American Bar Association</t>
        </is>
      </c>
    </row>
    <row r="158">
      <c r="A158" t="inlineStr">
        <is>
          <t>Antitrust Bulletin</t>
        </is>
      </c>
      <c r="B158" t="inlineStr">
        <is>
          <t>B</t>
        </is>
      </c>
      <c r="C158" t="n">
        <v>4801</v>
      </c>
      <c r="D158" t="inlineStr">
        <is>
          <t>Sage Publications</t>
        </is>
      </c>
    </row>
    <row r="159">
      <c r="A159" t="inlineStr">
        <is>
          <t>Appetite</t>
        </is>
      </c>
      <c r="B159" t="inlineStr">
        <is>
          <t>A</t>
        </is>
      </c>
      <c r="C159" t="n">
        <v>3506</v>
      </c>
      <c r="D159" t="inlineStr">
        <is>
          <t>Elsevier</t>
        </is>
      </c>
    </row>
    <row r="160">
      <c r="A160" t="inlineStr">
        <is>
          <t>Applied Cognitive Psychology</t>
        </is>
      </c>
      <c r="B160" t="inlineStr">
        <is>
          <t>B</t>
        </is>
      </c>
      <c r="C160" t="n">
        <v>3507</v>
      </c>
      <c r="D160" t="inlineStr">
        <is>
          <t>Wiley-Blackwell Publishing</t>
        </is>
      </c>
    </row>
    <row r="161">
      <c r="A161" t="inlineStr">
        <is>
          <t>Applied Econometrics</t>
        </is>
      </c>
      <c r="B161" t="inlineStr">
        <is>
          <t>C</t>
        </is>
      </c>
      <c r="C161" t="n">
        <v>3802</v>
      </c>
      <c r="D161" t="inlineStr">
        <is>
          <t>Moscow University for Industry and Finance Synergy" "</t>
        </is>
      </c>
    </row>
    <row r="162">
      <c r="A162" t="inlineStr">
        <is>
          <t>Applied Econometrics and International Development</t>
        </is>
      </c>
      <c r="B162" t="inlineStr">
        <is>
          <t>C</t>
        </is>
      </c>
      <c r="C162" t="n">
        <v>3802</v>
      </c>
      <c r="D162" t="inlineStr">
        <is>
          <t>Euro-American Association of Economic Development Studies</t>
        </is>
      </c>
    </row>
    <row r="163">
      <c r="A163" t="inlineStr">
        <is>
          <t>Applied Economic Analysis</t>
        </is>
      </c>
      <c r="B163" t="inlineStr">
        <is>
          <t>B</t>
        </is>
      </c>
      <c r="C163" t="n">
        <v>3801</v>
      </c>
      <c r="D163" t="inlineStr">
        <is>
          <t>Emerald Publishing Group</t>
        </is>
      </c>
    </row>
    <row r="164">
      <c r="A164" t="inlineStr">
        <is>
          <t>Applied Economic Perspectives and Policy</t>
        </is>
      </c>
      <c r="B164" t="inlineStr">
        <is>
          <t>B</t>
        </is>
      </c>
      <c r="C164" t="n">
        <v>3801</v>
      </c>
      <c r="D164" t="inlineStr">
        <is>
          <t>Oxford University Press</t>
        </is>
      </c>
    </row>
    <row r="165">
      <c r="A165" t="inlineStr">
        <is>
          <t>Applied Economics</t>
        </is>
      </c>
      <c r="B165" t="inlineStr">
        <is>
          <t>A</t>
        </is>
      </c>
      <c r="C165" t="n">
        <v>3801</v>
      </c>
      <c r="D165" t="inlineStr">
        <is>
          <t>Taylor &amp; Francis Online</t>
        </is>
      </c>
    </row>
    <row r="166">
      <c r="A166" t="inlineStr">
        <is>
          <t>Applied Economics Letters</t>
        </is>
      </c>
      <c r="B166" t="inlineStr">
        <is>
          <t>B</t>
        </is>
      </c>
      <c r="C166" t="n">
        <v>3801</v>
      </c>
      <c r="D166" t="inlineStr">
        <is>
          <t>Taylor &amp; Francis Online</t>
        </is>
      </c>
    </row>
    <row r="167">
      <c r="A167" t="inlineStr">
        <is>
          <t>Applied Economics Quarterly</t>
        </is>
      </c>
      <c r="B167" t="inlineStr">
        <is>
          <t>B</t>
        </is>
      </c>
      <c r="C167" t="n">
        <v>3801</v>
      </c>
      <c r="D167" t="inlineStr">
        <is>
          <t>Duncker &amp; Humblot Gmbh</t>
        </is>
      </c>
    </row>
    <row r="168">
      <c r="A168" t="inlineStr">
        <is>
          <t>Applied Energy</t>
        </is>
      </c>
      <c r="B168" t="inlineStr">
        <is>
          <t>A</t>
        </is>
      </c>
      <c r="C168" t="n">
        <v>3599</v>
      </c>
      <c r="D168" t="inlineStr">
        <is>
          <t>Elsevier</t>
        </is>
      </c>
    </row>
    <row r="169">
      <c r="A169" t="inlineStr">
        <is>
          <t>Applied Finance Letters</t>
        </is>
      </c>
      <c r="B169" t="inlineStr">
        <is>
          <t>B</t>
        </is>
      </c>
      <c r="C169" t="n">
        <v>3502</v>
      </c>
      <c r="D169" t="inlineStr">
        <is>
          <t>Auckland University of Technology</t>
        </is>
      </c>
    </row>
    <row r="170">
      <c r="A170" t="inlineStr">
        <is>
          <t>Applied Financial Economics</t>
        </is>
      </c>
      <c r="B170" t="inlineStr">
        <is>
          <t>B</t>
        </is>
      </c>
      <c r="C170" t="n">
        <v>3502</v>
      </c>
      <c r="D170" t="inlineStr">
        <is>
          <t>Taylor &amp; Francis Online</t>
        </is>
      </c>
    </row>
    <row r="171">
      <c r="A171" t="inlineStr">
        <is>
          <t>Applied Health Economics and Health Policy</t>
        </is>
      </c>
      <c r="B171" t="inlineStr">
        <is>
          <t>C</t>
        </is>
      </c>
      <c r="C171" t="n">
        <v>3801</v>
      </c>
      <c r="D171" t="inlineStr">
        <is>
          <t>Springer International Publishing</t>
        </is>
      </c>
    </row>
    <row r="172">
      <c r="A172" t="inlineStr">
        <is>
          <t>Applied Mathematical Finance</t>
        </is>
      </c>
      <c r="B172" t="inlineStr">
        <is>
          <t>B</t>
        </is>
      </c>
      <c r="C172" t="n">
        <v>3502</v>
      </c>
      <c r="D172" t="inlineStr">
        <is>
          <t>Taylor &amp; Francis Online</t>
        </is>
      </c>
    </row>
    <row r="173">
      <c r="A173" t="inlineStr">
        <is>
          <t>Applied Psychological Measurement</t>
        </is>
      </c>
      <c r="B173" t="inlineStr">
        <is>
          <t>B</t>
        </is>
      </c>
      <c r="C173" t="n">
        <v>3507</v>
      </c>
      <c r="D173" t="inlineStr">
        <is>
          <t>Sage Publications</t>
        </is>
      </c>
    </row>
    <row r="174">
      <c r="A174" t="inlineStr">
        <is>
          <t>Applied Psychology: An International Review</t>
        </is>
      </c>
      <c r="B174" t="inlineStr">
        <is>
          <t>A</t>
        </is>
      </c>
      <c r="C174" t="n">
        <v>3507</v>
      </c>
      <c r="D174" t="inlineStr">
        <is>
          <t>Wiley-Blackwell Publishing</t>
        </is>
      </c>
    </row>
    <row r="175">
      <c r="A175" t="inlineStr">
        <is>
          <t>Applied Research in Quality of Life</t>
        </is>
      </c>
      <c r="B175" t="inlineStr">
        <is>
          <t>B</t>
        </is>
      </c>
      <c r="C175" t="n">
        <v>3599</v>
      </c>
      <c r="D175" t="inlineStr">
        <is>
          <t>Springer Nature</t>
        </is>
      </c>
    </row>
    <row r="176">
      <c r="A176" t="inlineStr">
        <is>
          <t>Applied Stochastic Models in Business and Industry</t>
        </is>
      </c>
      <c r="B176" t="inlineStr">
        <is>
          <t>B</t>
        </is>
      </c>
      <c r="C176" t="n">
        <v>4905</v>
      </c>
      <c r="D176" t="inlineStr">
        <is>
          <t>Wiley-Blackwell Publishing</t>
        </is>
      </c>
    </row>
    <row r="177">
      <c r="A177" t="inlineStr">
        <is>
          <t>Appraisal Journal</t>
        </is>
      </c>
      <c r="B177" t="inlineStr">
        <is>
          <t>B</t>
        </is>
      </c>
      <c r="C177" t="n">
        <v>3504</v>
      </c>
      <c r="D177" t="inlineStr">
        <is>
          <t>Appraisal Institute</t>
        </is>
      </c>
    </row>
    <row r="178">
      <c r="A178" t="inlineStr">
        <is>
          <t>Aquaculture Economics and Management</t>
        </is>
      </c>
      <c r="B178" t="inlineStr">
        <is>
          <t>C</t>
        </is>
      </c>
      <c r="C178" t="n">
        <v>3801</v>
      </c>
      <c r="D178" t="inlineStr">
        <is>
          <t>Taylor &amp; Francis Online</t>
        </is>
      </c>
    </row>
    <row r="179">
      <c r="A179" t="inlineStr">
        <is>
          <t>Arizona Law Review</t>
        </is>
      </c>
      <c r="B179" t="inlineStr">
        <is>
          <t>B</t>
        </is>
      </c>
      <c r="C179" t="n">
        <v>4801</v>
      </c>
      <c r="D179" t="inlineStr">
        <is>
          <t>HeinOnline</t>
        </is>
      </c>
    </row>
    <row r="180">
      <c r="A180" t="inlineStr">
        <is>
          <t>Arkansas Business and Economic Review</t>
        </is>
      </c>
      <c r="B180" t="inlineStr">
        <is>
          <t>C</t>
        </is>
      </c>
      <c r="C180" t="n">
        <v>3801</v>
      </c>
      <c r="D180" t="inlineStr">
        <is>
          <t>University of Arkansas, Bureau of Business and Eco</t>
        </is>
      </c>
    </row>
    <row r="181">
      <c r="A181" t="inlineStr">
        <is>
          <t>Artha-Vikas: a journal of economic development</t>
        </is>
      </c>
      <c r="B181" t="inlineStr">
        <is>
          <t>C</t>
        </is>
      </c>
      <c r="C181" t="n">
        <v>3801</v>
      </c>
      <c r="D181" t="inlineStr">
        <is>
          <t>Sardar Patel University</t>
        </is>
      </c>
    </row>
    <row r="182">
      <c r="A182" t="inlineStr">
        <is>
          <t>Arts and the Market (formerly Arts Marketing)</t>
        </is>
      </c>
      <c r="B182" t="inlineStr">
        <is>
          <t>C</t>
        </is>
      </c>
      <c r="C182" t="n">
        <v>3506</v>
      </c>
      <c r="D182" t="inlineStr">
        <is>
          <t>Emerald Group Publishing</t>
        </is>
      </c>
    </row>
    <row r="183">
      <c r="A183" t="inlineStr">
        <is>
          <t>ASEAN Journal on Hospitality and Tourism</t>
        </is>
      </c>
      <c r="B183" t="inlineStr">
        <is>
          <t>C</t>
        </is>
      </c>
      <c r="C183" t="n">
        <v>3508</v>
      </c>
      <c r="D183" t="inlineStr">
        <is>
          <t>Institut Teknologi Bandung</t>
        </is>
      </c>
    </row>
    <row r="184">
      <c r="A184" t="inlineStr">
        <is>
          <t>Asia Europe Journal</t>
        </is>
      </c>
      <c r="B184" t="inlineStr">
        <is>
          <t>B</t>
        </is>
      </c>
      <c r="C184" t="n">
        <v>3599</v>
      </c>
      <c r="D184" t="inlineStr">
        <is>
          <t>Springer International Publishing</t>
        </is>
      </c>
    </row>
    <row r="185">
      <c r="A185" t="inlineStr">
        <is>
          <t>Asia Pacific Business Review</t>
        </is>
      </c>
      <c r="B185" t="inlineStr">
        <is>
          <t>B</t>
        </is>
      </c>
      <c r="C185" t="n">
        <v>3507</v>
      </c>
      <c r="D185" t="inlineStr">
        <is>
          <t>Taylor &amp; Francis Online</t>
        </is>
      </c>
    </row>
    <row r="186">
      <c r="A186" t="inlineStr">
        <is>
          <t>Asia Pacific Journal of Economics and Business</t>
        </is>
      </c>
      <c r="B186" t="inlineStr">
        <is>
          <t>B</t>
        </is>
      </c>
      <c r="C186" t="n">
        <v>3801</v>
      </c>
      <c r="D186" t="inlineStr">
        <is>
          <t>Taylor &amp; Francis Online</t>
        </is>
      </c>
    </row>
    <row r="187">
      <c r="A187" t="inlineStr">
        <is>
          <t>Asia Pacific Journal of Finance</t>
        </is>
      </c>
      <c r="B187" t="inlineStr">
        <is>
          <t>B</t>
        </is>
      </c>
      <c r="C187" t="n">
        <v>3502</v>
      </c>
      <c r="D187" t="inlineStr">
        <is>
          <t>Wiley-Blackwell Publishing</t>
        </is>
      </c>
    </row>
    <row r="188">
      <c r="A188" t="inlineStr">
        <is>
          <t>Asia Pacific Journal of Health Management</t>
        </is>
      </c>
      <c r="B188" t="inlineStr">
        <is>
          <t>C</t>
        </is>
      </c>
      <c r="C188" t="n">
        <v>3599</v>
      </c>
      <c r="D188" t="inlineStr">
        <is>
          <t>Australian College of Health Service Executives</t>
        </is>
      </c>
    </row>
    <row r="189">
      <c r="A189" t="inlineStr">
        <is>
          <t>Asia Pacific Journal of Information Systems</t>
        </is>
      </c>
      <c r="B189" t="inlineStr">
        <is>
          <t>B</t>
        </is>
      </c>
      <c r="C189" t="n">
        <v>4609</v>
      </c>
      <c r="D189" t="inlineStr">
        <is>
          <t>Korea Society of Management Information Systems</t>
        </is>
      </c>
    </row>
    <row r="190">
      <c r="A190" t="inlineStr">
        <is>
          <t>Asia Pacific Journal of Management</t>
        </is>
      </c>
      <c r="B190" t="inlineStr">
        <is>
          <t>A</t>
        </is>
      </c>
      <c r="C190" t="n">
        <v>3507</v>
      </c>
      <c r="D190" t="inlineStr">
        <is>
          <t>Springer International Publishing</t>
        </is>
      </c>
    </row>
    <row r="191">
      <c r="A191" t="inlineStr">
        <is>
          <t>Asia Pacific Journal of Marketing and Logistics</t>
        </is>
      </c>
      <c r="B191" t="inlineStr">
        <is>
          <t>A</t>
        </is>
      </c>
      <c r="C191" t="n">
        <v>3506</v>
      </c>
      <c r="D191" t="inlineStr">
        <is>
          <t>Emerald Group Publishing</t>
        </is>
      </c>
    </row>
    <row r="192">
      <c r="A192" t="inlineStr">
        <is>
          <t>Asia Pacific Journal of Taxation</t>
        </is>
      </c>
      <c r="B192" t="inlineStr">
        <is>
          <t>C</t>
        </is>
      </c>
      <c r="C192" t="n">
        <v>4801</v>
      </c>
      <c r="D192" t="inlineStr">
        <is>
          <t>Hong Kong Polytechnic University</t>
        </is>
      </c>
    </row>
    <row r="193">
      <c r="A193" t="inlineStr">
        <is>
          <t>Asia Pacific Journal of Tourism Research</t>
        </is>
      </c>
      <c r="B193" t="inlineStr">
        <is>
          <t>A</t>
        </is>
      </c>
      <c r="C193" t="n">
        <v>3508</v>
      </c>
      <c r="D193" t="inlineStr">
        <is>
          <t>Taylor &amp; Francis Online</t>
        </is>
      </c>
    </row>
    <row r="194">
      <c r="A194" t="inlineStr">
        <is>
          <t>Asia Pacific Law Review</t>
        </is>
      </c>
      <c r="B194" t="inlineStr">
        <is>
          <t>C</t>
        </is>
      </c>
      <c r="C194" t="n">
        <v>4801</v>
      </c>
      <c r="D194" t="inlineStr">
        <is>
          <t>Taylor &amp; Francis Online</t>
        </is>
      </c>
    </row>
    <row r="195">
      <c r="A195" t="inlineStr">
        <is>
          <t>Asia Pacific Public Relations Journal</t>
        </is>
      </c>
      <c r="B195" t="inlineStr">
        <is>
          <t>B</t>
        </is>
      </c>
      <c r="C195" t="n">
        <v>3506</v>
      </c>
      <c r="D195" t="inlineStr">
        <is>
          <t>University of Newcastle</t>
        </is>
      </c>
    </row>
    <row r="196">
      <c r="A196" t="inlineStr">
        <is>
          <t>Asia Pacific Sustainable Development Journal</t>
        </is>
      </c>
      <c r="B196" t="inlineStr">
        <is>
          <t>B</t>
        </is>
      </c>
      <c r="C196" t="n">
        <v>3899</v>
      </c>
      <c r="D196" t="inlineStr">
        <is>
          <t>United Nations ESCAP</t>
        </is>
      </c>
    </row>
    <row r="197">
      <c r="A197" t="inlineStr">
        <is>
          <t>Asia-Pacific Financial Markets</t>
        </is>
      </c>
      <c r="B197" t="inlineStr">
        <is>
          <t>C</t>
        </is>
      </c>
      <c r="C197" t="n">
        <v>3502</v>
      </c>
      <c r="D197" t="inlineStr">
        <is>
          <t>Springer International Publishing</t>
        </is>
      </c>
    </row>
    <row r="198">
      <c r="A198" t="inlineStr">
        <is>
          <t>Asia-Pacific Journal of Accounting and Economics</t>
        </is>
      </c>
      <c r="B198" t="inlineStr">
        <is>
          <t>B</t>
        </is>
      </c>
      <c r="C198" t="n">
        <v>3501</v>
      </c>
      <c r="D198" t="inlineStr">
        <is>
          <t>Taylor &amp; Francis Online</t>
        </is>
      </c>
    </row>
    <row r="199">
      <c r="A199" t="inlineStr">
        <is>
          <t>Asia-Pacific Journal of Business Administration</t>
        </is>
      </c>
      <c r="B199" t="inlineStr">
        <is>
          <t>B</t>
        </is>
      </c>
      <c r="C199" t="n">
        <v>3507</v>
      </c>
      <c r="D199" t="inlineStr">
        <is>
          <t>Emerald Group Publishing</t>
        </is>
      </c>
    </row>
    <row r="200">
      <c r="A200" t="inlineStr">
        <is>
          <t>Asia-Pacific Journal of Financial Studies</t>
        </is>
      </c>
      <c r="B200" t="inlineStr">
        <is>
          <t>B</t>
        </is>
      </c>
      <c r="C200" t="n">
        <v>3502</v>
      </c>
      <c r="D200" t="inlineStr">
        <is>
          <t>Wiley-Blackwell Publishing</t>
        </is>
      </c>
    </row>
    <row r="201">
      <c r="A201" t="inlineStr">
        <is>
          <t>Asia-Pacific Journal of Human Resources</t>
        </is>
      </c>
      <c r="B201" t="inlineStr">
        <is>
          <t>A</t>
        </is>
      </c>
      <c r="C201" t="n">
        <v>3505</v>
      </c>
      <c r="D201" t="inlineStr">
        <is>
          <t>Wiley-Blackwell Publishing</t>
        </is>
      </c>
    </row>
    <row r="202">
      <c r="A202" t="inlineStr">
        <is>
          <t>Asia-Pacific Journal of Innovation in Hospitality and Tourism</t>
        </is>
      </c>
      <c r="B202" t="inlineStr">
        <is>
          <t>C</t>
        </is>
      </c>
      <c r="C202" t="n">
        <v>3508</v>
      </c>
      <c r="D202" t="inlineStr">
        <is>
          <t>Taylors' University, Malaysia</t>
        </is>
      </c>
    </row>
    <row r="203">
      <c r="A203" t="inlineStr">
        <is>
          <t>Asia-Pacific Journal of Risk and Insurance</t>
        </is>
      </c>
      <c r="B203" t="inlineStr">
        <is>
          <t>B</t>
        </is>
      </c>
      <c r="C203" t="n">
        <v>3502</v>
      </c>
      <c r="D203" t="inlineStr">
        <is>
          <t>De Gruyter</t>
        </is>
      </c>
    </row>
    <row r="204">
      <c r="A204" t="inlineStr">
        <is>
          <t>Asia-Pacific Management Accounting Journal</t>
        </is>
      </c>
      <c r="B204" t="inlineStr">
        <is>
          <t>C</t>
        </is>
      </c>
      <c r="C204" t="n">
        <v>3501</v>
      </c>
      <c r="D204" t="inlineStr">
        <is>
          <t>Universiti Teknologi MARA (UiTM) Press</t>
        </is>
      </c>
    </row>
    <row r="205">
      <c r="A205" t="inlineStr">
        <is>
          <t>Asia-Pacific Management Review</t>
        </is>
      </c>
      <c r="B205" t="inlineStr">
        <is>
          <t>C</t>
        </is>
      </c>
      <c r="C205" t="n">
        <v>3507</v>
      </c>
      <c r="D205" t="inlineStr">
        <is>
          <t>Elsevier</t>
        </is>
      </c>
    </row>
    <row r="206">
      <c r="A206" t="inlineStr">
        <is>
          <t>Asia-Pacific Tax Bulletin</t>
        </is>
      </c>
      <c r="B206" t="inlineStr">
        <is>
          <t>C</t>
        </is>
      </c>
      <c r="C206" t="n">
        <v>4801</v>
      </c>
      <c r="D206" t="inlineStr">
        <is>
          <t>International Bureau of Fiscal Documentation</t>
        </is>
      </c>
    </row>
    <row r="207">
      <c r="A207" t="inlineStr">
        <is>
          <t>Asian Academy of Management Journal</t>
        </is>
      </c>
      <c r="B207" t="inlineStr">
        <is>
          <t>C</t>
        </is>
      </c>
      <c r="C207" t="n">
        <v>3507</v>
      </c>
      <c r="D207" t="inlineStr">
        <is>
          <t>Penerbit Universiti Sains Malaysia</t>
        </is>
      </c>
    </row>
    <row r="208">
      <c r="A208" t="inlineStr">
        <is>
          <t>Asian Academy of Management Journal of Accounting and Finance</t>
        </is>
      </c>
      <c r="B208" t="inlineStr">
        <is>
          <t>C</t>
        </is>
      </c>
      <c r="C208" t="n">
        <v>3501</v>
      </c>
      <c r="D208" t="inlineStr">
        <is>
          <t>Asian Academy of Management / Penerbit Universiti Sains Malaysia</t>
        </is>
      </c>
    </row>
    <row r="209">
      <c r="A209" t="inlineStr">
        <is>
          <t>Asian and Pacific Economic Review</t>
        </is>
      </c>
      <c r="B209" t="inlineStr">
        <is>
          <t>C</t>
        </is>
      </c>
      <c r="C209" t="n">
        <v>3801</v>
      </c>
      <c r="D209" t="inlineStr">
        <is>
          <t>ya tai jing ji bian ji bu</t>
        </is>
      </c>
    </row>
    <row r="210">
      <c r="A210" t="inlineStr">
        <is>
          <t>Asian and Pacific Migration Journal</t>
        </is>
      </c>
      <c r="B210" t="inlineStr">
        <is>
          <t>C</t>
        </is>
      </c>
      <c r="C210" t="n">
        <v>3599</v>
      </c>
      <c r="D210" t="inlineStr">
        <is>
          <t>Sage Publications</t>
        </is>
      </c>
    </row>
    <row r="211">
      <c r="A211" t="inlineStr">
        <is>
          <t>Asian Business and Management</t>
        </is>
      </c>
      <c r="B211" t="inlineStr">
        <is>
          <t>C</t>
        </is>
      </c>
      <c r="C211" t="n">
        <v>3507</v>
      </c>
      <c r="D211" t="inlineStr">
        <is>
          <t>Springer International Publishing</t>
        </is>
      </c>
    </row>
    <row r="212">
      <c r="A212" t="inlineStr">
        <is>
          <t>Asian Development Review</t>
        </is>
      </c>
      <c r="B212" t="inlineStr">
        <is>
          <t>C</t>
        </is>
      </c>
      <c r="C212" t="n">
        <v>3801</v>
      </c>
      <c r="D212" t="inlineStr">
        <is>
          <t>MIT Press</t>
        </is>
      </c>
    </row>
    <row r="213">
      <c r="A213" t="inlineStr">
        <is>
          <t>Asian Economic Journal</t>
        </is>
      </c>
      <c r="B213" t="inlineStr">
        <is>
          <t>B</t>
        </is>
      </c>
      <c r="C213" t="n">
        <v>3801</v>
      </c>
      <c r="D213" t="inlineStr">
        <is>
          <t>Wiley-Blackwell Publishing</t>
        </is>
      </c>
    </row>
    <row r="214">
      <c r="A214" t="inlineStr">
        <is>
          <t>Asian Economic Papers</t>
        </is>
      </c>
      <c r="B214" t="inlineStr">
        <is>
          <t>B</t>
        </is>
      </c>
      <c r="C214" t="n">
        <v>3801</v>
      </c>
      <c r="D214" t="inlineStr">
        <is>
          <t>MIT Press</t>
        </is>
      </c>
    </row>
    <row r="215">
      <c r="A215" t="inlineStr">
        <is>
          <t>Asian Economic Policy Review</t>
        </is>
      </c>
      <c r="B215" t="inlineStr">
        <is>
          <t>C</t>
        </is>
      </c>
      <c r="C215" t="n">
        <v>3801</v>
      </c>
      <c r="D215" t="inlineStr">
        <is>
          <t>Wiley-Blackwell Publishing</t>
        </is>
      </c>
    </row>
    <row r="216">
      <c r="A216" t="inlineStr">
        <is>
          <t>Asian Economics Letters</t>
        </is>
      </c>
      <c r="B216" t="inlineStr">
        <is>
          <t>C</t>
        </is>
      </c>
      <c r="C216" t="n">
        <v>3801</v>
      </c>
      <c r="D216" t="inlineStr">
        <is>
          <t>Asia-Pacific Applied Economics Association</t>
        </is>
      </c>
    </row>
    <row r="217">
      <c r="A217" t="inlineStr">
        <is>
          <t>Asian Economies</t>
        </is>
      </c>
      <c r="B217" t="inlineStr">
        <is>
          <t>C</t>
        </is>
      </c>
      <c r="C217" t="n">
        <v>3801</v>
      </c>
      <c r="D217" t="inlineStr">
        <is>
          <t>Ajia Keizai Kenkyujo</t>
        </is>
      </c>
    </row>
    <row r="218">
      <c r="A218" t="inlineStr">
        <is>
          <t>Asian Journal of Accounting and Governance</t>
        </is>
      </c>
      <c r="B218" t="inlineStr">
        <is>
          <t>C</t>
        </is>
      </c>
      <c r="C218" t="n">
        <v>3501</v>
      </c>
      <c r="D218" t="inlineStr">
        <is>
          <t>Universiti Kebangsaan Malaysia (UKM) Press</t>
        </is>
      </c>
    </row>
    <row r="219">
      <c r="A219" t="inlineStr">
        <is>
          <t>Asian Journal of Accounting Research</t>
        </is>
      </c>
      <c r="B219" t="inlineStr">
        <is>
          <t>B</t>
        </is>
      </c>
      <c r="C219" t="n">
        <v>3501</v>
      </c>
      <c r="D219" t="inlineStr">
        <is>
          <t>Emerald Group Publishing</t>
        </is>
      </c>
    </row>
    <row r="220">
      <c r="A220" t="inlineStr">
        <is>
          <t>Asian Journal of Agriculture and Development</t>
        </is>
      </c>
      <c r="B220" t="inlineStr">
        <is>
          <t>C</t>
        </is>
      </c>
      <c r="C220" t="n">
        <v>3899</v>
      </c>
      <c r="D220" t="inlineStr">
        <is>
          <t>Southeast Asian Regional Center for Graduate Study and Research in Agriculture</t>
        </is>
      </c>
    </row>
    <row r="221">
      <c r="A221" t="inlineStr">
        <is>
          <t>Asian Journal of Business and Accounting</t>
        </is>
      </c>
      <c r="B221" t="inlineStr">
        <is>
          <t>C</t>
        </is>
      </c>
      <c r="C221" t="n">
        <v>3501</v>
      </c>
      <c r="D221" t="inlineStr">
        <is>
          <t>University of Malaya</t>
        </is>
      </c>
    </row>
    <row r="222">
      <c r="A222" t="inlineStr">
        <is>
          <t>Asian Journal of Business Ethics</t>
        </is>
      </c>
      <c r="B222" t="inlineStr">
        <is>
          <t>C</t>
        </is>
      </c>
      <c r="C222" t="n">
        <v>3507</v>
      </c>
      <c r="D222" t="inlineStr">
        <is>
          <t>Springer International Publishing</t>
        </is>
      </c>
    </row>
    <row r="223">
      <c r="A223" t="inlineStr">
        <is>
          <t>Asian Journal of Business Research</t>
        </is>
      </c>
      <c r="B223" t="inlineStr">
        <is>
          <t>C</t>
        </is>
      </c>
      <c r="C223" t="n">
        <v>3506</v>
      </c>
      <c r="D223" t="inlineStr">
        <is>
          <t>Asia Business Research Corporation Limited</t>
        </is>
      </c>
    </row>
    <row r="224">
      <c r="A224" t="inlineStr">
        <is>
          <t>Asian Journal of International Law</t>
        </is>
      </c>
      <c r="B224" t="inlineStr">
        <is>
          <t>C</t>
        </is>
      </c>
      <c r="C224" t="n">
        <v>4801</v>
      </c>
      <c r="D224" t="inlineStr">
        <is>
          <t>Cambridge University Press</t>
        </is>
      </c>
    </row>
    <row r="225">
      <c r="A225" t="inlineStr">
        <is>
          <t>Asian Journal of Management Cases</t>
        </is>
      </c>
      <c r="B225" t="inlineStr">
        <is>
          <t>C</t>
        </is>
      </c>
      <c r="C225" t="n">
        <v>3501</v>
      </c>
      <c r="D225" t="inlineStr">
        <is>
          <t>Sage Publications</t>
        </is>
      </c>
    </row>
    <row r="226">
      <c r="A226" t="inlineStr">
        <is>
          <t>Asian Journal of Marketing (SING)</t>
        </is>
      </c>
      <c r="B226" t="inlineStr">
        <is>
          <t>C</t>
        </is>
      </c>
      <c r="C226" t="n">
        <v>3506</v>
      </c>
      <c r="D226" t="inlineStr">
        <is>
          <t>Marketing Institute of Singapore and Faculty of Business Administration, National University of Singapore</t>
        </is>
      </c>
    </row>
    <row r="227">
      <c r="A227" t="inlineStr">
        <is>
          <t>Asian Journal of Political Science</t>
        </is>
      </c>
      <c r="B227" t="inlineStr">
        <is>
          <t>B</t>
        </is>
      </c>
      <c r="C227" t="n">
        <v>3599</v>
      </c>
      <c r="D227" t="inlineStr">
        <is>
          <t>Taylor &amp; Francis Online</t>
        </is>
      </c>
    </row>
    <row r="228">
      <c r="A228" t="inlineStr">
        <is>
          <t>Asian Journal of Social Science</t>
        </is>
      </c>
      <c r="B228" t="inlineStr">
        <is>
          <t>C</t>
        </is>
      </c>
      <c r="C228" t="n">
        <v>3599</v>
      </c>
      <c r="D228" t="inlineStr">
        <is>
          <t>Elsevier</t>
        </is>
      </c>
    </row>
    <row r="229">
      <c r="A229" t="inlineStr">
        <is>
          <t>Asian Population Studies</t>
        </is>
      </c>
      <c r="B229" t="inlineStr">
        <is>
          <t>B</t>
        </is>
      </c>
      <c r="C229" t="n">
        <v>3599</v>
      </c>
      <c r="D229" t="inlineStr">
        <is>
          <t>Taylor &amp; Francis Online</t>
        </is>
      </c>
    </row>
    <row r="230">
      <c r="A230" t="inlineStr">
        <is>
          <t>Asian Review of Accounting</t>
        </is>
      </c>
      <c r="B230" t="inlineStr">
        <is>
          <t>B</t>
        </is>
      </c>
      <c r="C230" t="n">
        <v>3501</v>
      </c>
      <c r="D230" t="inlineStr">
        <is>
          <t>Emerald Group Publishing</t>
        </is>
      </c>
    </row>
    <row r="231">
      <c r="A231" t="inlineStr">
        <is>
          <t>Asian Survey</t>
        </is>
      </c>
      <c r="B231" t="inlineStr">
        <is>
          <t>C</t>
        </is>
      </c>
      <c r="C231" t="n">
        <v>3599</v>
      </c>
      <c r="D231" t="inlineStr">
        <is>
          <t>University of California Press</t>
        </is>
      </c>
    </row>
    <row r="232">
      <c r="A232" t="inlineStr">
        <is>
          <t>Asian-Pacific Economic Literature</t>
        </is>
      </c>
      <c r="B232" t="inlineStr">
        <is>
          <t>C</t>
        </is>
      </c>
      <c r="C232" t="n">
        <v>3801</v>
      </c>
      <c r="D232" t="inlineStr">
        <is>
          <t>Wiley-Blackwell Publishing</t>
        </is>
      </c>
    </row>
    <row r="233">
      <c r="A233" t="inlineStr">
        <is>
          <t>ASOR Bulletin</t>
        </is>
      </c>
      <c r="B233" t="inlineStr">
        <is>
          <t>C</t>
        </is>
      </c>
      <c r="C233" t="n">
        <v>3509</v>
      </c>
      <c r="D233" t="inlineStr">
        <is>
          <t>Australian Society for Operations Reseach Inc.</t>
        </is>
      </c>
    </row>
    <row r="234">
      <c r="A234" t="inlineStr">
        <is>
          <t>Asper Review of International Business and Trade Law</t>
        </is>
      </c>
      <c r="B234" t="inlineStr">
        <is>
          <t>C</t>
        </is>
      </c>
      <c r="C234" t="n">
        <v>4801</v>
      </c>
      <c r="D234" t="inlineStr">
        <is>
          <t>University of Manitoba, Faculty of Law</t>
        </is>
      </c>
    </row>
    <row r="235">
      <c r="A235" t="inlineStr">
        <is>
          <t>AStA Advances in Statistical Analysis</t>
        </is>
      </c>
      <c r="B235" t="inlineStr">
        <is>
          <t>C</t>
        </is>
      </c>
      <c r="C235" t="n">
        <v>4905</v>
      </c>
      <c r="D235" t="inlineStr">
        <is>
          <t>Springer Nature</t>
        </is>
      </c>
    </row>
    <row r="236">
      <c r="A236" t="inlineStr">
        <is>
          <t>ASTIN Bulletin</t>
        </is>
      </c>
      <c r="B236" t="inlineStr">
        <is>
          <t>A*</t>
        </is>
      </c>
      <c r="C236" t="n">
        <v>3502</v>
      </c>
      <c r="D236" t="inlineStr">
        <is>
          <t>Cambridge University Press</t>
        </is>
      </c>
    </row>
    <row r="237">
      <c r="A237" t="inlineStr">
        <is>
          <t>ATA Journal of Legal Tax Research</t>
        </is>
      </c>
      <c r="B237" t="inlineStr">
        <is>
          <t>C</t>
        </is>
      </c>
      <c r="C237" t="n">
        <v>4801</v>
      </c>
      <c r="D237" t="inlineStr">
        <is>
          <t>American Accounting Association</t>
        </is>
      </c>
    </row>
    <row r="238">
      <c r="A238" t="inlineStr">
        <is>
          <t>Atlantic Economic Journal</t>
        </is>
      </c>
      <c r="B238" t="inlineStr">
        <is>
          <t>C</t>
        </is>
      </c>
      <c r="C238" t="n">
        <v>3801</v>
      </c>
      <c r="D238" t="inlineStr">
        <is>
          <t>Springer International Publishing</t>
        </is>
      </c>
    </row>
    <row r="239">
      <c r="A239" t="inlineStr">
        <is>
          <t>Auckland University Law Review</t>
        </is>
      </c>
      <c r="B239" t="inlineStr">
        <is>
          <t>C</t>
        </is>
      </c>
      <c r="C239" t="n">
        <v>4801</v>
      </c>
      <c r="D239" t="inlineStr">
        <is>
          <t>Auckland University Law Students' Society</t>
        </is>
      </c>
    </row>
    <row r="240">
      <c r="A240" t="inlineStr">
        <is>
          <t>Audit Financiar</t>
        </is>
      </c>
      <c r="B240" t="inlineStr">
        <is>
          <t>C</t>
        </is>
      </c>
      <c r="C240" t="n">
        <v>3501</v>
      </c>
      <c r="D240" t="inlineStr">
        <is>
          <t>Chamber of Financial Auditors in Romania</t>
        </is>
      </c>
    </row>
    <row r="241">
      <c r="A241" t="inlineStr">
        <is>
          <t>Auditing: A Journal of Practice and Theory</t>
        </is>
      </c>
      <c r="B241" t="inlineStr">
        <is>
          <t>A*</t>
        </is>
      </c>
      <c r="C241" t="n">
        <v>3501</v>
      </c>
      <c r="D241" t="inlineStr">
        <is>
          <t>American Accounting Association</t>
        </is>
      </c>
    </row>
    <row r="242">
      <c r="A242" t="inlineStr">
        <is>
          <t>Australasian Accounting Business and Finance Journal</t>
        </is>
      </c>
      <c r="B242" t="inlineStr">
        <is>
          <t>B</t>
        </is>
      </c>
      <c r="C242" t="n">
        <v>3501</v>
      </c>
      <c r="D242" t="inlineStr">
        <is>
          <t>University of Wollongong</t>
        </is>
      </c>
    </row>
    <row r="243">
      <c r="A243" t="inlineStr">
        <is>
          <t>Australasian Agribusiness Review</t>
        </is>
      </c>
      <c r="B243" t="inlineStr">
        <is>
          <t>C</t>
        </is>
      </c>
      <c r="C243" t="n">
        <v>3599</v>
      </c>
      <c r="D243" t="inlineStr">
        <is>
          <t>University of New England</t>
        </is>
      </c>
    </row>
    <row r="244">
      <c r="A244" t="inlineStr">
        <is>
          <t>Australasian Dispute Resolution Journal</t>
        </is>
      </c>
      <c r="B244" t="inlineStr">
        <is>
          <t>C</t>
        </is>
      </c>
      <c r="C244" t="n">
        <v>4801</v>
      </c>
      <c r="D244" t="inlineStr">
        <is>
          <t>Thomson Reuters</t>
        </is>
      </c>
    </row>
    <row r="245">
      <c r="A245" t="inlineStr">
        <is>
          <t>Australasian Journal of Economics Education</t>
        </is>
      </c>
      <c r="B245" t="inlineStr">
        <is>
          <t>C</t>
        </is>
      </c>
      <c r="C245" t="n">
        <v>3801</v>
      </c>
      <c r="D245" t="inlineStr">
        <is>
          <t>University of Queensland</t>
        </is>
      </c>
    </row>
    <row r="246">
      <c r="A246" t="inlineStr">
        <is>
          <t>Australasian Journal of Information Systems</t>
        </is>
      </c>
      <c r="B246" t="inlineStr">
        <is>
          <t>A</t>
        </is>
      </c>
      <c r="C246" t="n">
        <v>4609</v>
      </c>
      <c r="D246" t="inlineStr">
        <is>
          <t>Australasian Association for Information Systems (AAIS)</t>
        </is>
      </c>
    </row>
    <row r="247">
      <c r="A247" t="inlineStr">
        <is>
          <t>Australasian Journal of Natural Resources Law and Policy</t>
        </is>
      </c>
      <c r="B247" t="inlineStr">
        <is>
          <t>B</t>
        </is>
      </c>
      <c r="C247" t="n">
        <v>4801</v>
      </c>
      <c r="D247" t="inlineStr">
        <is>
          <t>University of Wollongong</t>
        </is>
      </c>
    </row>
    <row r="248">
      <c r="A248" t="inlineStr">
        <is>
          <t>Australasian Journal of Regional Studies</t>
        </is>
      </c>
      <c r="B248" t="inlineStr">
        <is>
          <t>B</t>
        </is>
      </c>
      <c r="C248" t="n">
        <v>3599</v>
      </c>
      <c r="D248" t="inlineStr">
        <is>
          <t>Australian and New Zealand Regional Science Association</t>
        </is>
      </c>
    </row>
    <row r="249">
      <c r="A249" t="inlineStr">
        <is>
          <t>Australasian Journal on Ageing</t>
        </is>
      </c>
      <c r="B249" t="inlineStr">
        <is>
          <t>B</t>
        </is>
      </c>
      <c r="C249" t="n">
        <v>3599</v>
      </c>
      <c r="D249" t="inlineStr">
        <is>
          <t>Wiley-Blackwell Publishing</t>
        </is>
      </c>
    </row>
    <row r="250">
      <c r="A250" t="inlineStr">
        <is>
          <t>Australasian Marketing Journal</t>
        </is>
      </c>
      <c r="B250" t="inlineStr">
        <is>
          <t>A</t>
        </is>
      </c>
      <c r="C250" t="n">
        <v>3506</v>
      </c>
      <c r="D250" t="inlineStr">
        <is>
          <t>Sage Publications</t>
        </is>
      </c>
    </row>
    <row r="251">
      <c r="A251" t="inlineStr">
        <is>
          <t>Australian Accounting Review</t>
        </is>
      </c>
      <c r="B251" t="inlineStr">
        <is>
          <t>B</t>
        </is>
      </c>
      <c r="C251" t="n">
        <v>3501</v>
      </c>
      <c r="D251" t="inlineStr">
        <is>
          <t>Wiley-Blackwell Publishing</t>
        </is>
      </c>
    </row>
    <row r="252">
      <c r="A252" t="inlineStr">
        <is>
          <t>Australian and New Zealand Journal of Criminology</t>
        </is>
      </c>
      <c r="B252" t="inlineStr">
        <is>
          <t>A</t>
        </is>
      </c>
      <c r="C252" t="n">
        <v>4801</v>
      </c>
      <c r="D252" t="inlineStr">
        <is>
          <t>Sage Publications</t>
        </is>
      </c>
    </row>
    <row r="253">
      <c r="A253" t="inlineStr">
        <is>
          <t>Australian and New Zealand Journal of Statistics</t>
        </is>
      </c>
      <c r="B253" t="inlineStr">
        <is>
          <t>A</t>
        </is>
      </c>
      <c r="C253" t="n">
        <v>4905</v>
      </c>
      <c r="D253" t="inlineStr">
        <is>
          <t>Wiley-Blackwell Publishing</t>
        </is>
      </c>
    </row>
    <row r="254">
      <c r="A254" t="inlineStr">
        <is>
          <t>Australian Bar Review</t>
        </is>
      </c>
      <c r="B254" t="inlineStr">
        <is>
          <t>A</t>
        </is>
      </c>
      <c r="C254" t="n">
        <v>4801</v>
      </c>
      <c r="D254" t="inlineStr">
        <is>
          <t>LexisNexis</t>
        </is>
      </c>
    </row>
    <row r="255">
      <c r="A255" t="inlineStr">
        <is>
          <t>Australian Business Law Review</t>
        </is>
      </c>
      <c r="B255" t="inlineStr">
        <is>
          <t>A</t>
        </is>
      </c>
      <c r="C255" t="n">
        <v>4801</v>
      </c>
      <c r="D255" t="inlineStr">
        <is>
          <t>Thomson Reuters</t>
        </is>
      </c>
    </row>
    <row r="256">
      <c r="A256" t="inlineStr">
        <is>
          <t>Australian Commodities</t>
        </is>
      </c>
      <c r="B256" t="inlineStr">
        <is>
          <t>C</t>
        </is>
      </c>
      <c r="C256" t="n">
        <v>3801</v>
      </c>
      <c r="D256" t="inlineStr">
        <is>
          <t>Australian Bureau of Agricultural and Resource Economics</t>
        </is>
      </c>
    </row>
    <row r="257">
      <c r="A257" t="inlineStr">
        <is>
          <t>Asia‐Pacific Economic History Review</t>
        </is>
      </c>
      <c r="B257" t="inlineStr">
        <is>
          <t>B</t>
        </is>
      </c>
      <c r="C257" t="n">
        <v>3801</v>
      </c>
      <c r="D257" t="inlineStr">
        <is>
          <t>Wiley-Blackwell Publishing</t>
        </is>
      </c>
    </row>
    <row r="258">
      <c r="A258" t="inlineStr">
        <is>
          <t>Australian Economic Papers</t>
        </is>
      </c>
      <c r="B258" t="inlineStr">
        <is>
          <t>B</t>
        </is>
      </c>
      <c r="C258" t="n">
        <v>3801</v>
      </c>
      <c r="D258" t="inlineStr">
        <is>
          <t>Wiley-Blackwell Publishing</t>
        </is>
      </c>
    </row>
    <row r="259">
      <c r="A259" t="inlineStr">
        <is>
          <t>Australian GST Journal</t>
        </is>
      </c>
      <c r="B259" t="inlineStr">
        <is>
          <t>C</t>
        </is>
      </c>
      <c r="C259" t="n">
        <v>4801</v>
      </c>
      <c r="D259" t="inlineStr">
        <is>
          <t>Thomson Reuters</t>
        </is>
      </c>
    </row>
    <row r="260">
      <c r="A260" t="inlineStr">
        <is>
          <t>Australian Intellectual Property Journal</t>
        </is>
      </c>
      <c r="B260" t="inlineStr">
        <is>
          <t>B</t>
        </is>
      </c>
      <c r="C260" t="n">
        <v>4801</v>
      </c>
      <c r="D260" t="inlineStr">
        <is>
          <t>Thomson Reuters</t>
        </is>
      </c>
    </row>
    <row r="261">
      <c r="A261" t="inlineStr">
        <is>
          <t>Australian Journal of Actuarial Practice (formerly Australian Actuarial Journal)</t>
        </is>
      </c>
      <c r="B261" t="inlineStr">
        <is>
          <t>C</t>
        </is>
      </c>
      <c r="C261" t="n">
        <v>3502</v>
      </c>
      <c r="D261" t="inlineStr">
        <is>
          <t>Institute of Actuaries of Australia</t>
        </is>
      </c>
    </row>
    <row r="262">
      <c r="A262" t="inlineStr">
        <is>
          <t>Australian Journal of Asian Law</t>
        </is>
      </c>
      <c r="B262" t="inlineStr">
        <is>
          <t>C</t>
        </is>
      </c>
      <c r="C262" t="n">
        <v>4801</v>
      </c>
      <c r="D262" t="inlineStr">
        <is>
          <t>Federation Press</t>
        </is>
      </c>
    </row>
    <row r="263">
      <c r="A263" t="inlineStr">
        <is>
          <t>Australian Journal of Career Development</t>
        </is>
      </c>
      <c r="B263" t="inlineStr">
        <is>
          <t>B</t>
        </is>
      </c>
      <c r="C263" t="n">
        <v>3505</v>
      </c>
      <c r="D263" t="inlineStr">
        <is>
          <t>Sage Publications</t>
        </is>
      </c>
    </row>
    <row r="264">
      <c r="A264" t="inlineStr">
        <is>
          <t>Australian Journal of Competition and Consumer Law (formerly Trade Practices Law Journal)</t>
        </is>
      </c>
      <c r="B264" t="inlineStr">
        <is>
          <t>B</t>
        </is>
      </c>
      <c r="C264" t="n">
        <v>4801</v>
      </c>
      <c r="D264" t="inlineStr">
        <is>
          <t>Thomson Reuters</t>
        </is>
      </c>
    </row>
    <row r="265">
      <c r="A265" t="inlineStr">
        <is>
          <t>Australian Journal of Corporate Law</t>
        </is>
      </c>
      <c r="B265" t="inlineStr">
        <is>
          <t>A</t>
        </is>
      </c>
      <c r="C265" t="n">
        <v>4801</v>
      </c>
      <c r="D265" t="inlineStr">
        <is>
          <t>LexisNexis</t>
        </is>
      </c>
    </row>
    <row r="266">
      <c r="A266" t="inlineStr">
        <is>
          <t>Australian Journal of Environmental Education</t>
        </is>
      </c>
      <c r="B266" t="inlineStr">
        <is>
          <t>B</t>
        </is>
      </c>
      <c r="C266" t="n">
        <v>3507</v>
      </c>
      <c r="D266" t="inlineStr">
        <is>
          <t>Cambridge University Press</t>
        </is>
      </c>
    </row>
    <row r="267">
      <c r="A267" t="inlineStr">
        <is>
          <t>Australian Journal of Human Rights</t>
        </is>
      </c>
      <c r="B267" t="inlineStr">
        <is>
          <t>B</t>
        </is>
      </c>
      <c r="C267" t="n">
        <v>3599</v>
      </c>
      <c r="D267" t="inlineStr">
        <is>
          <t>University of New South Wales</t>
        </is>
      </c>
    </row>
    <row r="268">
      <c r="A268" t="inlineStr">
        <is>
          <t>Australian Journal of International Affairs</t>
        </is>
      </c>
      <c r="B268" t="inlineStr">
        <is>
          <t>A</t>
        </is>
      </c>
      <c r="C268" t="n">
        <v>3599</v>
      </c>
      <c r="D268" t="inlineStr">
        <is>
          <t>Taylor &amp; Francis Online</t>
        </is>
      </c>
    </row>
    <row r="269">
      <c r="A269" t="inlineStr">
        <is>
          <t>Australian Journal of Labour Economics: a journal of labour economics and labour relations</t>
        </is>
      </c>
      <c r="B269" t="inlineStr">
        <is>
          <t>B</t>
        </is>
      </c>
      <c r="C269" t="n">
        <v>3801</v>
      </c>
      <c r="D269" t="inlineStr">
        <is>
          <t>Centre for Labour Market Research</t>
        </is>
      </c>
    </row>
    <row r="270">
      <c r="A270" t="inlineStr">
        <is>
          <t>Australian Journal of Labour Law</t>
        </is>
      </c>
      <c r="B270" t="inlineStr">
        <is>
          <t>A</t>
        </is>
      </c>
      <c r="C270" t="n">
        <v>4801</v>
      </c>
      <c r="D270" t="inlineStr">
        <is>
          <t>LexisNexis</t>
        </is>
      </c>
    </row>
    <row r="271">
      <c r="A271" t="inlineStr">
        <is>
          <t>Australian Journal of Management</t>
        </is>
      </c>
      <c r="B271" t="inlineStr">
        <is>
          <t>A</t>
        </is>
      </c>
      <c r="C271" t="n">
        <v>3502</v>
      </c>
      <c r="D271" t="inlineStr">
        <is>
          <t>Sage Publications</t>
        </is>
      </c>
    </row>
    <row r="272">
      <c r="A272" t="inlineStr">
        <is>
          <t>Australian Journal of Political Science</t>
        </is>
      </c>
      <c r="B272" t="inlineStr">
        <is>
          <t>A</t>
        </is>
      </c>
      <c r="C272" t="n">
        <v>3599</v>
      </c>
      <c r="D272" t="inlineStr">
        <is>
          <t>Taylor &amp; Francis Online</t>
        </is>
      </c>
    </row>
    <row r="273">
      <c r="A273" t="inlineStr">
        <is>
          <t>Australian Journal of Public Administration</t>
        </is>
      </c>
      <c r="B273" t="inlineStr">
        <is>
          <t>A</t>
        </is>
      </c>
      <c r="C273" t="n">
        <v>3599</v>
      </c>
      <c r="D273" t="inlineStr">
        <is>
          <t>Wiley-Blackwell Publishing</t>
        </is>
      </c>
    </row>
    <row r="274">
      <c r="A274" t="inlineStr">
        <is>
          <t>Australian Law Journal</t>
        </is>
      </c>
      <c r="B274" t="inlineStr">
        <is>
          <t>A</t>
        </is>
      </c>
      <c r="C274" t="n">
        <v>4801</v>
      </c>
      <c r="D274" t="inlineStr">
        <is>
          <t>Thomson Reuters</t>
        </is>
      </c>
    </row>
    <row r="275">
      <c r="A275" t="inlineStr">
        <is>
          <t>Australian Property Law Journal</t>
        </is>
      </c>
      <c r="B275" t="inlineStr">
        <is>
          <t>B</t>
        </is>
      </c>
      <c r="C275" t="n">
        <v>4801</v>
      </c>
      <c r="D275" t="inlineStr">
        <is>
          <t>University of Western Australia</t>
        </is>
      </c>
    </row>
    <row r="276">
      <c r="A276" t="inlineStr">
        <is>
          <t>Australian Psychologist</t>
        </is>
      </c>
      <c r="B276" t="inlineStr">
        <is>
          <t>B</t>
        </is>
      </c>
      <c r="C276" t="n">
        <v>3507</v>
      </c>
      <c r="D276" t="inlineStr">
        <is>
          <t>Wiley-Blackwell Publishing</t>
        </is>
      </c>
    </row>
    <row r="277">
      <c r="A277" t="inlineStr">
        <is>
          <t>Australian Tax Forum</t>
        </is>
      </c>
      <c r="B277" t="inlineStr">
        <is>
          <t>A*</t>
        </is>
      </c>
      <c r="C277" t="n">
        <v>4801</v>
      </c>
      <c r="D277" t="inlineStr">
        <is>
          <t>Tax Institute</t>
        </is>
      </c>
    </row>
    <row r="278">
      <c r="A278" t="inlineStr">
        <is>
          <t>Australian Tax Law Bulletin</t>
        </is>
      </c>
      <c r="B278" t="inlineStr">
        <is>
          <t>C</t>
        </is>
      </c>
      <c r="C278" t="n">
        <v>4801</v>
      </c>
      <c r="D278" t="inlineStr">
        <is>
          <t>LexisNexis</t>
        </is>
      </c>
    </row>
    <row r="279">
      <c r="A279" t="inlineStr">
        <is>
          <t>Australian Tax Review</t>
        </is>
      </c>
      <c r="B279" t="inlineStr">
        <is>
          <t>A</t>
        </is>
      </c>
      <c r="C279" t="n">
        <v>4801</v>
      </c>
      <c r="D279" t="inlineStr">
        <is>
          <t>Thomson Reuters</t>
        </is>
      </c>
    </row>
    <row r="280">
      <c r="A280" t="inlineStr">
        <is>
          <t>Austrian Economic Quarterly</t>
        </is>
      </c>
      <c r="B280" t="inlineStr">
        <is>
          <t>C</t>
        </is>
      </c>
      <c r="C280" t="n">
        <v>3899</v>
      </c>
      <c r="D280" t="inlineStr">
        <is>
          <t>Austrian Institute of Economic Research</t>
        </is>
      </c>
    </row>
    <row r="281">
      <c r="A281" t="inlineStr">
        <is>
          <t>Baltic Journal of Economics</t>
        </is>
      </c>
      <c r="B281" t="inlineStr">
        <is>
          <t>C</t>
        </is>
      </c>
      <c r="C281" t="n">
        <v>3801</v>
      </c>
      <c r="D281" t="inlineStr">
        <is>
          <t>Taylor &amp; Francis Online</t>
        </is>
      </c>
    </row>
    <row r="282">
      <c r="A282" t="inlineStr">
        <is>
          <t>Baltic Journal of Management</t>
        </is>
      </c>
      <c r="B282" t="inlineStr">
        <is>
          <t>B</t>
        </is>
      </c>
      <c r="C282" t="n">
        <v>3507</v>
      </c>
      <c r="D282" t="inlineStr">
        <is>
          <t>Emerald Group Publishing</t>
        </is>
      </c>
    </row>
    <row r="283">
      <c r="A283" t="inlineStr">
        <is>
          <t>Bank Parikrama: A Journal of Banking and Finance</t>
        </is>
      </c>
      <c r="B283" t="inlineStr">
        <is>
          <t>C</t>
        </is>
      </c>
      <c r="C283" t="n">
        <v>3502</v>
      </c>
      <c r="D283" t="inlineStr">
        <is>
          <t>Bangladesh Institute of Bank Management</t>
        </is>
      </c>
    </row>
    <row r="284">
      <c r="A284" t="inlineStr">
        <is>
          <t>Banking and Finance Law Review</t>
        </is>
      </c>
      <c r="B284" t="inlineStr">
        <is>
          <t>B</t>
        </is>
      </c>
      <c r="C284" t="n">
        <v>4801</v>
      </c>
      <c r="D284" t="inlineStr">
        <is>
          <t>HAB Press Limited</t>
        </is>
      </c>
    </row>
    <row r="285">
      <c r="A285" t="inlineStr">
        <is>
          <t>Banking Law Journal</t>
        </is>
      </c>
      <c r="B285" t="inlineStr">
        <is>
          <t>C</t>
        </is>
      </c>
      <c r="C285" t="n">
        <v>4801</v>
      </c>
      <c r="D285" t="inlineStr">
        <is>
          <t>LexisNexis</t>
        </is>
      </c>
    </row>
    <row r="286">
      <c r="A286" t="inlineStr">
        <is>
          <t>Basic and Applied Social Psychology</t>
        </is>
      </c>
      <c r="B286" t="inlineStr">
        <is>
          <t>B</t>
        </is>
      </c>
      <c r="C286" t="n">
        <v>3507</v>
      </c>
      <c r="D286" t="inlineStr">
        <is>
          <t>Taylor &amp; Francis Online</t>
        </is>
      </c>
    </row>
    <row r="287">
      <c r="A287" t="inlineStr">
        <is>
          <t>Basic Income Studies</t>
        </is>
      </c>
      <c r="B287" t="inlineStr">
        <is>
          <t>C</t>
        </is>
      </c>
      <c r="C287" t="n">
        <v>3801</v>
      </c>
      <c r="D287" t="inlineStr">
        <is>
          <t>De Gruyter</t>
        </is>
      </c>
    </row>
    <row r="288">
      <c r="A288" t="inlineStr">
        <is>
          <t>Bayesian Analysis</t>
        </is>
      </c>
      <c r="B288" t="inlineStr">
        <is>
          <t>A</t>
        </is>
      </c>
      <c r="C288" t="n">
        <v>4905</v>
      </c>
      <c r="D288" t="inlineStr">
        <is>
          <t>International Society for Bayesian Analysis</t>
        </is>
      </c>
    </row>
    <row r="289">
      <c r="A289" t="inlineStr">
        <is>
          <t>Behavioral Research in Accounting</t>
        </is>
      </c>
      <c r="B289" t="inlineStr">
        <is>
          <t>A</t>
        </is>
      </c>
      <c r="C289" t="n">
        <v>3501</v>
      </c>
      <c r="D289" t="inlineStr">
        <is>
          <t>American Accounting Association</t>
        </is>
      </c>
    </row>
    <row r="290">
      <c r="A290" t="inlineStr">
        <is>
          <t>Behaviour and Information Technology</t>
        </is>
      </c>
      <c r="B290" t="inlineStr">
        <is>
          <t>A</t>
        </is>
      </c>
      <c r="C290" t="n">
        <v>4609</v>
      </c>
      <c r="D290" t="inlineStr">
        <is>
          <t>Taylor &amp; Francis Online</t>
        </is>
      </c>
    </row>
    <row r="291">
      <c r="A291" t="inlineStr">
        <is>
          <t>Benchmarking: an international journal</t>
        </is>
      </c>
      <c r="B291" t="inlineStr">
        <is>
          <t>B</t>
        </is>
      </c>
      <c r="C291" t="n">
        <v>3507</v>
      </c>
      <c r="D291" t="inlineStr">
        <is>
          <t>Emerald Group Publishing</t>
        </is>
      </c>
    </row>
    <row r="292">
      <c r="A292" t="inlineStr">
        <is>
          <t>Berkeley Business Law Journal</t>
        </is>
      </c>
      <c r="B292" t="inlineStr">
        <is>
          <t>B</t>
        </is>
      </c>
      <c r="C292" t="n">
        <v>4801</v>
      </c>
      <c r="D292" t="inlineStr">
        <is>
          <t>University of California Berkeley School of Law</t>
        </is>
      </c>
    </row>
    <row r="293">
      <c r="A293" t="inlineStr">
        <is>
          <t>Berkeley Technology Law Journal</t>
        </is>
      </c>
      <c r="B293" t="inlineStr">
        <is>
          <t>A</t>
        </is>
      </c>
      <c r="C293" t="n">
        <v>4801</v>
      </c>
      <c r="D293" t="inlineStr">
        <is>
          <t>University of California Berkeley School of Law</t>
        </is>
      </c>
    </row>
    <row r="294">
      <c r="A294" t="inlineStr">
        <is>
          <t>Bernoulli</t>
        </is>
      </c>
      <c r="B294" t="inlineStr">
        <is>
          <t>A</t>
        </is>
      </c>
      <c r="C294" t="n">
        <v>4905</v>
      </c>
      <c r="D294" t="inlineStr">
        <is>
          <t>Bernoulli Society for Mathematical Statistics and Probability</t>
        </is>
      </c>
    </row>
    <row r="295">
      <c r="A295" t="inlineStr">
        <is>
          <t>BFuP - Betriebswirtschaftliche Forschung und Praxis</t>
        </is>
      </c>
      <c r="B295" t="inlineStr">
        <is>
          <t>C</t>
        </is>
      </c>
      <c r="C295" t="n">
        <v>3801</v>
      </c>
      <c r="D295" t="inlineStr">
        <is>
          <t>NWB Verlag GmbH &amp; Co. KG</t>
        </is>
      </c>
    </row>
    <row r="296">
      <c r="A296" t="inlineStr">
        <is>
          <t>Bio-based and Applied Economics Journal</t>
        </is>
      </c>
      <c r="B296" t="inlineStr">
        <is>
          <t>C</t>
        </is>
      </c>
      <c r="C296" t="n">
        <v>3899</v>
      </c>
      <c r="D296" t="inlineStr">
        <is>
          <t>Firenze University Press</t>
        </is>
      </c>
    </row>
    <row r="297">
      <c r="A297" t="inlineStr">
        <is>
          <t>Bioinformatics</t>
        </is>
      </c>
      <c r="B297" t="inlineStr">
        <is>
          <t>A</t>
        </is>
      </c>
      <c r="C297" t="n">
        <v>4905</v>
      </c>
      <c r="D297" t="inlineStr">
        <is>
          <t>Oxford University Press</t>
        </is>
      </c>
    </row>
    <row r="298">
      <c r="A298" t="inlineStr">
        <is>
          <t>Biometrical Journal</t>
        </is>
      </c>
      <c r="B298" t="inlineStr">
        <is>
          <t>B</t>
        </is>
      </c>
      <c r="C298" t="n">
        <v>4905</v>
      </c>
      <c r="D298" t="inlineStr">
        <is>
          <t>Wiley-Blackwell Publishing</t>
        </is>
      </c>
    </row>
    <row r="299">
      <c r="A299" t="inlineStr">
        <is>
          <t>Biometrika</t>
        </is>
      </c>
      <c r="B299" t="inlineStr">
        <is>
          <t>A*</t>
        </is>
      </c>
      <c r="C299" t="n">
        <v>4905</v>
      </c>
      <c r="D299" t="inlineStr">
        <is>
          <t>Oxford University Press</t>
        </is>
      </c>
    </row>
    <row r="300">
      <c r="A300" t="inlineStr">
        <is>
          <t>Biostatistics</t>
        </is>
      </c>
      <c r="B300" t="inlineStr">
        <is>
          <t>A</t>
        </is>
      </c>
      <c r="C300" t="n">
        <v>4905</v>
      </c>
      <c r="D300" t="inlineStr">
        <is>
          <t>Oxford University Press</t>
        </is>
      </c>
    </row>
    <row r="301">
      <c r="A301" t="inlineStr">
        <is>
          <t>Bond Law Review</t>
        </is>
      </c>
      <c r="B301" t="inlineStr">
        <is>
          <t>B</t>
        </is>
      </c>
      <c r="C301" t="n">
        <v>4801</v>
      </c>
      <c r="D301" t="inlineStr">
        <is>
          <t>Bond Faculty of Law Review Editorial Committee</t>
        </is>
      </c>
    </row>
    <row r="302">
      <c r="A302" t="inlineStr">
        <is>
          <t>Borsa Istanbul Review</t>
        </is>
      </c>
      <c r="B302" t="inlineStr">
        <is>
          <t>B</t>
        </is>
      </c>
      <c r="C302" t="n">
        <v>3502</v>
      </c>
      <c r="D302" t="inlineStr">
        <is>
          <t>Elsevier</t>
        </is>
      </c>
    </row>
    <row r="303">
      <c r="A303" t="inlineStr">
        <is>
          <t>Boston University Law Review</t>
        </is>
      </c>
      <c r="B303" t="inlineStr">
        <is>
          <t>A*</t>
        </is>
      </c>
      <c r="C303" t="n">
        <v>4801</v>
      </c>
      <c r="D303" t="inlineStr">
        <is>
          <t>Boston University School of Law</t>
        </is>
      </c>
    </row>
    <row r="304">
      <c r="A304" t="inlineStr">
        <is>
          <t>Brazilian Electronic Journal of Economics</t>
        </is>
      </c>
      <c r="B304" t="inlineStr">
        <is>
          <t>C</t>
        </is>
      </c>
      <c r="C304" t="n">
        <v>3801</v>
      </c>
      <c r="D304" t="inlineStr">
        <is>
          <t>Universidade Federal de Pernambuco, Department of Economics</t>
        </is>
      </c>
    </row>
    <row r="305">
      <c r="A305" t="inlineStr">
        <is>
          <t>Brazilian Journal of Business Economics</t>
        </is>
      </c>
      <c r="B305" t="inlineStr">
        <is>
          <t>C</t>
        </is>
      </c>
      <c r="C305" t="n">
        <v>3801</v>
      </c>
      <c r="D305" t="inlineStr">
        <is>
          <t>Universidade Catolica de Brasilia</t>
        </is>
      </c>
    </row>
    <row r="306">
      <c r="A306" t="inlineStr">
        <is>
          <t>Brazilian Journal of Rural Economy and Sociology</t>
        </is>
      </c>
      <c r="B306" t="inlineStr">
        <is>
          <t>C</t>
        </is>
      </c>
      <c r="C306" t="n">
        <v>3899</v>
      </c>
      <c r="D306" t="inlineStr">
        <is>
          <t>Brazilian Society of Rural Economics, Management and Sociology</t>
        </is>
      </c>
    </row>
    <row r="307">
      <c r="A307" t="inlineStr">
        <is>
          <t>Briefing Notes in Economics</t>
        </is>
      </c>
      <c r="B307" t="inlineStr">
        <is>
          <t>C</t>
        </is>
      </c>
      <c r="C307" t="n">
        <v>3803</v>
      </c>
      <c r="D307" t="inlineStr">
        <is>
          <t>Parvis Dabir-Alai</t>
        </is>
      </c>
    </row>
    <row r="308">
      <c r="A308" t="inlineStr">
        <is>
          <t>British Accounting Review</t>
        </is>
      </c>
      <c r="B308" t="inlineStr">
        <is>
          <t>A*</t>
        </is>
      </c>
      <c r="C308" t="n">
        <v>3501</v>
      </c>
      <c r="D308" t="inlineStr">
        <is>
          <t>Elsevier</t>
        </is>
      </c>
    </row>
    <row r="309">
      <c r="A309" t="inlineStr">
        <is>
          <t>British Actuarial Journal</t>
        </is>
      </c>
      <c r="B309" t="inlineStr">
        <is>
          <t>B</t>
        </is>
      </c>
      <c r="C309" t="n">
        <v>3502</v>
      </c>
      <c r="D309" t="inlineStr">
        <is>
          <t>Cambridge University Press</t>
        </is>
      </c>
    </row>
    <row r="310">
      <c r="A310" t="inlineStr">
        <is>
          <t>British Food Journal</t>
        </is>
      </c>
      <c r="B310" t="inlineStr">
        <is>
          <t>B</t>
        </is>
      </c>
      <c r="C310" t="n">
        <v>3506</v>
      </c>
      <c r="D310" t="inlineStr">
        <is>
          <t>Emerald Group Publishing</t>
        </is>
      </c>
    </row>
    <row r="311">
      <c r="A311" t="inlineStr">
        <is>
          <t>British Journal of Educational Technology</t>
        </is>
      </c>
      <c r="B311" t="inlineStr">
        <is>
          <t>A</t>
        </is>
      </c>
      <c r="C311" t="n">
        <v>4609</v>
      </c>
      <c r="D311" t="inlineStr">
        <is>
          <t>Wiley-Blackwell Publishing</t>
        </is>
      </c>
    </row>
    <row r="312">
      <c r="A312" t="inlineStr">
        <is>
          <t>British Journal of Health Care Management</t>
        </is>
      </c>
      <c r="B312" t="inlineStr">
        <is>
          <t>C</t>
        </is>
      </c>
      <c r="C312" t="n">
        <v>3507</v>
      </c>
      <c r="D312" t="inlineStr">
        <is>
          <t>Mark Allen Group</t>
        </is>
      </c>
    </row>
    <row r="313">
      <c r="A313" t="inlineStr">
        <is>
          <t>British Journal of Industrial Relations</t>
        </is>
      </c>
      <c r="B313" t="inlineStr">
        <is>
          <t>A*</t>
        </is>
      </c>
      <c r="C313" t="n">
        <v>3505</v>
      </c>
      <c r="D313" t="inlineStr">
        <is>
          <t>Wiley-Blackwell Publishing</t>
        </is>
      </c>
    </row>
    <row r="314">
      <c r="A314" t="inlineStr">
        <is>
          <t>British Journal of Management</t>
        </is>
      </c>
      <c r="B314" t="inlineStr">
        <is>
          <t>A*</t>
        </is>
      </c>
      <c r="C314" t="n">
        <v>3507</v>
      </c>
      <c r="D314" t="inlineStr">
        <is>
          <t>Wiley-Blackwell Publishing</t>
        </is>
      </c>
    </row>
    <row r="315">
      <c r="A315" t="inlineStr">
        <is>
          <t>British Journal of Mathematical and Statistical Psychology</t>
        </is>
      </c>
      <c r="B315" t="inlineStr">
        <is>
          <t>B</t>
        </is>
      </c>
      <c r="C315" t="n">
        <v>4905</v>
      </c>
      <c r="D315" t="inlineStr">
        <is>
          <t>Wiley-Blackwell Publishing</t>
        </is>
      </c>
    </row>
    <row r="316">
      <c r="A316" t="inlineStr">
        <is>
          <t>British Journal of Political Science</t>
        </is>
      </c>
      <c r="B316" t="inlineStr">
        <is>
          <t>A*</t>
        </is>
      </c>
      <c r="C316" t="n">
        <v>3599</v>
      </c>
      <c r="D316" t="inlineStr">
        <is>
          <t>Cambridge University Press</t>
        </is>
      </c>
    </row>
    <row r="317">
      <c r="A317" t="inlineStr">
        <is>
          <t>British Journal of Social Psychology</t>
        </is>
      </c>
      <c r="B317" t="inlineStr">
        <is>
          <t>A</t>
        </is>
      </c>
      <c r="C317" t="n">
        <v>3507</v>
      </c>
      <c r="D317" t="inlineStr">
        <is>
          <t>Wiley-Blackwell Publishing</t>
        </is>
      </c>
    </row>
    <row r="318">
      <c r="A318" t="inlineStr">
        <is>
          <t>British Journal of Sociology</t>
        </is>
      </c>
      <c r="B318" t="inlineStr">
        <is>
          <t>A</t>
        </is>
      </c>
      <c r="C318" t="n">
        <v>3507</v>
      </c>
      <c r="D318" t="inlineStr">
        <is>
          <t>Wiley-Blackwell Publishing</t>
        </is>
      </c>
    </row>
    <row r="319">
      <c r="A319" t="inlineStr">
        <is>
          <t>British Tax Review</t>
        </is>
      </c>
      <c r="B319" t="inlineStr">
        <is>
          <t>A*</t>
        </is>
      </c>
      <c r="C319" t="n">
        <v>4801</v>
      </c>
      <c r="D319" t="inlineStr">
        <is>
          <t>Sweet &amp; Maxwell</t>
        </is>
      </c>
    </row>
    <row r="320">
      <c r="A320" t="inlineStr">
        <is>
          <t>Brookings Papers on Economic Activity</t>
        </is>
      </c>
      <c r="B320" t="inlineStr">
        <is>
          <t>A</t>
        </is>
      </c>
      <c r="C320" t="n">
        <v>3801</v>
      </c>
      <c r="D320" t="inlineStr">
        <is>
          <t>Brookings Institutions</t>
        </is>
      </c>
    </row>
    <row r="321">
      <c r="A321" t="inlineStr">
        <is>
          <t>Brussels Economic Review</t>
        </is>
      </c>
      <c r="B321" t="inlineStr">
        <is>
          <t>C</t>
        </is>
      </c>
      <c r="C321" t="n">
        <v>3801</v>
      </c>
      <c r="D321" t="inlineStr">
        <is>
          <t>Universite libre de Bruxelles</t>
        </is>
      </c>
    </row>
    <row r="322">
      <c r="A322" t="inlineStr">
        <is>
          <t>Building Research and Information</t>
        </is>
      </c>
      <c r="B322" t="inlineStr">
        <is>
          <t>A</t>
        </is>
      </c>
      <c r="C322" t="n">
        <v>3599</v>
      </c>
      <c r="D322" t="inlineStr">
        <is>
          <t>Taylor &amp; Francis Online</t>
        </is>
      </c>
    </row>
    <row r="323">
      <c r="A323" t="inlineStr">
        <is>
          <t>Built Environment Project and Asset Management</t>
        </is>
      </c>
      <c r="B323" t="inlineStr">
        <is>
          <t>B</t>
        </is>
      </c>
      <c r="C323" t="n">
        <v>3599</v>
      </c>
      <c r="D323" t="inlineStr">
        <is>
          <t>Emerald Group Publishing</t>
        </is>
      </c>
    </row>
    <row r="324">
      <c r="A324" t="inlineStr">
        <is>
          <t>Bulletin for International Taxation</t>
        </is>
      </c>
      <c r="B324" t="inlineStr">
        <is>
          <t>B</t>
        </is>
      </c>
      <c r="C324" t="n">
        <v>4801</v>
      </c>
      <c r="D324" t="inlineStr">
        <is>
          <t>International Bureau of Fiscal Documentation</t>
        </is>
      </c>
    </row>
    <row r="325">
      <c r="A325" t="inlineStr">
        <is>
          <t>Bulletin of Applied Economics</t>
        </is>
      </c>
      <c r="B325" t="inlineStr">
        <is>
          <t>C</t>
        </is>
      </c>
      <c r="C325" t="n">
        <v>3801</v>
      </c>
      <c r="D325" t="inlineStr">
        <is>
          <t>Risk Market Journals</t>
        </is>
      </c>
    </row>
    <row r="326">
      <c r="A326" t="inlineStr">
        <is>
          <t>Bulletin of Comparative Labour Relations</t>
        </is>
      </c>
      <c r="B326" t="inlineStr">
        <is>
          <t>C</t>
        </is>
      </c>
      <c r="C326" t="n">
        <v>3505</v>
      </c>
      <c r="D326" t="inlineStr">
        <is>
          <t>Wolters Kluwer</t>
        </is>
      </c>
    </row>
    <row r="327">
      <c r="A327" t="inlineStr">
        <is>
          <t>Bulletin of Economic Research</t>
        </is>
      </c>
      <c r="B327" t="inlineStr">
        <is>
          <t>B</t>
        </is>
      </c>
      <c r="C327" t="n">
        <v>3801</v>
      </c>
      <c r="D327" t="inlineStr">
        <is>
          <t>Wiley-Blackwell Publishing</t>
        </is>
      </c>
    </row>
    <row r="328">
      <c r="A328" t="inlineStr">
        <is>
          <t>Bulletin of Indonesian Economic Studies</t>
        </is>
      </c>
      <c r="B328" t="inlineStr">
        <is>
          <t>B</t>
        </is>
      </c>
      <c r="C328" t="n">
        <v>3801</v>
      </c>
      <c r="D328" t="inlineStr">
        <is>
          <t>Taylor &amp; Francis Online</t>
        </is>
      </c>
    </row>
    <row r="329">
      <c r="A329" t="inlineStr">
        <is>
          <t>Bulletin of Monetary Economics and Banking</t>
        </is>
      </c>
      <c r="B329" t="inlineStr">
        <is>
          <t>C</t>
        </is>
      </c>
      <c r="C329" t="n">
        <v>3502</v>
      </c>
      <c r="D329" t="inlineStr">
        <is>
          <t>Bank Indonesia</t>
        </is>
      </c>
    </row>
    <row r="330">
      <c r="A330" t="inlineStr">
        <is>
          <t>Bulletin of the Czech Econometric Society</t>
        </is>
      </c>
      <c r="B330" t="inlineStr">
        <is>
          <t>C</t>
        </is>
      </c>
      <c r="C330" t="n">
        <v>3802</v>
      </c>
      <c r="D330" t="inlineStr">
        <is>
          <t>The Czech Econometric Society</t>
        </is>
      </c>
    </row>
    <row r="331">
      <c r="A331" t="inlineStr">
        <is>
          <t>Business &amp; Information Systems Engineering</t>
        </is>
      </c>
      <c r="B331" t="inlineStr">
        <is>
          <t>A</t>
        </is>
      </c>
      <c r="C331" t="n">
        <v>4609</v>
      </c>
      <c r="D331" t="inlineStr">
        <is>
          <t>Springer International Publishing</t>
        </is>
      </c>
    </row>
    <row r="332">
      <c r="A332" t="inlineStr">
        <is>
          <t>Business Analyst Journal</t>
        </is>
      </c>
      <c r="B332" t="inlineStr">
        <is>
          <t>C</t>
        </is>
      </c>
      <c r="C332" t="n">
        <v>3502</v>
      </c>
      <c r="D332" t="inlineStr">
        <is>
          <t>Emerald Publishing</t>
        </is>
      </c>
    </row>
    <row r="333">
      <c r="A333" t="inlineStr">
        <is>
          <t>Business and Economics Research Journal</t>
        </is>
      </c>
      <c r="B333" t="inlineStr">
        <is>
          <t>C</t>
        </is>
      </c>
      <c r="C333" t="n">
        <v>3801</v>
      </c>
      <c r="D333" t="inlineStr">
        <is>
          <t>Adem Anbar</t>
        </is>
      </c>
    </row>
    <row r="334">
      <c r="A334" t="inlineStr">
        <is>
          <t>Business and Human Rights Journal</t>
        </is>
      </c>
      <c r="B334" t="inlineStr">
        <is>
          <t>B</t>
        </is>
      </c>
      <c r="C334" t="n">
        <v>4801</v>
      </c>
      <c r="D334" t="inlineStr">
        <is>
          <t>Cambridge University Press</t>
        </is>
      </c>
    </row>
    <row r="335">
      <c r="A335" t="inlineStr">
        <is>
          <t>Business and Politics</t>
        </is>
      </c>
      <c r="B335" t="inlineStr">
        <is>
          <t>C</t>
        </is>
      </c>
      <c r="C335" t="n">
        <v>3899</v>
      </c>
      <c r="D335" t="inlineStr">
        <is>
          <t>Cambridge University Press</t>
        </is>
      </c>
    </row>
    <row r="336">
      <c r="A336" t="inlineStr">
        <is>
          <t>Business and Professional Communication Quarterly</t>
        </is>
      </c>
      <c r="B336" t="inlineStr">
        <is>
          <t>C</t>
        </is>
      </c>
      <c r="C336" t="n">
        <v>3507</v>
      </c>
      <c r="D336" t="inlineStr">
        <is>
          <t>Sage Publications</t>
        </is>
      </c>
    </row>
    <row r="337">
      <c r="A337" t="inlineStr">
        <is>
          <t>Business and Professional Ethics Journal</t>
        </is>
      </c>
      <c r="B337" t="inlineStr">
        <is>
          <t>C</t>
        </is>
      </c>
      <c r="C337" t="n">
        <v>3507</v>
      </c>
      <c r="D337" t="inlineStr">
        <is>
          <t>Institute for Business and Professional Ethics, DePaul University</t>
        </is>
      </c>
    </row>
    <row r="338">
      <c r="A338" t="inlineStr">
        <is>
          <t>Business and Society</t>
        </is>
      </c>
      <c r="B338" t="inlineStr">
        <is>
          <t>A</t>
        </is>
      </c>
      <c r="C338" t="n">
        <v>3507</v>
      </c>
      <c r="D338" t="inlineStr">
        <is>
          <t>Sage Publications</t>
        </is>
      </c>
    </row>
    <row r="339">
      <c r="A339" t="inlineStr">
        <is>
          <t>Business and Society Review</t>
        </is>
      </c>
      <c r="B339" t="inlineStr">
        <is>
          <t>C</t>
        </is>
      </c>
      <c r="C339" t="n">
        <v>3507</v>
      </c>
      <c r="D339" t="inlineStr">
        <is>
          <t>Wiley-Blackwell Publishing</t>
        </is>
      </c>
    </row>
    <row r="340">
      <c r="A340" t="inlineStr">
        <is>
          <t>Business Case Journal</t>
        </is>
      </c>
      <c r="B340" t="inlineStr">
        <is>
          <t>C</t>
        </is>
      </c>
      <c r="C340" t="n">
        <v>3599</v>
      </c>
      <c r="D340" t="inlineStr">
        <is>
          <t>Society for Case Research</t>
        </is>
      </c>
    </row>
    <row r="341">
      <c r="A341" t="inlineStr">
        <is>
          <t>Business Economics</t>
        </is>
      </c>
      <c r="B341" t="inlineStr">
        <is>
          <t>B</t>
        </is>
      </c>
      <c r="C341" t="n">
        <v>3801</v>
      </c>
      <c r="D341" t="inlineStr">
        <is>
          <t>Springer International Publishing</t>
        </is>
      </c>
    </row>
    <row r="342">
      <c r="A342" t="inlineStr">
        <is>
          <t>Business Ethics and Leadership</t>
        </is>
      </c>
      <c r="B342" t="inlineStr">
        <is>
          <t>C</t>
        </is>
      </c>
      <c r="C342" t="n">
        <v>3507</v>
      </c>
      <c r="D342" t="inlineStr">
        <is>
          <t>Academic Research and Publishing UG, Germany</t>
        </is>
      </c>
    </row>
    <row r="343">
      <c r="A343" t="inlineStr">
        <is>
          <t>Business Ethics Quarterly</t>
        </is>
      </c>
      <c r="B343" t="inlineStr">
        <is>
          <t>A</t>
        </is>
      </c>
      <c r="C343" t="n">
        <v>3507</v>
      </c>
      <c r="D343" t="inlineStr">
        <is>
          <t>Cambridge University Press</t>
        </is>
      </c>
    </row>
    <row r="344">
      <c r="A344" t="inlineStr">
        <is>
          <t>Business Ethics, the Environment &amp; Responsibility</t>
        </is>
      </c>
      <c r="B344" t="inlineStr">
        <is>
          <t>B</t>
        </is>
      </c>
      <c r="C344" t="n">
        <v>3507</v>
      </c>
      <c r="D344" t="inlineStr">
        <is>
          <t>Wiley-Blackwell Publishing</t>
        </is>
      </c>
    </row>
    <row r="345">
      <c r="A345" t="inlineStr">
        <is>
          <t>Business History</t>
        </is>
      </c>
      <c r="B345" t="inlineStr">
        <is>
          <t>A*</t>
        </is>
      </c>
      <c r="C345" t="n">
        <v>3505</v>
      </c>
      <c r="D345" t="inlineStr">
        <is>
          <t>Taylor &amp; Francis Online</t>
        </is>
      </c>
    </row>
    <row r="346">
      <c r="A346" t="inlineStr">
        <is>
          <t>Business History Review</t>
        </is>
      </c>
      <c r="B346" t="inlineStr">
        <is>
          <t>A</t>
        </is>
      </c>
      <c r="C346" t="n">
        <v>3505</v>
      </c>
      <c r="D346" t="inlineStr">
        <is>
          <t>Cambridge University Press</t>
        </is>
      </c>
    </row>
    <row r="347">
      <c r="A347" t="inlineStr">
        <is>
          <t>Business Horizons</t>
        </is>
      </c>
      <c r="B347" t="inlineStr">
        <is>
          <t>B</t>
        </is>
      </c>
      <c r="C347" t="n">
        <v>3507</v>
      </c>
      <c r="D347" t="inlineStr">
        <is>
          <t>Elsevier</t>
        </is>
      </c>
    </row>
    <row r="348">
      <c r="A348" t="inlineStr">
        <is>
          <t>Business Law Review</t>
        </is>
      </c>
      <c r="B348" t="inlineStr">
        <is>
          <t>C</t>
        </is>
      </c>
      <c r="C348" t="n">
        <v>4801</v>
      </c>
      <c r="D348" t="inlineStr">
        <is>
          <t>Husson University</t>
        </is>
      </c>
    </row>
    <row r="349">
      <c r="A349" t="inlineStr">
        <is>
          <t>Business Law Today</t>
        </is>
      </c>
      <c r="B349" t="inlineStr">
        <is>
          <t>C</t>
        </is>
      </c>
      <c r="C349" t="n">
        <v>4801</v>
      </c>
      <c r="D349" t="inlineStr">
        <is>
          <t>American Bar Association</t>
        </is>
      </c>
    </row>
    <row r="350">
      <c r="A350" t="inlineStr">
        <is>
          <t>Business Perspectives and Research</t>
        </is>
      </c>
      <c r="B350" t="inlineStr">
        <is>
          <t>C</t>
        </is>
      </c>
      <c r="C350" t="n">
        <v>3507</v>
      </c>
      <c r="D350" t="inlineStr">
        <is>
          <t>Sage Publications</t>
        </is>
      </c>
    </row>
    <row r="351">
      <c r="A351" t="inlineStr">
        <is>
          <t>Business Process Management Journal</t>
        </is>
      </c>
      <c r="B351" t="inlineStr">
        <is>
          <t>B</t>
        </is>
      </c>
      <c r="C351" t="n">
        <v>4609</v>
      </c>
      <c r="D351" t="inlineStr">
        <is>
          <t>Emerald Group Publishing</t>
        </is>
      </c>
    </row>
    <row r="352">
      <c r="A352" t="inlineStr">
        <is>
          <t>Business Research Quarterly</t>
        </is>
      </c>
      <c r="B352" t="inlineStr">
        <is>
          <t>B</t>
        </is>
      </c>
      <c r="C352" t="n">
        <v>3507</v>
      </c>
      <c r="D352" t="inlineStr">
        <is>
          <t>Asociacion Cientifica de Economia y Direccion de la Empresa</t>
        </is>
      </c>
    </row>
    <row r="353">
      <c r="A353" t="inlineStr">
        <is>
          <t>Business Strategy and the Environment</t>
        </is>
      </c>
      <c r="B353" t="inlineStr">
        <is>
          <t>A</t>
        </is>
      </c>
      <c r="C353" t="n">
        <v>3507</v>
      </c>
      <c r="D353" t="inlineStr">
        <is>
          <t>Wiley-Blackwell Publishing</t>
        </is>
      </c>
    </row>
    <row r="354">
      <c r="A354" t="inlineStr">
        <is>
          <t>Business Strategy Review</t>
        </is>
      </c>
      <c r="B354" t="inlineStr">
        <is>
          <t>B</t>
        </is>
      </c>
      <c r="C354" t="n">
        <v>3507</v>
      </c>
      <c r="D354" t="inlineStr">
        <is>
          <t>Wiley-Blackwell Publishing</t>
        </is>
      </c>
    </row>
    <row r="355">
      <c r="A355" t="inlineStr">
        <is>
          <t>Cadernos de Pos-Graduacao em Direito Politico e Economico</t>
        </is>
      </c>
      <c r="B355" t="inlineStr">
        <is>
          <t>C</t>
        </is>
      </c>
      <c r="C355" t="n">
        <v>3801</v>
      </c>
      <c r="D355" t="inlineStr"/>
    </row>
    <row r="356">
      <c r="A356" t="inlineStr">
        <is>
          <t>California Management Review</t>
        </is>
      </c>
      <c r="B356" t="inlineStr">
        <is>
          <t>A</t>
        </is>
      </c>
      <c r="C356" t="n">
        <v>3507</v>
      </c>
      <c r="D356" t="inlineStr">
        <is>
          <t>Sage Publications</t>
        </is>
      </c>
    </row>
    <row r="357">
      <c r="A357" t="inlineStr">
        <is>
          <t>Cambridge Journal of Economics</t>
        </is>
      </c>
      <c r="B357" t="inlineStr">
        <is>
          <t>A</t>
        </is>
      </c>
      <c r="C357" t="n">
        <v>3801</v>
      </c>
      <c r="D357" t="inlineStr">
        <is>
          <t>Oxford University Press</t>
        </is>
      </c>
    </row>
    <row r="358">
      <c r="A358" t="inlineStr">
        <is>
          <t>Cambridge Journal of Regions, Economy and Society</t>
        </is>
      </c>
      <c r="B358" t="inlineStr">
        <is>
          <t>B</t>
        </is>
      </c>
      <c r="C358" t="n">
        <v>3801</v>
      </c>
      <c r="D358" t="inlineStr">
        <is>
          <t>Oxford University Press</t>
        </is>
      </c>
    </row>
    <row r="359">
      <c r="A359" t="inlineStr">
        <is>
          <t>Cambridge Law Journal</t>
        </is>
      </c>
      <c r="B359" t="inlineStr">
        <is>
          <t>A*</t>
        </is>
      </c>
      <c r="C359" t="n">
        <v>4801</v>
      </c>
      <c r="D359" t="inlineStr">
        <is>
          <t>Cambridge University Press</t>
        </is>
      </c>
    </row>
    <row r="360">
      <c r="A360" t="inlineStr">
        <is>
          <t>Canadian Bar Review</t>
        </is>
      </c>
      <c r="B360" t="inlineStr">
        <is>
          <t>B</t>
        </is>
      </c>
      <c r="C360" t="n">
        <v>4801</v>
      </c>
      <c r="D360" t="inlineStr">
        <is>
          <t>Canadian Bar Association</t>
        </is>
      </c>
    </row>
    <row r="361">
      <c r="A361" t="inlineStr">
        <is>
          <t>Canadian Business Law Journal</t>
        </is>
      </c>
      <c r="B361" t="inlineStr">
        <is>
          <t>A</t>
        </is>
      </c>
      <c r="C361" t="n">
        <v>4801</v>
      </c>
      <c r="D361" t="inlineStr">
        <is>
          <t>Canada Law Book</t>
        </is>
      </c>
    </row>
    <row r="362">
      <c r="A362" t="inlineStr">
        <is>
          <t>Canadian Journal of Administrative Sciences / Revue Canadienne des Sciences de l Administration</t>
        </is>
      </c>
      <c r="B362" t="inlineStr">
        <is>
          <t>B</t>
        </is>
      </c>
      <c r="C362" t="n">
        <v>3507</v>
      </c>
      <c r="D362" t="inlineStr">
        <is>
          <t>Wiley-Blackwell Publishing</t>
        </is>
      </c>
    </row>
    <row r="363">
      <c r="A363" t="inlineStr">
        <is>
          <t>Canadian Journal of Agricultural Economics / Revue Canadienne d Agroeconomie</t>
        </is>
      </c>
      <c r="B363" t="inlineStr">
        <is>
          <t>A</t>
        </is>
      </c>
      <c r="C363" t="n">
        <v>3801</v>
      </c>
      <c r="D363" t="inlineStr">
        <is>
          <t>Wiley-Blackwell Publishing</t>
        </is>
      </c>
    </row>
    <row r="364">
      <c r="A364" t="inlineStr">
        <is>
          <t>Canadian Journal of Development Studies / Revue canadienne d'etudes du developpement</t>
        </is>
      </c>
      <c r="B364" t="inlineStr">
        <is>
          <t>B</t>
        </is>
      </c>
      <c r="C364" t="n">
        <v>3801</v>
      </c>
      <c r="D364" t="inlineStr">
        <is>
          <t>Taylor &amp; Francis Online</t>
        </is>
      </c>
    </row>
    <row r="365">
      <c r="A365" t="inlineStr">
        <is>
          <t>Canadian Journal of Economics / Revue Canadienne D'Economique</t>
        </is>
      </c>
      <c r="B365" t="inlineStr">
        <is>
          <t>A</t>
        </is>
      </c>
      <c r="C365" t="n">
        <v>3801</v>
      </c>
      <c r="D365" t="inlineStr">
        <is>
          <t>Wiley-Blackwell Publishing</t>
        </is>
      </c>
    </row>
    <row r="366">
      <c r="A366" t="inlineStr">
        <is>
          <t>Canadian Journal of Marketing Research</t>
        </is>
      </c>
      <c r="B366" t="inlineStr">
        <is>
          <t>C</t>
        </is>
      </c>
      <c r="C366" t="n">
        <v>3506</v>
      </c>
      <c r="D366" t="inlineStr">
        <is>
          <t>Marketing Research and Intelligence Association</t>
        </is>
      </c>
    </row>
    <row r="367">
      <c r="A367" t="inlineStr">
        <is>
          <t>Canadian Journal of Statistics</t>
        </is>
      </c>
      <c r="B367" t="inlineStr">
        <is>
          <t>A</t>
        </is>
      </c>
      <c r="C367" t="n">
        <v>4905</v>
      </c>
      <c r="D367" t="inlineStr">
        <is>
          <t>Wiley-Blackwell Publishing</t>
        </is>
      </c>
    </row>
    <row r="368">
      <c r="A368" t="inlineStr">
        <is>
          <t>Canadian Public Policy / Analyse de Politiques</t>
        </is>
      </c>
      <c r="B368" t="inlineStr">
        <is>
          <t>B</t>
        </is>
      </c>
      <c r="C368" t="n">
        <v>3599</v>
      </c>
      <c r="D368" t="inlineStr">
        <is>
          <t>University of Toronto Press</t>
        </is>
      </c>
    </row>
    <row r="369">
      <c r="A369" t="inlineStr">
        <is>
          <t>Canadian Tax Journal</t>
        </is>
      </c>
      <c r="B369" t="inlineStr">
        <is>
          <t>A*</t>
        </is>
      </c>
      <c r="C369" t="n">
        <v>4801</v>
      </c>
      <c r="D369" t="inlineStr">
        <is>
          <t>Canadian Tax Foundation</t>
        </is>
      </c>
    </row>
    <row r="370">
      <c r="A370" t="inlineStr">
        <is>
          <t>Canberra Law Review</t>
        </is>
      </c>
      <c r="B370" t="inlineStr">
        <is>
          <t>C</t>
        </is>
      </c>
      <c r="C370" t="n">
        <v>4801</v>
      </c>
      <c r="D370" t="inlineStr">
        <is>
          <t>University of Canberra</t>
        </is>
      </c>
    </row>
    <row r="371">
      <c r="A371" t="inlineStr">
        <is>
          <t>Canterbury Law Review</t>
        </is>
      </c>
      <c r="B371" t="inlineStr">
        <is>
          <t>B</t>
        </is>
      </c>
      <c r="C371" t="n">
        <v>4801</v>
      </c>
      <c r="D371" t="inlineStr">
        <is>
          <t>University of Canterbury</t>
        </is>
      </c>
    </row>
    <row r="372">
      <c r="A372" t="inlineStr">
        <is>
          <t>Capital and Class</t>
        </is>
      </c>
      <c r="B372" t="inlineStr">
        <is>
          <t>B</t>
        </is>
      </c>
      <c r="C372" t="n">
        <v>3899</v>
      </c>
      <c r="D372" t="inlineStr">
        <is>
          <t>Sage Publications</t>
        </is>
      </c>
    </row>
    <row r="373">
      <c r="A373" t="inlineStr">
        <is>
          <t>Capital Markets Law Journal</t>
        </is>
      </c>
      <c r="B373" t="inlineStr">
        <is>
          <t>A</t>
        </is>
      </c>
      <c r="C373" t="n">
        <v>4801</v>
      </c>
      <c r="D373" t="inlineStr">
        <is>
          <t>Oxford University Press</t>
        </is>
      </c>
    </row>
    <row r="374">
      <c r="A374" t="inlineStr">
        <is>
          <t>Capital Markets Review</t>
        </is>
      </c>
      <c r="B374" t="inlineStr">
        <is>
          <t>C</t>
        </is>
      </c>
      <c r="C374" t="n">
        <v>3502</v>
      </c>
      <c r="D374" t="inlineStr">
        <is>
          <t>Malaysian Finance Association and Bursa Malaysia</t>
        </is>
      </c>
    </row>
    <row r="375">
      <c r="A375" t="inlineStr">
        <is>
          <t>Capitalism and Society</t>
        </is>
      </c>
      <c r="B375" t="inlineStr">
        <is>
          <t>C</t>
        </is>
      </c>
      <c r="C375" t="n">
        <v>3801</v>
      </c>
      <c r="D375" t="inlineStr">
        <is>
          <t>SSRN</t>
        </is>
      </c>
    </row>
    <row r="376">
      <c r="A376" t="inlineStr">
        <is>
          <t>Career Development and Transition for Exceptional Individuals</t>
        </is>
      </c>
      <c r="B376" t="inlineStr">
        <is>
          <t>C</t>
        </is>
      </c>
      <c r="C376" t="n">
        <v>3507</v>
      </c>
      <c r="D376" t="inlineStr">
        <is>
          <t>Sage Publications</t>
        </is>
      </c>
    </row>
    <row r="377">
      <c r="A377" t="inlineStr">
        <is>
          <t>Career Development International</t>
        </is>
      </c>
      <c r="B377" t="inlineStr">
        <is>
          <t>A</t>
        </is>
      </c>
      <c r="C377" t="n">
        <v>3505</v>
      </c>
      <c r="D377" t="inlineStr">
        <is>
          <t>Emerald Group Publishing</t>
        </is>
      </c>
    </row>
    <row r="378">
      <c r="A378" t="inlineStr">
        <is>
          <t>Case Studies on Transport Policy</t>
        </is>
      </c>
      <c r="B378" t="inlineStr">
        <is>
          <t>C</t>
        </is>
      </c>
      <c r="C378" t="n">
        <v>3509</v>
      </c>
      <c r="D378" t="inlineStr">
        <is>
          <t>Elsevier</t>
        </is>
      </c>
    </row>
    <row r="379">
      <c r="A379" t="inlineStr">
        <is>
          <t>Cayapa: revista venezolana de economia social</t>
        </is>
      </c>
      <c r="B379" t="inlineStr">
        <is>
          <t>C</t>
        </is>
      </c>
      <c r="C379" t="n">
        <v>3801</v>
      </c>
      <c r="D379" t="inlineStr">
        <is>
          <t>Universidad de los Andes</t>
        </is>
      </c>
    </row>
    <row r="380">
      <c r="A380" t="inlineStr">
        <is>
          <t>Central Bank Review</t>
        </is>
      </c>
      <c r="B380" t="inlineStr">
        <is>
          <t>C</t>
        </is>
      </c>
      <c r="C380" t="n">
        <v>3502</v>
      </c>
      <c r="D380" t="inlineStr">
        <is>
          <t>Elsevier</t>
        </is>
      </c>
    </row>
    <row r="381">
      <c r="A381" t="inlineStr">
        <is>
          <t>Central European Journal of Economic Modelling and Econometrics</t>
        </is>
      </c>
      <c r="B381" t="inlineStr">
        <is>
          <t>C</t>
        </is>
      </c>
      <c r="C381" t="n">
        <v>3802</v>
      </c>
      <c r="D381" t="inlineStr">
        <is>
          <t>Central European Journal of Economic Modelling and Econometrics</t>
        </is>
      </c>
    </row>
    <row r="382">
      <c r="A382" t="inlineStr">
        <is>
          <t>Central European Journal of Operations Research</t>
        </is>
      </c>
      <c r="B382" t="inlineStr">
        <is>
          <t>C</t>
        </is>
      </c>
      <c r="C382" t="n">
        <v>3509</v>
      </c>
      <c r="D382" t="inlineStr">
        <is>
          <t>Springer International Publishing</t>
        </is>
      </c>
    </row>
    <row r="383">
      <c r="A383" t="inlineStr">
        <is>
          <t>CESifo Economic Studies</t>
        </is>
      </c>
      <c r="B383" t="inlineStr">
        <is>
          <t>C</t>
        </is>
      </c>
      <c r="C383" t="n">
        <v>3801</v>
      </c>
      <c r="D383" t="inlineStr">
        <is>
          <t>Oxford University Press</t>
        </is>
      </c>
    </row>
    <row r="384">
      <c r="A384" t="inlineStr">
        <is>
          <t>Charity Law and Practice Review</t>
        </is>
      </c>
      <c r="B384" t="inlineStr">
        <is>
          <t>B</t>
        </is>
      </c>
      <c r="C384" t="n">
        <v>4801</v>
      </c>
      <c r="D384" t="inlineStr">
        <is>
          <t>Key Haven Publications</t>
        </is>
      </c>
    </row>
    <row r="385">
      <c r="A385" t="inlineStr">
        <is>
          <t>Chilean Journal of Statistics</t>
        </is>
      </c>
      <c r="B385" t="inlineStr">
        <is>
          <t>C</t>
        </is>
      </c>
      <c r="C385" t="n">
        <v>4905</v>
      </c>
      <c r="D385" t="inlineStr">
        <is>
          <t>Chilean Statistical Society</t>
        </is>
      </c>
    </row>
    <row r="386">
      <c r="A386" t="inlineStr">
        <is>
          <t>China Accounting and Finance Review</t>
        </is>
      </c>
      <c r="B386" t="inlineStr">
        <is>
          <t>A</t>
        </is>
      </c>
      <c r="C386" t="n">
        <v>3501</v>
      </c>
      <c r="D386" t="inlineStr">
        <is>
          <t>Hong Kong Polytechnic University</t>
        </is>
      </c>
    </row>
    <row r="387">
      <c r="A387" t="inlineStr">
        <is>
          <t>China Agricultural Economic Review</t>
        </is>
      </c>
      <c r="B387" t="inlineStr">
        <is>
          <t>B</t>
        </is>
      </c>
      <c r="C387" t="n">
        <v>3801</v>
      </c>
      <c r="D387" t="inlineStr">
        <is>
          <t>Emerald Group Publishing</t>
        </is>
      </c>
    </row>
    <row r="388">
      <c r="A388" t="inlineStr">
        <is>
          <t>China and World Economy</t>
        </is>
      </c>
      <c r="B388" t="inlineStr">
        <is>
          <t>B</t>
        </is>
      </c>
      <c r="C388" t="n">
        <v>3801</v>
      </c>
      <c r="D388" t="inlineStr">
        <is>
          <t>Wiley-Blackwell Publishing</t>
        </is>
      </c>
    </row>
    <row r="389">
      <c r="A389" t="inlineStr">
        <is>
          <t>China Economic Journal</t>
        </is>
      </c>
      <c r="B389" t="inlineStr">
        <is>
          <t>B</t>
        </is>
      </c>
      <c r="C389" t="n">
        <v>3899</v>
      </c>
      <c r="D389" t="inlineStr">
        <is>
          <t>Taylor &amp; Francis</t>
        </is>
      </c>
    </row>
    <row r="390">
      <c r="A390" t="inlineStr">
        <is>
          <t>China Economic Quarterly International</t>
        </is>
      </c>
      <c r="B390" t="inlineStr">
        <is>
          <t>C</t>
        </is>
      </c>
      <c r="C390" t="n">
        <v>3801</v>
      </c>
      <c r="D390" t="inlineStr">
        <is>
          <t>KeAi Communications Co., Ltd.</t>
        </is>
      </c>
    </row>
    <row r="391">
      <c r="A391" t="inlineStr">
        <is>
          <t>China Economic Review</t>
        </is>
      </c>
      <c r="B391" t="inlineStr">
        <is>
          <t>A</t>
        </is>
      </c>
      <c r="C391" t="n">
        <v>3801</v>
      </c>
      <c r="D391" t="inlineStr">
        <is>
          <t>Elsevier</t>
        </is>
      </c>
    </row>
    <row r="392">
      <c r="A392" t="inlineStr">
        <is>
          <t>China Finance Review International</t>
        </is>
      </c>
      <c r="B392" t="inlineStr">
        <is>
          <t>A</t>
        </is>
      </c>
      <c r="C392" t="n">
        <v>3502</v>
      </c>
      <c r="D392" t="inlineStr">
        <is>
          <t>Emerald Group Publishing Limited</t>
        </is>
      </c>
    </row>
    <row r="393">
      <c r="A393" t="inlineStr">
        <is>
          <t>China Information</t>
        </is>
      </c>
      <c r="B393" t="inlineStr">
        <is>
          <t>B</t>
        </is>
      </c>
      <c r="C393" t="n">
        <v>3599</v>
      </c>
      <c r="D393" t="inlineStr">
        <is>
          <t>Sage Publications</t>
        </is>
      </c>
    </row>
    <row r="394">
      <c r="A394" t="inlineStr">
        <is>
          <t>China Journal of Accounting Research</t>
        </is>
      </c>
      <c r="B394" t="inlineStr">
        <is>
          <t>A</t>
        </is>
      </c>
      <c r="C394" t="n">
        <v>3501</v>
      </c>
      <c r="D394" t="inlineStr">
        <is>
          <t>Elsevier</t>
        </is>
      </c>
    </row>
    <row r="395">
      <c r="A395" t="inlineStr">
        <is>
          <t>China Journal of Accounting Studies</t>
        </is>
      </c>
      <c r="B395" t="inlineStr">
        <is>
          <t>B</t>
        </is>
      </c>
      <c r="C395" t="n">
        <v>3501</v>
      </c>
      <c r="D395" t="inlineStr">
        <is>
          <t>Taylor &amp; Francis Online</t>
        </is>
      </c>
    </row>
    <row r="396">
      <c r="A396" t="inlineStr">
        <is>
          <t>Chinese Management Studies</t>
        </is>
      </c>
      <c r="B396" t="inlineStr">
        <is>
          <t>C</t>
        </is>
      </c>
      <c r="C396" t="n">
        <v>3507</v>
      </c>
      <c r="D396" t="inlineStr">
        <is>
          <t>Emerald Group Publishing</t>
        </is>
      </c>
    </row>
    <row r="397">
      <c r="A397" t="inlineStr">
        <is>
          <t>Chinese Rural Economy</t>
        </is>
      </c>
      <c r="B397" t="inlineStr">
        <is>
          <t>C</t>
        </is>
      </c>
      <c r="C397" t="n">
        <v>3801</v>
      </c>
      <c r="D397" t="inlineStr">
        <is>
          <t>Chinese Rural Economy Press</t>
        </is>
      </c>
    </row>
    <row r="398">
      <c r="A398" t="inlineStr">
        <is>
          <t>Choices: The Magazine of Food, Farm, and Resource Issues</t>
        </is>
      </c>
      <c r="B398" t="inlineStr">
        <is>
          <t>C</t>
        </is>
      </c>
      <c r="C398" t="n">
        <v>3899</v>
      </c>
      <c r="D398" t="inlineStr">
        <is>
          <t>American Agricultural Economics Association</t>
        </is>
      </c>
    </row>
    <row r="399">
      <c r="A399" t="inlineStr">
        <is>
          <t>Ciclos: en la historia, la economia y la sociedad</t>
        </is>
      </c>
      <c r="B399" t="inlineStr">
        <is>
          <t>C</t>
        </is>
      </c>
      <c r="C399" t="n">
        <v>3801</v>
      </c>
      <c r="D399" t="inlineStr">
        <is>
          <t>Universidad de Buenos Aires (UBA)</t>
        </is>
      </c>
    </row>
    <row r="400">
      <c r="A400" t="inlineStr">
        <is>
          <t>Citizenship Studies</t>
        </is>
      </c>
      <c r="B400" t="inlineStr">
        <is>
          <t>C</t>
        </is>
      </c>
      <c r="C400" t="n">
        <v>3599</v>
      </c>
      <c r="D400" t="inlineStr">
        <is>
          <t>Taylor &amp; Francis Online</t>
        </is>
      </c>
    </row>
    <row r="401">
      <c r="A401" t="inlineStr">
        <is>
          <t>Civil Justice Quarterly</t>
        </is>
      </c>
      <c r="B401" t="inlineStr">
        <is>
          <t>A</t>
        </is>
      </c>
      <c r="C401" t="n">
        <v>4801</v>
      </c>
      <c r="D401" t="inlineStr">
        <is>
          <t>Sweet &amp; Maxwell</t>
        </is>
      </c>
    </row>
    <row r="402">
      <c r="A402" t="inlineStr">
        <is>
          <t>Cleaner Logistics and Supply Chain</t>
        </is>
      </c>
      <c r="B402" t="inlineStr">
        <is>
          <t>B</t>
        </is>
      </c>
      <c r="C402" t="n">
        <v>3509</v>
      </c>
      <c r="D402" t="inlineStr">
        <is>
          <t>Elsevier Ltd</t>
        </is>
      </c>
    </row>
    <row r="403">
      <c r="A403" t="inlineStr">
        <is>
          <t>Climate and Development</t>
        </is>
      </c>
      <c r="B403" t="inlineStr">
        <is>
          <t>B</t>
        </is>
      </c>
      <c r="C403" t="n">
        <v>3899</v>
      </c>
      <c r="D403" t="inlineStr">
        <is>
          <t>Taylor &amp; Francis Online</t>
        </is>
      </c>
    </row>
    <row r="404">
      <c r="A404" t="inlineStr">
        <is>
          <t>Climate Change Economics</t>
        </is>
      </c>
      <c r="B404" t="inlineStr">
        <is>
          <t>B</t>
        </is>
      </c>
      <c r="C404" t="n">
        <v>3899</v>
      </c>
      <c r="D404" t="inlineStr">
        <is>
          <t>World Scientific Publishing</t>
        </is>
      </c>
    </row>
    <row r="405">
      <c r="A405" t="inlineStr">
        <is>
          <t>Climate Policy</t>
        </is>
      </c>
      <c r="B405" t="inlineStr">
        <is>
          <t>C</t>
        </is>
      </c>
      <c r="C405" t="n">
        <v>3507</v>
      </c>
      <c r="D405" t="inlineStr">
        <is>
          <t>Taylor &amp; Francis Online</t>
        </is>
      </c>
    </row>
    <row r="406">
      <c r="A406" t="inlineStr">
        <is>
          <t>Cliometrica: journal of historical economics and econometric history</t>
        </is>
      </c>
      <c r="B406" t="inlineStr">
        <is>
          <t>C</t>
        </is>
      </c>
      <c r="C406" t="n">
        <v>3801</v>
      </c>
      <c r="D406" t="inlineStr">
        <is>
          <t>Springer International Publishing</t>
        </is>
      </c>
    </row>
    <row r="407">
      <c r="A407" t="inlineStr">
        <is>
          <t>Cogent Business &amp; Management</t>
        </is>
      </c>
      <c r="B407" t="inlineStr">
        <is>
          <t>C</t>
        </is>
      </c>
      <c r="C407" t="n">
        <v>3507</v>
      </c>
      <c r="D407" t="inlineStr">
        <is>
          <t>Talyor &amp; Francis Group</t>
        </is>
      </c>
    </row>
    <row r="408">
      <c r="A408" t="inlineStr">
        <is>
          <t>Cogent Economics and Finance</t>
        </is>
      </c>
      <c r="B408" t="inlineStr">
        <is>
          <t>B</t>
        </is>
      </c>
      <c r="C408" t="n">
        <v>3801</v>
      </c>
      <c r="D408" t="inlineStr">
        <is>
          <t>Taylor &amp; Francis</t>
        </is>
      </c>
    </row>
    <row r="409">
      <c r="A409" t="inlineStr">
        <is>
          <t>Columbia Business Law Review</t>
        </is>
      </c>
      <c r="B409" t="inlineStr">
        <is>
          <t>A</t>
        </is>
      </c>
      <c r="C409" t="n">
        <v>4801</v>
      </c>
      <c r="D409" t="inlineStr">
        <is>
          <t>Columbia Business Law Review</t>
        </is>
      </c>
    </row>
    <row r="410">
      <c r="A410" t="inlineStr">
        <is>
          <t>Columbia Journal of Asian Law</t>
        </is>
      </c>
      <c r="B410" t="inlineStr">
        <is>
          <t>A</t>
        </is>
      </c>
      <c r="C410" t="n">
        <v>4801</v>
      </c>
      <c r="D410" t="inlineStr">
        <is>
          <t>Columbia Law School</t>
        </is>
      </c>
    </row>
    <row r="411">
      <c r="A411" t="inlineStr">
        <is>
          <t>Columbia Journal of Law and the Arts</t>
        </is>
      </c>
      <c r="B411" t="inlineStr">
        <is>
          <t>A</t>
        </is>
      </c>
      <c r="C411" t="n">
        <v>4801</v>
      </c>
      <c r="D411" t="inlineStr">
        <is>
          <t>Columbia University</t>
        </is>
      </c>
    </row>
    <row r="412">
      <c r="A412" t="inlineStr">
        <is>
          <t>Columbia Journal of Transnational Law</t>
        </is>
      </c>
      <c r="B412" t="inlineStr">
        <is>
          <t>A</t>
        </is>
      </c>
      <c r="C412" t="n">
        <v>4801</v>
      </c>
      <c r="D412" t="inlineStr">
        <is>
          <t>Columbia Society of International Law</t>
        </is>
      </c>
    </row>
    <row r="413">
      <c r="A413" t="inlineStr">
        <is>
          <t>Columbia Law Review</t>
        </is>
      </c>
      <c r="B413" t="inlineStr">
        <is>
          <t>A*</t>
        </is>
      </c>
      <c r="C413" t="n">
        <v>4801</v>
      </c>
      <c r="D413" t="inlineStr">
        <is>
          <t>Columbia Law Review Association, Inc.</t>
        </is>
      </c>
    </row>
    <row r="414">
      <c r="A414" t="inlineStr">
        <is>
          <t>Commercial Law Quarterly</t>
        </is>
      </c>
      <c r="B414" t="inlineStr">
        <is>
          <t>C</t>
        </is>
      </c>
      <c r="C414" t="n">
        <v>4801</v>
      </c>
      <c r="D414" t="inlineStr">
        <is>
          <t>Commercial Law Association</t>
        </is>
      </c>
    </row>
    <row r="415">
      <c r="A415" t="inlineStr">
        <is>
          <t>Common Law World Review</t>
        </is>
      </c>
      <c r="B415" t="inlineStr">
        <is>
          <t>B</t>
        </is>
      </c>
      <c r="C415" t="n">
        <v>4801</v>
      </c>
      <c r="D415" t="inlineStr">
        <is>
          <t>Sage Publications</t>
        </is>
      </c>
    </row>
    <row r="416">
      <c r="A416" t="inlineStr">
        <is>
          <t>Common Market Law Review</t>
        </is>
      </c>
      <c r="B416" t="inlineStr">
        <is>
          <t>B</t>
        </is>
      </c>
      <c r="C416" t="n">
        <v>4801</v>
      </c>
      <c r="D416" t="inlineStr">
        <is>
          <t>Kluwer Law International</t>
        </is>
      </c>
    </row>
    <row r="417">
      <c r="A417" t="inlineStr">
        <is>
          <t>Commonwealth and Comparative Politics</t>
        </is>
      </c>
      <c r="B417" t="inlineStr">
        <is>
          <t>C</t>
        </is>
      </c>
      <c r="C417" t="n">
        <v>3599</v>
      </c>
      <c r="D417" t="inlineStr">
        <is>
          <t>Taylor &amp; Francis Online</t>
        </is>
      </c>
    </row>
    <row r="418">
      <c r="A418" t="inlineStr">
        <is>
          <t>Communication &amp; Sport</t>
        </is>
      </c>
      <c r="B418" t="inlineStr">
        <is>
          <t>B</t>
        </is>
      </c>
      <c r="C418" t="n">
        <v>3504</v>
      </c>
      <c r="D418" t="inlineStr">
        <is>
          <t>Sage Publications</t>
        </is>
      </c>
    </row>
    <row r="419">
      <c r="A419" t="inlineStr">
        <is>
          <t>Communication Research</t>
        </is>
      </c>
      <c r="B419" t="inlineStr">
        <is>
          <t>A</t>
        </is>
      </c>
      <c r="C419" t="n">
        <v>3599</v>
      </c>
      <c r="D419" t="inlineStr">
        <is>
          <t>Sage Publications</t>
        </is>
      </c>
    </row>
    <row r="420">
      <c r="A420" t="inlineStr">
        <is>
          <t>Communication Research and Practice</t>
        </is>
      </c>
      <c r="B420" t="inlineStr">
        <is>
          <t>C</t>
        </is>
      </c>
      <c r="C420" t="n">
        <v>3506</v>
      </c>
      <c r="D420" t="inlineStr">
        <is>
          <t>Taylor &amp; Francis Online</t>
        </is>
      </c>
    </row>
    <row r="421">
      <c r="A421" t="inlineStr">
        <is>
          <t>Communication Theory</t>
        </is>
      </c>
      <c r="B421" t="inlineStr">
        <is>
          <t>A</t>
        </is>
      </c>
      <c r="C421" t="n">
        <v>3599</v>
      </c>
      <c r="D421" t="inlineStr">
        <is>
          <t>Oxford University Press</t>
        </is>
      </c>
    </row>
    <row r="422">
      <c r="A422" t="inlineStr">
        <is>
          <t>Communications in Statistics: Theory and Methods</t>
        </is>
      </c>
      <c r="B422" t="inlineStr">
        <is>
          <t>B</t>
        </is>
      </c>
      <c r="C422" t="n">
        <v>4905</v>
      </c>
      <c r="D422" t="inlineStr">
        <is>
          <t>Taylor &amp; Francis Online</t>
        </is>
      </c>
    </row>
    <row r="423">
      <c r="A423" t="inlineStr">
        <is>
          <t>Communications in Transportation Research</t>
        </is>
      </c>
      <c r="B423" t="inlineStr">
        <is>
          <t>C</t>
        </is>
      </c>
      <c r="C423" t="n">
        <v>3509</v>
      </c>
      <c r="D423" t="inlineStr">
        <is>
          <t>Elsevier &amp; Tsinghua University Press</t>
        </is>
      </c>
    </row>
    <row r="424">
      <c r="A424" t="inlineStr">
        <is>
          <t>Communications Law Bulletin</t>
        </is>
      </c>
      <c r="B424" t="inlineStr">
        <is>
          <t>C</t>
        </is>
      </c>
      <c r="C424" t="n">
        <v>4801</v>
      </c>
      <c r="D424" t="inlineStr">
        <is>
          <t>Australasian Communications Law Association</t>
        </is>
      </c>
    </row>
    <row r="425">
      <c r="A425" t="inlineStr">
        <is>
          <t>Communications of the Association for Information Systems</t>
        </is>
      </c>
      <c r="B425" t="inlineStr">
        <is>
          <t>A</t>
        </is>
      </c>
      <c r="C425" t="n">
        <v>4609</v>
      </c>
      <c r="D425" t="inlineStr">
        <is>
          <t>Association for Information Systems (AIS)</t>
        </is>
      </c>
    </row>
    <row r="426">
      <c r="A426" t="inlineStr">
        <is>
          <t>Community Development Journal</t>
        </is>
      </c>
      <c r="B426" t="inlineStr">
        <is>
          <t>B</t>
        </is>
      </c>
      <c r="C426" t="n">
        <v>3507</v>
      </c>
      <c r="D426" t="inlineStr">
        <is>
          <t>Oxford University Press</t>
        </is>
      </c>
    </row>
    <row r="427">
      <c r="A427" t="inlineStr">
        <is>
          <t>Community, Work and Family</t>
        </is>
      </c>
      <c r="B427" t="inlineStr">
        <is>
          <t>C</t>
        </is>
      </c>
      <c r="C427" t="n">
        <v>3507</v>
      </c>
      <c r="D427" t="inlineStr">
        <is>
          <t>Taylor &amp; Francis Online</t>
        </is>
      </c>
    </row>
    <row r="428">
      <c r="A428" t="inlineStr">
        <is>
          <t>Company and Securities Law Journal</t>
        </is>
      </c>
      <c r="B428" t="inlineStr">
        <is>
          <t>A</t>
        </is>
      </c>
      <c r="C428" t="n">
        <v>4801</v>
      </c>
      <c r="D428" t="inlineStr">
        <is>
          <t>Thomson Reuters</t>
        </is>
      </c>
    </row>
    <row r="429">
      <c r="A429" t="inlineStr">
        <is>
          <t>Company Lawyer</t>
        </is>
      </c>
      <c r="B429" t="inlineStr">
        <is>
          <t>B</t>
        </is>
      </c>
      <c r="C429" t="n">
        <v>4801</v>
      </c>
      <c r="D429" t="inlineStr">
        <is>
          <t>Sweet &amp; Maxwell</t>
        </is>
      </c>
    </row>
    <row r="430">
      <c r="A430" t="inlineStr">
        <is>
          <t>Comparative Economic Studies</t>
        </is>
      </c>
      <c r="B430" t="inlineStr">
        <is>
          <t>B</t>
        </is>
      </c>
      <c r="C430" t="n">
        <v>3899</v>
      </c>
      <c r="D430" t="inlineStr">
        <is>
          <t>Springer International Publishing</t>
        </is>
      </c>
    </row>
    <row r="431">
      <c r="A431" t="inlineStr">
        <is>
          <t>Comparative Labor Law and Policy Journal</t>
        </is>
      </c>
      <c r="B431" t="inlineStr">
        <is>
          <t>A</t>
        </is>
      </c>
      <c r="C431" t="n">
        <v>4801</v>
      </c>
      <c r="D431" t="inlineStr">
        <is>
          <t>University of Illinois Press</t>
        </is>
      </c>
    </row>
    <row r="432">
      <c r="A432" t="inlineStr">
        <is>
          <t>Comparative Political Studies</t>
        </is>
      </c>
      <c r="B432" t="inlineStr">
        <is>
          <t>A</t>
        </is>
      </c>
      <c r="C432" t="n">
        <v>3599</v>
      </c>
      <c r="D432" t="inlineStr">
        <is>
          <t>Sage Publications</t>
        </is>
      </c>
    </row>
    <row r="433">
      <c r="A433" t="inlineStr">
        <is>
          <t>Comparative Politics</t>
        </is>
      </c>
      <c r="B433" t="inlineStr">
        <is>
          <t>A</t>
        </is>
      </c>
      <c r="C433" t="n">
        <v>3599</v>
      </c>
      <c r="D433" t="inlineStr">
        <is>
          <t>City University of New York</t>
        </is>
      </c>
    </row>
    <row r="434">
      <c r="A434" t="inlineStr">
        <is>
          <t>Compensation &amp; Benefits Review</t>
        </is>
      </c>
      <c r="B434" t="inlineStr">
        <is>
          <t>C</t>
        </is>
      </c>
      <c r="C434" t="n">
        <v>3505</v>
      </c>
      <c r="D434" t="inlineStr">
        <is>
          <t>SAGE</t>
        </is>
      </c>
    </row>
    <row r="435">
      <c r="A435" t="inlineStr">
        <is>
          <t>Competition and Change</t>
        </is>
      </c>
      <c r="B435" t="inlineStr">
        <is>
          <t>B</t>
        </is>
      </c>
      <c r="C435" t="n">
        <v>3505</v>
      </c>
      <c r="D435" t="inlineStr">
        <is>
          <t>Sage Publications</t>
        </is>
      </c>
    </row>
    <row r="436">
      <c r="A436" t="inlineStr">
        <is>
          <t>Competition and Consumer Law Journal</t>
        </is>
      </c>
      <c r="B436" t="inlineStr">
        <is>
          <t>A</t>
        </is>
      </c>
      <c r="C436" t="n">
        <v>4801</v>
      </c>
      <c r="D436" t="inlineStr">
        <is>
          <t>LexisNexis</t>
        </is>
      </c>
    </row>
    <row r="437">
      <c r="A437" t="inlineStr">
        <is>
          <t>Competition and Regulation in Network Industries</t>
        </is>
      </c>
      <c r="B437" t="inlineStr">
        <is>
          <t>B</t>
        </is>
      </c>
      <c r="C437" t="n">
        <v>3801</v>
      </c>
      <c r="D437" t="inlineStr">
        <is>
          <t>Sage Publications</t>
        </is>
      </c>
    </row>
    <row r="438">
      <c r="A438" t="inlineStr">
        <is>
          <t>Competition Law Journal</t>
        </is>
      </c>
      <c r="B438" t="inlineStr">
        <is>
          <t>C</t>
        </is>
      </c>
      <c r="C438" t="n">
        <v>4801</v>
      </c>
      <c r="D438" t="inlineStr">
        <is>
          <t>Edward Elgar Publishing</t>
        </is>
      </c>
    </row>
    <row r="439">
      <c r="A439" t="inlineStr">
        <is>
          <t>Competitiveness Review</t>
        </is>
      </c>
      <c r="B439" t="inlineStr">
        <is>
          <t>C</t>
        </is>
      </c>
      <c r="C439" t="n">
        <v>3507</v>
      </c>
      <c r="D439" t="inlineStr">
        <is>
          <t>Emerald Group Publishing</t>
        </is>
      </c>
    </row>
    <row r="440">
      <c r="A440" t="inlineStr">
        <is>
          <t>Comptabilité - Contrôle - Audit</t>
        </is>
      </c>
      <c r="B440" t="inlineStr">
        <is>
          <t>B</t>
        </is>
      </c>
      <c r="C440" t="n">
        <v>3501</v>
      </c>
      <c r="D440" t="inlineStr">
        <is>
          <t>Association Francophone de Comptabilité FRANCE</t>
        </is>
      </c>
    </row>
    <row r="441">
      <c r="A441" t="inlineStr">
        <is>
          <t>Computational Economics</t>
        </is>
      </c>
      <c r="B441" t="inlineStr">
        <is>
          <t>B</t>
        </is>
      </c>
      <c r="C441" t="n">
        <v>3899</v>
      </c>
      <c r="D441" t="inlineStr">
        <is>
          <t>Springer International Publishing</t>
        </is>
      </c>
    </row>
    <row r="442">
      <c r="A442" t="inlineStr">
        <is>
          <t>Computational Management Science</t>
        </is>
      </c>
      <c r="B442" t="inlineStr">
        <is>
          <t>B</t>
        </is>
      </c>
      <c r="C442" t="n">
        <v>3503</v>
      </c>
      <c r="D442" t="inlineStr">
        <is>
          <t>Springer International Publishing</t>
        </is>
      </c>
    </row>
    <row r="443">
      <c r="A443" t="inlineStr">
        <is>
          <t>Computational Statistics and Data Analysis</t>
        </is>
      </c>
      <c r="B443" t="inlineStr">
        <is>
          <t>A</t>
        </is>
      </c>
      <c r="C443" t="n">
        <v>4905</v>
      </c>
      <c r="D443" t="inlineStr">
        <is>
          <t>Elsevier</t>
        </is>
      </c>
    </row>
    <row r="444">
      <c r="A444" t="inlineStr">
        <is>
          <t>Computer and Telecommunications Law Review</t>
        </is>
      </c>
      <c r="B444" t="inlineStr">
        <is>
          <t>C</t>
        </is>
      </c>
      <c r="C444" t="n">
        <v>4801</v>
      </c>
      <c r="D444" t="inlineStr">
        <is>
          <t>Sweet &amp; Maxwell</t>
        </is>
      </c>
    </row>
    <row r="445">
      <c r="A445" t="inlineStr">
        <is>
          <t>Computer Law &amp; Security Review</t>
        </is>
      </c>
      <c r="B445" t="inlineStr">
        <is>
          <t>B</t>
        </is>
      </c>
      <c r="C445" t="n">
        <v>4801</v>
      </c>
      <c r="D445" t="inlineStr">
        <is>
          <t>Elsevier</t>
        </is>
      </c>
    </row>
    <row r="446">
      <c r="A446" t="inlineStr">
        <is>
          <t>Computer Supported Cooperative Work</t>
        </is>
      </c>
      <c r="B446" t="inlineStr">
        <is>
          <t>B</t>
        </is>
      </c>
      <c r="C446" t="n">
        <v>4609</v>
      </c>
      <c r="D446" t="inlineStr">
        <is>
          <t>Springer International Publishing</t>
        </is>
      </c>
    </row>
    <row r="447">
      <c r="A447" t="inlineStr">
        <is>
          <t>Computers &amp; Industrial Engineering</t>
        </is>
      </c>
      <c r="B447" t="inlineStr">
        <is>
          <t>A</t>
        </is>
      </c>
      <c r="C447" t="n">
        <v>3503</v>
      </c>
      <c r="D447" t="inlineStr">
        <is>
          <t>Elsevier</t>
        </is>
      </c>
    </row>
    <row r="448">
      <c r="A448" t="inlineStr">
        <is>
          <t>Computers and Operations Research</t>
        </is>
      </c>
      <c r="B448" t="inlineStr">
        <is>
          <t>A</t>
        </is>
      </c>
      <c r="C448" t="n">
        <v>3509</v>
      </c>
      <c r="D448" t="inlineStr">
        <is>
          <t>Elsevier</t>
        </is>
      </c>
    </row>
    <row r="449">
      <c r="A449" t="inlineStr">
        <is>
          <t>Computers in Human Behavior</t>
        </is>
      </c>
      <c r="B449" t="inlineStr">
        <is>
          <t>A</t>
        </is>
      </c>
      <c r="C449" t="n">
        <v>4609</v>
      </c>
      <c r="D449" t="inlineStr">
        <is>
          <t>Elsevier</t>
        </is>
      </c>
    </row>
    <row r="450">
      <c r="A450" t="inlineStr">
        <is>
          <t>Conflict Management and Peace Science</t>
        </is>
      </c>
      <c r="B450" t="inlineStr">
        <is>
          <t>B</t>
        </is>
      </c>
      <c r="C450" t="n">
        <v>3507</v>
      </c>
      <c r="D450" t="inlineStr">
        <is>
          <t>Sage Publications</t>
        </is>
      </c>
    </row>
    <row r="451">
      <c r="A451" t="inlineStr">
        <is>
          <t>Conflict Resolution Quarterly</t>
        </is>
      </c>
      <c r="B451" t="inlineStr">
        <is>
          <t>B</t>
        </is>
      </c>
      <c r="C451" t="n">
        <v>3507</v>
      </c>
      <c r="D451" t="inlineStr">
        <is>
          <t>Wiley-Blackwell Publishing</t>
        </is>
      </c>
    </row>
    <row r="452">
      <c r="A452" t="inlineStr">
        <is>
          <t>Constitutional Political Economy</t>
        </is>
      </c>
      <c r="B452" t="inlineStr">
        <is>
          <t>B</t>
        </is>
      </c>
      <c r="C452" t="n">
        <v>3801</v>
      </c>
      <c r="D452" t="inlineStr">
        <is>
          <t>Springer International Publishing</t>
        </is>
      </c>
    </row>
    <row r="453">
      <c r="A453" t="inlineStr">
        <is>
          <t>Construction Economics and Building</t>
        </is>
      </c>
      <c r="B453" t="inlineStr">
        <is>
          <t>C</t>
        </is>
      </c>
      <c r="C453" t="n">
        <v>3504</v>
      </c>
      <c r="D453" t="inlineStr">
        <is>
          <t>UTS ePress</t>
        </is>
      </c>
    </row>
    <row r="454">
      <c r="A454" t="inlineStr">
        <is>
          <t>Construction Innovation</t>
        </is>
      </c>
      <c r="B454" t="inlineStr">
        <is>
          <t>B</t>
        </is>
      </c>
      <c r="C454" t="n">
        <v>3504</v>
      </c>
      <c r="D454" t="inlineStr">
        <is>
          <t>Emerald Group Publishing</t>
        </is>
      </c>
    </row>
    <row r="455">
      <c r="A455" t="inlineStr">
        <is>
          <t>Construction Law Journal</t>
        </is>
      </c>
      <c r="B455" t="inlineStr">
        <is>
          <t>B</t>
        </is>
      </c>
      <c r="C455" t="n">
        <v>4801</v>
      </c>
      <c r="D455" t="inlineStr">
        <is>
          <t>Sweet &amp; Maxwell</t>
        </is>
      </c>
    </row>
    <row r="456">
      <c r="A456" t="inlineStr">
        <is>
          <t>Construction Management and Economics</t>
        </is>
      </c>
      <c r="B456" t="inlineStr">
        <is>
          <t>A</t>
        </is>
      </c>
      <c r="C456" t="n">
        <v>3504</v>
      </c>
      <c r="D456" t="inlineStr">
        <is>
          <t>Taylor &amp; Francis Online</t>
        </is>
      </c>
    </row>
    <row r="457">
      <c r="A457" t="inlineStr">
        <is>
          <t>Consumer Behavior in Tourism and Hospitality</t>
        </is>
      </c>
      <c r="B457" t="inlineStr">
        <is>
          <t>B</t>
        </is>
      </c>
      <c r="C457" t="n">
        <v>3508</v>
      </c>
      <c r="D457" t="inlineStr">
        <is>
          <t>Emerald Group Publishing</t>
        </is>
      </c>
    </row>
    <row r="458">
      <c r="A458" t="inlineStr">
        <is>
          <t>Consumer Finance Law Quarterly Report</t>
        </is>
      </c>
      <c r="B458" t="inlineStr">
        <is>
          <t>C</t>
        </is>
      </c>
      <c r="C458" t="n">
        <v>4801</v>
      </c>
      <c r="D458" t="inlineStr">
        <is>
          <t>Conference on Consumer Finance Law</t>
        </is>
      </c>
    </row>
    <row r="459">
      <c r="A459" t="inlineStr">
        <is>
          <t>Consumption, Markets and Culture</t>
        </is>
      </c>
      <c r="B459" t="inlineStr">
        <is>
          <t>B</t>
        </is>
      </c>
      <c r="C459" t="n">
        <v>3506</v>
      </c>
      <c r="D459" t="inlineStr">
        <is>
          <t>Taylor &amp; Francis Online</t>
        </is>
      </c>
    </row>
    <row r="460">
      <c r="A460" t="inlineStr">
        <is>
          <t>Contemporary Accounting Research</t>
        </is>
      </c>
      <c r="B460" t="inlineStr">
        <is>
          <t>A*</t>
        </is>
      </c>
      <c r="C460" t="n">
        <v>3501</v>
      </c>
      <c r="D460" t="inlineStr">
        <is>
          <t>Wiley-Blackwell Publishing</t>
        </is>
      </c>
    </row>
    <row r="461">
      <c r="A461" t="inlineStr">
        <is>
          <t>Contemporary Economic Policy</t>
        </is>
      </c>
      <c r="B461" t="inlineStr">
        <is>
          <t>B</t>
        </is>
      </c>
      <c r="C461" t="n">
        <v>3801</v>
      </c>
      <c r="D461" t="inlineStr">
        <is>
          <t>Wiley-Blackwell Publishing</t>
        </is>
      </c>
    </row>
    <row r="462">
      <c r="A462" t="inlineStr">
        <is>
          <t>Contemporary Economics</t>
        </is>
      </c>
      <c r="B462" t="inlineStr">
        <is>
          <t>C</t>
        </is>
      </c>
      <c r="C462" t="n">
        <v>3899</v>
      </c>
      <c r="D462" t="inlineStr">
        <is>
          <t>Vizia University</t>
        </is>
      </c>
    </row>
    <row r="463">
      <c r="A463" t="inlineStr">
        <is>
          <t>Contemporary Sociology</t>
        </is>
      </c>
      <c r="B463" t="inlineStr">
        <is>
          <t>C</t>
        </is>
      </c>
      <c r="C463" t="n">
        <v>3507</v>
      </c>
      <c r="D463" t="inlineStr">
        <is>
          <t>Sage Publications</t>
        </is>
      </c>
    </row>
    <row r="464">
      <c r="A464" t="inlineStr">
        <is>
          <t>Contract and Commercial Law Review</t>
        </is>
      </c>
      <c r="B464" t="inlineStr">
        <is>
          <t>C</t>
        </is>
      </c>
      <c r="C464" t="n">
        <v>4801</v>
      </c>
      <c r="D464" t="inlineStr">
        <is>
          <t>J W Carter Publishing Pty Ltd</t>
        </is>
      </c>
    </row>
    <row r="465">
      <c r="A465" t="inlineStr">
        <is>
          <t>Contributions to Political Economy</t>
        </is>
      </c>
      <c r="B465" t="inlineStr">
        <is>
          <t>B</t>
        </is>
      </c>
      <c r="C465" t="n">
        <v>3801</v>
      </c>
      <c r="D465" t="inlineStr">
        <is>
          <t>Oxford University Press</t>
        </is>
      </c>
    </row>
    <row r="466">
      <c r="A466" t="inlineStr">
        <is>
          <t>Copernican Journal of Finance &amp; Accounting</t>
        </is>
      </c>
      <c r="B466" t="inlineStr">
        <is>
          <t>C</t>
        </is>
      </c>
      <c r="C466" t="n">
        <v>3501</v>
      </c>
      <c r="D466" t="inlineStr">
        <is>
          <t>Nicolaus Copernicus University Press</t>
        </is>
      </c>
    </row>
    <row r="467">
      <c r="A467" t="inlineStr">
        <is>
          <t>Copyright Society of the USA Journal</t>
        </is>
      </c>
      <c r="B467" t="inlineStr">
        <is>
          <t>B</t>
        </is>
      </c>
      <c r="C467" t="n">
        <v>4801</v>
      </c>
      <c r="D467" t="inlineStr">
        <is>
          <t>Society of the USA</t>
        </is>
      </c>
    </row>
    <row r="468">
      <c r="A468" t="inlineStr">
        <is>
          <t>Cornell Hospitality Quarterly</t>
        </is>
      </c>
      <c r="B468" t="inlineStr">
        <is>
          <t>A</t>
        </is>
      </c>
      <c r="C468" t="n">
        <v>3504</v>
      </c>
      <c r="D468" t="inlineStr">
        <is>
          <t>Sage Publications</t>
        </is>
      </c>
    </row>
    <row r="469">
      <c r="A469" t="inlineStr">
        <is>
          <t>Cornell International Law Journal</t>
        </is>
      </c>
      <c r="B469" t="inlineStr">
        <is>
          <t>B</t>
        </is>
      </c>
      <c r="C469" t="n">
        <v>4801</v>
      </c>
      <c r="D469" t="inlineStr">
        <is>
          <t>Cornell Society of International Law</t>
        </is>
      </c>
    </row>
    <row r="470">
      <c r="A470" t="inlineStr">
        <is>
          <t>Cornell Law Review</t>
        </is>
      </c>
      <c r="B470" t="inlineStr">
        <is>
          <t>A*</t>
        </is>
      </c>
      <c r="C470" t="n">
        <v>4801</v>
      </c>
      <c r="D470" t="inlineStr">
        <is>
          <t>Cornell Law School</t>
        </is>
      </c>
    </row>
    <row r="471">
      <c r="A471" t="inlineStr">
        <is>
          <t>Corporate Board</t>
        </is>
      </c>
      <c r="B471" t="inlineStr">
        <is>
          <t>C</t>
        </is>
      </c>
      <c r="C471" t="n">
        <v>4801</v>
      </c>
      <c r="D471" t="inlineStr">
        <is>
          <t>Vanguard Publications</t>
        </is>
      </c>
    </row>
    <row r="472">
      <c r="A472" t="inlineStr">
        <is>
          <t>Corporate Communications</t>
        </is>
      </c>
      <c r="B472" t="inlineStr">
        <is>
          <t>B</t>
        </is>
      </c>
      <c r="C472" t="n">
        <v>3506</v>
      </c>
      <c r="D472" t="inlineStr">
        <is>
          <t>Emerald Group Publishing</t>
        </is>
      </c>
    </row>
    <row r="473">
      <c r="A473" t="inlineStr">
        <is>
          <t>Corporate Finance Review</t>
        </is>
      </c>
      <c r="B473" t="inlineStr">
        <is>
          <t>C</t>
        </is>
      </c>
      <c r="C473" t="n">
        <v>3502</v>
      </c>
      <c r="D473" t="inlineStr">
        <is>
          <t>RIA Group, Boston</t>
        </is>
      </c>
    </row>
    <row r="474">
      <c r="A474" t="inlineStr">
        <is>
          <t>Corporate Governance</t>
        </is>
      </c>
      <c r="B474" t="inlineStr">
        <is>
          <t>B</t>
        </is>
      </c>
      <c r="C474" t="n">
        <v>3507</v>
      </c>
      <c r="D474" t="inlineStr">
        <is>
          <t>Emerald Group Publishing</t>
        </is>
      </c>
    </row>
    <row r="475">
      <c r="A475" t="inlineStr">
        <is>
          <t>Corporate Governance International</t>
        </is>
      </c>
      <c r="B475" t="inlineStr">
        <is>
          <t>B</t>
        </is>
      </c>
      <c r="C475" t="n">
        <v>4801</v>
      </c>
      <c r="D475" t="inlineStr">
        <is>
          <t>The University of Melbourne</t>
        </is>
      </c>
    </row>
    <row r="476">
      <c r="A476" t="inlineStr">
        <is>
          <t>Corporate Governance: an international review</t>
        </is>
      </c>
      <c r="B476" t="inlineStr">
        <is>
          <t>A</t>
        </is>
      </c>
      <c r="C476" t="n">
        <v>3507</v>
      </c>
      <c r="D476" t="inlineStr">
        <is>
          <t>Wiley-Blackwell Publishing</t>
        </is>
      </c>
    </row>
    <row r="477">
      <c r="A477" t="inlineStr">
        <is>
          <t>Corporate Reputation Review</t>
        </is>
      </c>
      <c r="B477" t="inlineStr">
        <is>
          <t>C</t>
        </is>
      </c>
      <c r="C477" t="n">
        <v>3507</v>
      </c>
      <c r="D477" t="inlineStr">
        <is>
          <t>Springer International Publishing</t>
        </is>
      </c>
    </row>
    <row r="478">
      <c r="A478" t="inlineStr">
        <is>
          <t>Corporate Social Responsibility and Environmental Management</t>
        </is>
      </c>
      <c r="B478" t="inlineStr">
        <is>
          <t>C</t>
        </is>
      </c>
      <c r="C478" t="n">
        <v>3507</v>
      </c>
      <c r="D478" t="inlineStr">
        <is>
          <t>Wiley-Blackwell Publishing</t>
        </is>
      </c>
    </row>
    <row r="479">
      <c r="A479" t="inlineStr">
        <is>
          <t>Corporate Taxation</t>
        </is>
      </c>
      <c r="B479" t="inlineStr">
        <is>
          <t>C</t>
        </is>
      </c>
      <c r="C479" t="n">
        <v>4801</v>
      </c>
      <c r="D479" t="inlineStr">
        <is>
          <t>Warren, Gorham &amp; Lamont, Inc.: Thomson Reuters</t>
        </is>
      </c>
    </row>
    <row r="480">
      <c r="A480" t="inlineStr">
        <is>
          <t>Cost Effectiveness and Resource Allocation</t>
        </is>
      </c>
      <c r="B480" t="inlineStr">
        <is>
          <t>C</t>
        </is>
      </c>
      <c r="C480" t="n">
        <v>3801</v>
      </c>
      <c r="D480" t="inlineStr">
        <is>
          <t>BioMed Central</t>
        </is>
      </c>
    </row>
    <row r="481">
      <c r="A481" t="inlineStr">
        <is>
          <t>Cost Management</t>
        </is>
      </c>
      <c r="B481" t="inlineStr">
        <is>
          <t>C</t>
        </is>
      </c>
      <c r="C481" t="n">
        <v>3501</v>
      </c>
      <c r="D481" t="inlineStr">
        <is>
          <t>Warren Gorham &amp; Lamont, Inc.  - Thomson Financial Publishing</t>
        </is>
      </c>
    </row>
    <row r="482">
      <c r="A482" t="inlineStr">
        <is>
          <t>Creativity and Innovation Management</t>
        </is>
      </c>
      <c r="B482" t="inlineStr">
        <is>
          <t>B</t>
        </is>
      </c>
      <c r="C482" t="n">
        <v>3507</v>
      </c>
      <c r="D482" t="inlineStr">
        <is>
          <t>Wiley-Blackwell Publishing</t>
        </is>
      </c>
    </row>
    <row r="483">
      <c r="A483" t="inlineStr">
        <is>
          <t>Credit and Capital Markets</t>
        </is>
      </c>
      <c r="B483" t="inlineStr">
        <is>
          <t>C</t>
        </is>
      </c>
      <c r="C483" t="n">
        <v>3803</v>
      </c>
      <c r="D483" t="inlineStr">
        <is>
          <t>Duncker &amp; Humblot Gmbh</t>
        </is>
      </c>
    </row>
    <row r="484">
      <c r="A484" t="inlineStr">
        <is>
          <t>Crime, Law and Social Change</t>
        </is>
      </c>
      <c r="B484" t="inlineStr">
        <is>
          <t>B</t>
        </is>
      </c>
      <c r="C484" t="n">
        <v>4801</v>
      </c>
      <c r="D484" t="inlineStr">
        <is>
          <t>Springer International Publishing</t>
        </is>
      </c>
    </row>
    <row r="485">
      <c r="A485" t="inlineStr">
        <is>
          <t>Critical Asian Studies</t>
        </is>
      </c>
      <c r="B485" t="inlineStr">
        <is>
          <t>B</t>
        </is>
      </c>
      <c r="C485" t="n">
        <v>3599</v>
      </c>
      <c r="D485" t="inlineStr">
        <is>
          <t>Taylor &amp; Francis Online</t>
        </is>
      </c>
    </row>
    <row r="486">
      <c r="A486" t="inlineStr">
        <is>
          <t>Critical Discourse Studies</t>
        </is>
      </c>
      <c r="B486" t="inlineStr">
        <is>
          <t>B</t>
        </is>
      </c>
      <c r="C486" t="n">
        <v>3599</v>
      </c>
      <c r="D486" t="inlineStr">
        <is>
          <t>Taylor &amp; Francis Online</t>
        </is>
      </c>
    </row>
    <row r="487">
      <c r="A487" t="inlineStr">
        <is>
          <t>Critical Finance Review</t>
        </is>
      </c>
      <c r="B487" t="inlineStr">
        <is>
          <t>A*</t>
        </is>
      </c>
      <c r="C487" t="n">
        <v>3502</v>
      </c>
      <c r="D487" t="inlineStr">
        <is>
          <t>Now Publishers</t>
        </is>
      </c>
    </row>
    <row r="488">
      <c r="A488" t="inlineStr">
        <is>
          <t>Critical Perspectives on Accounting</t>
        </is>
      </c>
      <c r="B488" t="inlineStr">
        <is>
          <t>A</t>
        </is>
      </c>
      <c r="C488" t="n">
        <v>3501</v>
      </c>
      <c r="D488" t="inlineStr">
        <is>
          <t>Elsevier</t>
        </is>
      </c>
    </row>
    <row r="489">
      <c r="A489" t="inlineStr">
        <is>
          <t>Critical Perspectives on International Business</t>
        </is>
      </c>
      <c r="B489" t="inlineStr">
        <is>
          <t>B</t>
        </is>
      </c>
      <c r="C489" t="n">
        <v>3507</v>
      </c>
      <c r="D489" t="inlineStr">
        <is>
          <t>Emerald Group Publishing</t>
        </is>
      </c>
    </row>
    <row r="490">
      <c r="A490" t="inlineStr">
        <is>
          <t>Critical Studies in Media Communication</t>
        </is>
      </c>
      <c r="B490" t="inlineStr">
        <is>
          <t>C</t>
        </is>
      </c>
      <c r="C490" t="n">
        <v>3599</v>
      </c>
      <c r="D490" t="inlineStr">
        <is>
          <t>Taylor &amp; Francis Online</t>
        </is>
      </c>
    </row>
    <row r="491">
      <c r="A491" t="inlineStr">
        <is>
          <t>Cross Cultural &amp; Strategic Management</t>
        </is>
      </c>
      <c r="B491" t="inlineStr">
        <is>
          <t>B</t>
        </is>
      </c>
      <c r="C491" t="n">
        <v>3507</v>
      </c>
      <c r="D491" t="inlineStr">
        <is>
          <t>Emerald Publishing</t>
        </is>
      </c>
    </row>
    <row r="492">
      <c r="A492" t="inlineStr">
        <is>
          <t>Cultural Diversity and Ethnic Minority Psychology</t>
        </is>
      </c>
      <c r="B492" t="inlineStr">
        <is>
          <t>B</t>
        </is>
      </c>
      <c r="C492" t="n">
        <v>3507</v>
      </c>
      <c r="D492" t="inlineStr">
        <is>
          <t>American Psychological Association</t>
        </is>
      </c>
    </row>
    <row r="493">
      <c r="A493" t="inlineStr">
        <is>
          <t>Cultural Trends</t>
        </is>
      </c>
      <c r="B493" t="inlineStr">
        <is>
          <t>B</t>
        </is>
      </c>
      <c r="C493" t="n">
        <v>3504</v>
      </c>
      <c r="D493" t="inlineStr">
        <is>
          <t>Taylor &amp; Francis Online</t>
        </is>
      </c>
    </row>
    <row r="494">
      <c r="A494" t="inlineStr">
        <is>
          <t>Culture and Organization</t>
        </is>
      </c>
      <c r="B494" t="inlineStr">
        <is>
          <t>B</t>
        </is>
      </c>
      <c r="C494" t="n">
        <v>3507</v>
      </c>
      <c r="D494" t="inlineStr">
        <is>
          <t>Taylor &amp; Francis Online</t>
        </is>
      </c>
    </row>
    <row r="495">
      <c r="A495" t="inlineStr">
        <is>
          <t>Current Issues in Auditing</t>
        </is>
      </c>
      <c r="B495" t="inlineStr">
        <is>
          <t>B</t>
        </is>
      </c>
      <c r="C495" t="n">
        <v>3501</v>
      </c>
      <c r="D495" t="inlineStr">
        <is>
          <t>American Accounting Association</t>
        </is>
      </c>
    </row>
    <row r="496">
      <c r="A496" t="inlineStr">
        <is>
          <t>Current Issues in Tourism</t>
        </is>
      </c>
      <c r="B496" t="inlineStr">
        <is>
          <t>A</t>
        </is>
      </c>
      <c r="C496" t="n">
        <v>3508</v>
      </c>
      <c r="D496" t="inlineStr">
        <is>
          <t>Taylor &amp; Francis Online</t>
        </is>
      </c>
    </row>
    <row r="497">
      <c r="A497" t="inlineStr">
        <is>
          <t>Current Legal Problems</t>
        </is>
      </c>
      <c r="B497" t="inlineStr">
        <is>
          <t>A</t>
        </is>
      </c>
      <c r="C497" t="n">
        <v>4801</v>
      </c>
      <c r="D497" t="inlineStr">
        <is>
          <t>Oxford University Press</t>
        </is>
      </c>
    </row>
    <row r="498">
      <c r="A498" t="inlineStr">
        <is>
          <t>Current Politics and Economics of Europe</t>
        </is>
      </c>
      <c r="B498" t="inlineStr">
        <is>
          <t>C</t>
        </is>
      </c>
      <c r="C498" t="n">
        <v>3801</v>
      </c>
      <c r="D498" t="inlineStr">
        <is>
          <t>Nova Science Publishers</t>
        </is>
      </c>
    </row>
    <row r="499">
      <c r="A499" t="inlineStr">
        <is>
          <t>Curtin Law and Taxation Review</t>
        </is>
      </c>
      <c r="B499" t="inlineStr">
        <is>
          <t>B</t>
        </is>
      </c>
      <c r="C499" t="n">
        <v>4801</v>
      </c>
      <c r="D499" t="inlineStr">
        <is>
          <t>Curtin Law School</t>
        </is>
      </c>
    </row>
    <row r="500">
      <c r="A500" t="inlineStr">
        <is>
          <t>Customer Needs and Solutions</t>
        </is>
      </c>
      <c r="B500" t="inlineStr">
        <is>
          <t>B</t>
        </is>
      </c>
      <c r="C500" t="n">
        <v>3506</v>
      </c>
      <c r="D500" t="inlineStr">
        <is>
          <t>Springer Nature</t>
        </is>
      </c>
    </row>
    <row r="501">
      <c r="A501" t="inlineStr">
        <is>
          <t>Cyprus Economic Policy Review</t>
        </is>
      </c>
      <c r="B501" t="inlineStr">
        <is>
          <t>C</t>
        </is>
      </c>
      <c r="C501" t="n">
        <v>3899</v>
      </c>
      <c r="D501" t="inlineStr">
        <is>
          <t>University of Cyprus</t>
        </is>
      </c>
    </row>
    <row r="502">
      <c r="A502" t="inlineStr">
        <is>
          <t>Czech Economic Review</t>
        </is>
      </c>
      <c r="B502" t="inlineStr">
        <is>
          <t>C</t>
        </is>
      </c>
      <c r="C502" t="n">
        <v>3801</v>
      </c>
      <c r="D502" t="inlineStr">
        <is>
          <t>Charles University</t>
        </is>
      </c>
    </row>
    <row r="503">
      <c r="A503" t="inlineStr">
        <is>
          <t>Czech Journal of Economics and Finance / Finance a uver</t>
        </is>
      </c>
      <c r="B503" t="inlineStr">
        <is>
          <t>C</t>
        </is>
      </c>
      <c r="C503" t="n">
        <v>3899</v>
      </c>
      <c r="D503" t="inlineStr">
        <is>
          <t>Charles University</t>
        </is>
      </c>
    </row>
    <row r="504">
      <c r="A504" t="inlineStr">
        <is>
          <t>Dalhousie Law Journal</t>
        </is>
      </c>
      <c r="B504" t="inlineStr">
        <is>
          <t>A</t>
        </is>
      </c>
      <c r="C504" t="n">
        <v>4801</v>
      </c>
      <c r="D504" t="inlineStr">
        <is>
          <t>Dalhousie University Faculty of Law</t>
        </is>
      </c>
    </row>
    <row r="505">
      <c r="A505" t="inlineStr">
        <is>
          <t>Data Base for Advances in Information Systems</t>
        </is>
      </c>
      <c r="B505" t="inlineStr">
        <is>
          <t>A</t>
        </is>
      </c>
      <c r="C505" t="n">
        <v>4609</v>
      </c>
      <c r="D505" t="inlineStr">
        <is>
          <t>Sheridan Press</t>
        </is>
      </c>
    </row>
    <row r="506">
      <c r="A506" t="inlineStr">
        <is>
          <t>De Economist</t>
        </is>
      </c>
      <c r="B506" t="inlineStr">
        <is>
          <t>C</t>
        </is>
      </c>
      <c r="C506" t="n">
        <v>3801</v>
      </c>
      <c r="D506" t="inlineStr">
        <is>
          <t>Springer International Publishing</t>
        </is>
      </c>
    </row>
    <row r="507">
      <c r="A507" t="inlineStr">
        <is>
          <t>Deakin Law Review</t>
        </is>
      </c>
      <c r="B507" t="inlineStr">
        <is>
          <t>A</t>
        </is>
      </c>
      <c r="C507" t="n">
        <v>4801</v>
      </c>
      <c r="D507" t="inlineStr">
        <is>
          <t>Deakin University</t>
        </is>
      </c>
    </row>
    <row r="508">
      <c r="A508" t="inlineStr">
        <is>
          <t>Decision</t>
        </is>
      </c>
      <c r="B508" t="inlineStr">
        <is>
          <t>B</t>
        </is>
      </c>
      <c r="C508" t="n">
        <v>3507</v>
      </c>
      <c r="D508" t="inlineStr">
        <is>
          <t>American Psychological Association</t>
        </is>
      </c>
    </row>
    <row r="509">
      <c r="A509" t="inlineStr">
        <is>
          <t>Decision Analysis</t>
        </is>
      </c>
      <c r="B509" t="inlineStr">
        <is>
          <t>A</t>
        </is>
      </c>
      <c r="C509" t="n">
        <v>3503</v>
      </c>
      <c r="D509" t="inlineStr">
        <is>
          <t>The Institute for Operations Research and the Management Sciences (INFORMS)</t>
        </is>
      </c>
    </row>
    <row r="510">
      <c r="A510" t="inlineStr">
        <is>
          <t>Decision Sciences</t>
        </is>
      </c>
      <c r="B510" t="inlineStr">
        <is>
          <t>A*</t>
        </is>
      </c>
      <c r="C510" t="n">
        <v>3509</v>
      </c>
      <c r="D510" t="inlineStr">
        <is>
          <t>Wiley-Blackwell Publishing</t>
        </is>
      </c>
    </row>
    <row r="511">
      <c r="A511" t="inlineStr">
        <is>
          <t>Decision Sciences Journal of Innovative Education</t>
        </is>
      </c>
      <c r="B511" t="inlineStr">
        <is>
          <t>C</t>
        </is>
      </c>
      <c r="C511" t="n">
        <v>3505</v>
      </c>
      <c r="D511" t="inlineStr">
        <is>
          <t>Wiley-Blackwell Publishing</t>
        </is>
      </c>
    </row>
    <row r="512">
      <c r="A512" t="inlineStr">
        <is>
          <t>Decision Support Systems</t>
        </is>
      </c>
      <c r="B512" t="inlineStr">
        <is>
          <t>A*</t>
        </is>
      </c>
      <c r="C512" t="n">
        <v>4609</v>
      </c>
      <c r="D512" t="inlineStr">
        <is>
          <t>Elsevier</t>
        </is>
      </c>
    </row>
    <row r="513">
      <c r="A513" t="inlineStr">
        <is>
          <t>DECISION: Official journal of indian institute of management calcutta</t>
        </is>
      </c>
      <c r="B513" t="inlineStr">
        <is>
          <t>C</t>
        </is>
      </c>
      <c r="C513" t="n">
        <v>3507</v>
      </c>
      <c r="D513" t="inlineStr">
        <is>
          <t>Springer Nature</t>
        </is>
      </c>
    </row>
    <row r="514">
      <c r="A514" t="inlineStr">
        <is>
          <t>Decisions in Economics and Finance</t>
        </is>
      </c>
      <c r="B514" t="inlineStr">
        <is>
          <t>B</t>
        </is>
      </c>
      <c r="C514" t="n">
        <v>3801</v>
      </c>
      <c r="D514" t="inlineStr">
        <is>
          <t>Springer International Publishing</t>
        </is>
      </c>
    </row>
    <row r="515">
      <c r="A515" t="inlineStr">
        <is>
          <t>Defence and Peace Economics</t>
        </is>
      </c>
      <c r="B515" t="inlineStr">
        <is>
          <t>B</t>
        </is>
      </c>
      <c r="C515" t="n">
        <v>3801</v>
      </c>
      <c r="D515" t="inlineStr">
        <is>
          <t>Taylor &amp; Francis Online</t>
        </is>
      </c>
    </row>
    <row r="516">
      <c r="A516" t="inlineStr">
        <is>
          <t>Defense Transportation Journal</t>
        </is>
      </c>
      <c r="B516" t="inlineStr">
        <is>
          <t>C</t>
        </is>
      </c>
      <c r="C516" t="n">
        <v>3509</v>
      </c>
      <c r="D516" t="inlineStr">
        <is>
          <t>National Defense Transport Association</t>
        </is>
      </c>
    </row>
    <row r="517">
      <c r="A517" t="inlineStr">
        <is>
          <t>Delaware Journal of Corporate Law</t>
        </is>
      </c>
      <c r="B517" t="inlineStr">
        <is>
          <t>A</t>
        </is>
      </c>
      <c r="C517" t="n">
        <v>4801</v>
      </c>
      <c r="D517" t="inlineStr">
        <is>
          <t>Delaware Law School of Widener College</t>
        </is>
      </c>
    </row>
    <row r="518">
      <c r="A518" t="inlineStr">
        <is>
          <t>Demographic Research</t>
        </is>
      </c>
      <c r="B518" t="inlineStr">
        <is>
          <t>A</t>
        </is>
      </c>
      <c r="C518" t="n">
        <v>3505</v>
      </c>
      <c r="D518" t="inlineStr">
        <is>
          <t>Max Planck Institute for Demographic Research</t>
        </is>
      </c>
    </row>
    <row r="519">
      <c r="A519" t="inlineStr">
        <is>
          <t>Demography</t>
        </is>
      </c>
      <c r="B519" t="inlineStr">
        <is>
          <t>A</t>
        </is>
      </c>
      <c r="C519" t="n">
        <v>3801</v>
      </c>
      <c r="D519" t="inlineStr">
        <is>
          <t>Springer International Publishing</t>
        </is>
      </c>
    </row>
    <row r="520">
      <c r="A520" t="inlineStr">
        <is>
          <t>DePaul Business and Commercial Law Journal</t>
        </is>
      </c>
      <c r="B520" t="inlineStr">
        <is>
          <t>C</t>
        </is>
      </c>
      <c r="C520" t="n">
        <v>4801</v>
      </c>
      <c r="D520" t="inlineStr">
        <is>
          <t>DePaul University College of Law</t>
        </is>
      </c>
    </row>
    <row r="521">
      <c r="A521" t="inlineStr">
        <is>
          <t>Derivatives &amp; Financial Instruments</t>
        </is>
      </c>
      <c r="B521" t="inlineStr">
        <is>
          <t>C</t>
        </is>
      </c>
      <c r="C521" t="n">
        <v>3502</v>
      </c>
      <c r="D521" t="inlineStr">
        <is>
          <t>International Bureau of Fiscal Documentation</t>
        </is>
      </c>
    </row>
    <row r="522">
      <c r="A522" t="inlineStr">
        <is>
          <t>Design Studies</t>
        </is>
      </c>
      <c r="B522" t="inlineStr">
        <is>
          <t>A</t>
        </is>
      </c>
      <c r="C522" t="n">
        <v>3599</v>
      </c>
      <c r="D522" t="inlineStr">
        <is>
          <t>Elsevier</t>
        </is>
      </c>
    </row>
    <row r="523">
      <c r="A523" t="inlineStr">
        <is>
          <t>Developing Economies</t>
        </is>
      </c>
      <c r="B523" t="inlineStr">
        <is>
          <t>B</t>
        </is>
      </c>
      <c r="C523" t="n">
        <v>3801</v>
      </c>
      <c r="D523" t="inlineStr">
        <is>
          <t>Wiley-Blackwell Publishing</t>
        </is>
      </c>
    </row>
    <row r="524">
      <c r="A524" t="inlineStr">
        <is>
          <t>Development and Change</t>
        </is>
      </c>
      <c r="B524" t="inlineStr">
        <is>
          <t>B</t>
        </is>
      </c>
      <c r="C524" t="n">
        <v>3801</v>
      </c>
      <c r="D524" t="inlineStr">
        <is>
          <t>Wiley-Blackwell Publishing</t>
        </is>
      </c>
    </row>
    <row r="525">
      <c r="A525" t="inlineStr">
        <is>
          <t>Development and Learning in Organizations</t>
        </is>
      </c>
      <c r="B525" t="inlineStr">
        <is>
          <t>C</t>
        </is>
      </c>
      <c r="C525" t="n">
        <v>3505</v>
      </c>
      <c r="D525" t="inlineStr">
        <is>
          <t>Emerald Group Publishing</t>
        </is>
      </c>
    </row>
    <row r="526">
      <c r="A526" t="inlineStr">
        <is>
          <t>Development Policy Review</t>
        </is>
      </c>
      <c r="B526" t="inlineStr">
        <is>
          <t>B</t>
        </is>
      </c>
      <c r="C526" t="n">
        <v>3801</v>
      </c>
      <c r="D526" t="inlineStr">
        <is>
          <t>Wiley-Blackwell Publishing</t>
        </is>
      </c>
    </row>
    <row r="527">
      <c r="A527" t="inlineStr">
        <is>
          <t>Development Southern Africa</t>
        </is>
      </c>
      <c r="B527" t="inlineStr">
        <is>
          <t>C</t>
        </is>
      </c>
      <c r="C527" t="n">
        <v>3801</v>
      </c>
      <c r="D527" t="inlineStr">
        <is>
          <t>Taylor &amp; Francis Online</t>
        </is>
      </c>
    </row>
    <row r="528">
      <c r="A528" t="inlineStr">
        <is>
          <t>Digital Business</t>
        </is>
      </c>
      <c r="B528" t="inlineStr">
        <is>
          <t>C</t>
        </is>
      </c>
      <c r="C528" t="n">
        <v>4609</v>
      </c>
      <c r="D528" t="inlineStr">
        <is>
          <t>Elsevier</t>
        </is>
      </c>
    </row>
    <row r="529">
      <c r="A529" t="inlineStr">
        <is>
          <t>Digital Policy, Regulation and Governance</t>
        </is>
      </c>
      <c r="B529" t="inlineStr">
        <is>
          <t>B</t>
        </is>
      </c>
      <c r="C529" t="n">
        <v>4609</v>
      </c>
      <c r="D529" t="inlineStr">
        <is>
          <t>Emerald Publishing</t>
        </is>
      </c>
    </row>
    <row r="530">
      <c r="A530" t="inlineStr">
        <is>
          <t>Disasters</t>
        </is>
      </c>
      <c r="B530" t="inlineStr">
        <is>
          <t>A</t>
        </is>
      </c>
      <c r="C530" t="n">
        <v>3599</v>
      </c>
      <c r="D530" t="inlineStr">
        <is>
          <t>Wiley-Blackwell Publishing</t>
        </is>
      </c>
    </row>
    <row r="531">
      <c r="A531" t="inlineStr">
        <is>
          <t>Discourse &amp; Communication</t>
        </is>
      </c>
      <c r="B531" t="inlineStr">
        <is>
          <t>A</t>
        </is>
      </c>
      <c r="C531" t="n">
        <v>3599</v>
      </c>
      <c r="D531" t="inlineStr">
        <is>
          <t>Sage Publications</t>
        </is>
      </c>
    </row>
    <row r="532">
      <c r="A532" t="inlineStr">
        <is>
          <t>Discourse &amp; Society</t>
        </is>
      </c>
      <c r="B532" t="inlineStr">
        <is>
          <t>A</t>
        </is>
      </c>
      <c r="C532" t="n">
        <v>3599</v>
      </c>
      <c r="D532" t="inlineStr">
        <is>
          <t>Sage Publications</t>
        </is>
      </c>
    </row>
    <row r="533">
      <c r="A533" t="inlineStr">
        <is>
          <t>Discourse Studies</t>
        </is>
      </c>
      <c r="B533" t="inlineStr">
        <is>
          <t>A</t>
        </is>
      </c>
      <c r="C533" t="n">
        <v>3599</v>
      </c>
      <c r="D533" t="inlineStr">
        <is>
          <t>Sage Publications</t>
        </is>
      </c>
    </row>
    <row r="534">
      <c r="A534" t="inlineStr">
        <is>
          <t>Duke Journal of Comparative and International Law</t>
        </is>
      </c>
      <c r="B534" t="inlineStr">
        <is>
          <t>A</t>
        </is>
      </c>
      <c r="C534" t="n">
        <v>4801</v>
      </c>
      <c r="D534" t="inlineStr">
        <is>
          <t>Duke University School of Law</t>
        </is>
      </c>
    </row>
    <row r="535">
      <c r="A535" t="inlineStr">
        <is>
          <t>Duke Law Journal</t>
        </is>
      </c>
      <c r="B535" t="inlineStr">
        <is>
          <t>B</t>
        </is>
      </c>
      <c r="C535" t="n">
        <v>4801</v>
      </c>
      <c r="D535" t="inlineStr">
        <is>
          <t>Duke University Press</t>
        </is>
      </c>
    </row>
    <row r="536">
      <c r="A536" t="inlineStr">
        <is>
          <t>Duquesne Business Law Journal</t>
        </is>
      </c>
      <c r="B536" t="inlineStr">
        <is>
          <t>C</t>
        </is>
      </c>
      <c r="C536" t="n">
        <v>4801</v>
      </c>
      <c r="D536" t="inlineStr">
        <is>
          <t>Duquesne University School of Law</t>
        </is>
      </c>
    </row>
    <row r="537">
      <c r="A537" t="inlineStr">
        <is>
          <t>Dynamic Econometric Models</t>
        </is>
      </c>
      <c r="B537" t="inlineStr">
        <is>
          <t>C</t>
        </is>
      </c>
      <c r="C537" t="n">
        <v>3802</v>
      </c>
      <c r="D537" t="inlineStr">
        <is>
          <t>Nicolaus Copernicus University Press</t>
        </is>
      </c>
    </row>
    <row r="538">
      <c r="A538" t="inlineStr">
        <is>
          <t>Dynamic Games and Applications</t>
        </is>
      </c>
      <c r="B538" t="inlineStr">
        <is>
          <t>B</t>
        </is>
      </c>
      <c r="C538" t="n">
        <v>3803</v>
      </c>
      <c r="D538" t="inlineStr">
        <is>
          <t>Springer International Publishing</t>
        </is>
      </c>
    </row>
    <row r="539">
      <c r="A539" t="inlineStr">
        <is>
          <t>E-Service Journal</t>
        </is>
      </c>
      <c r="B539" t="inlineStr">
        <is>
          <t>B</t>
        </is>
      </c>
      <c r="C539" t="n">
        <v>3506</v>
      </c>
      <c r="D539" t="inlineStr">
        <is>
          <t>Indiana University Press</t>
        </is>
      </c>
    </row>
    <row r="540">
      <c r="A540" t="inlineStr">
        <is>
          <t>Eastern Economic Journal</t>
        </is>
      </c>
      <c r="B540" t="inlineStr">
        <is>
          <t>B</t>
        </is>
      </c>
      <c r="C540" t="n">
        <v>3801</v>
      </c>
      <c r="D540" t="inlineStr">
        <is>
          <t>Springer International Publishing</t>
        </is>
      </c>
    </row>
    <row r="541">
      <c r="A541" t="inlineStr">
        <is>
          <t>Eastern European Economics</t>
        </is>
      </c>
      <c r="B541" t="inlineStr">
        <is>
          <t>B</t>
        </is>
      </c>
      <c r="C541" t="n">
        <v>3801</v>
      </c>
      <c r="D541" t="inlineStr">
        <is>
          <t>Taylor &amp; Francis Online</t>
        </is>
      </c>
    </row>
    <row r="542">
      <c r="A542" t="inlineStr">
        <is>
          <t>EC Tax Review</t>
        </is>
      </c>
      <c r="B542" t="inlineStr">
        <is>
          <t>B</t>
        </is>
      </c>
      <c r="C542" t="n">
        <v>4801</v>
      </c>
      <c r="D542" t="inlineStr">
        <is>
          <t>Kluwer Law International</t>
        </is>
      </c>
    </row>
    <row r="543">
      <c r="A543" t="inlineStr">
        <is>
          <t>Ecological Economics</t>
        </is>
      </c>
      <c r="B543" t="inlineStr">
        <is>
          <t>A</t>
        </is>
      </c>
      <c r="C543" t="n">
        <v>3899</v>
      </c>
      <c r="D543" t="inlineStr">
        <is>
          <t>Elsevier</t>
        </is>
      </c>
    </row>
    <row r="544">
      <c r="A544" t="inlineStr">
        <is>
          <t>Ecology</t>
        </is>
      </c>
      <c r="B544" t="inlineStr">
        <is>
          <t>A</t>
        </is>
      </c>
      <c r="C544" t="n">
        <v>3599</v>
      </c>
      <c r="D544" t="inlineStr">
        <is>
          <t>Wiley-Blackwell Publishing</t>
        </is>
      </c>
    </row>
    <row r="545">
      <c r="A545" t="inlineStr">
        <is>
          <t>Econ Journal Watch</t>
        </is>
      </c>
      <c r="B545" t="inlineStr">
        <is>
          <t>B</t>
        </is>
      </c>
      <c r="C545" t="n">
        <v>3801</v>
      </c>
      <c r="D545" t="inlineStr">
        <is>
          <t>Fraser Institute</t>
        </is>
      </c>
    </row>
    <row r="546">
      <c r="A546" t="inlineStr">
        <is>
          <t>Econometric Reviews</t>
        </is>
      </c>
      <c r="B546" t="inlineStr">
        <is>
          <t>A</t>
        </is>
      </c>
      <c r="C546" t="n">
        <v>3802</v>
      </c>
      <c r="D546" t="inlineStr">
        <is>
          <t>Taylor &amp; Francis Online</t>
        </is>
      </c>
    </row>
    <row r="547">
      <c r="A547" t="inlineStr">
        <is>
          <t>Econometric Theory</t>
        </is>
      </c>
      <c r="B547" t="inlineStr">
        <is>
          <t>A*</t>
        </is>
      </c>
      <c r="C547" t="n">
        <v>3802</v>
      </c>
      <c r="D547" t="inlineStr">
        <is>
          <t>Cambridge University Press</t>
        </is>
      </c>
    </row>
    <row r="548">
      <c r="A548" t="inlineStr">
        <is>
          <t>Econometrica</t>
        </is>
      </c>
      <c r="B548" t="inlineStr">
        <is>
          <t>A*</t>
        </is>
      </c>
      <c r="C548" t="n">
        <v>3802</v>
      </c>
      <c r="D548" t="inlineStr">
        <is>
          <t>Wiley-Blackwell Publishing</t>
        </is>
      </c>
    </row>
    <row r="549">
      <c r="A549" t="inlineStr">
        <is>
          <t>Econometrics</t>
        </is>
      </c>
      <c r="B549" t="inlineStr">
        <is>
          <t>B</t>
        </is>
      </c>
      <c r="C549" t="n">
        <v>3802</v>
      </c>
      <c r="D549" t="inlineStr">
        <is>
          <t>MDPI</t>
        </is>
      </c>
    </row>
    <row r="550">
      <c r="A550" t="inlineStr">
        <is>
          <t>Econometrics and Statistics</t>
        </is>
      </c>
      <c r="B550" t="inlineStr">
        <is>
          <t>B</t>
        </is>
      </c>
      <c r="C550" t="n">
        <v>3802</v>
      </c>
      <c r="D550" t="inlineStr">
        <is>
          <t>Elsevier</t>
        </is>
      </c>
    </row>
    <row r="551">
      <c r="A551" t="inlineStr">
        <is>
          <t>Econometrics Journal</t>
        </is>
      </c>
      <c r="B551" t="inlineStr">
        <is>
          <t>A*</t>
        </is>
      </c>
      <c r="C551" t="n">
        <v>3802</v>
      </c>
      <c r="D551" t="inlineStr">
        <is>
          <t>Oxford University Press</t>
        </is>
      </c>
    </row>
    <row r="552">
      <c r="A552" t="inlineStr">
        <is>
          <t>Economia</t>
        </is>
      </c>
      <c r="B552" t="inlineStr">
        <is>
          <t>C</t>
        </is>
      </c>
      <c r="C552" t="n">
        <v>3803</v>
      </c>
      <c r="D552" t="inlineStr">
        <is>
          <t>Pontificia Universidad Catolica del Peru</t>
        </is>
      </c>
    </row>
    <row r="553">
      <c r="A553" t="inlineStr">
        <is>
          <t>Economia Internazionale</t>
        </is>
      </c>
      <c r="B553" t="inlineStr">
        <is>
          <t>C</t>
        </is>
      </c>
      <c r="C553" t="n">
        <v>3801</v>
      </c>
      <c r="D553" t="inlineStr">
        <is>
          <t>Camera di Commercio di Genova</t>
        </is>
      </c>
    </row>
    <row r="554">
      <c r="A554" t="inlineStr">
        <is>
          <t>Economia, the Journal of Latin American and Caribbean Economic Association (LACEA)</t>
        </is>
      </c>
      <c r="B554" t="inlineStr">
        <is>
          <t>B</t>
        </is>
      </c>
      <c r="C554" t="n">
        <v>3801</v>
      </c>
      <c r="D554" t="inlineStr">
        <is>
          <t>Brookings Press</t>
        </is>
      </c>
    </row>
    <row r="555">
      <c r="A555" t="inlineStr">
        <is>
          <t>Economic Affairs</t>
        </is>
      </c>
      <c r="B555" t="inlineStr">
        <is>
          <t>C</t>
        </is>
      </c>
      <c r="C555" t="n">
        <v>3801</v>
      </c>
      <c r="D555" t="inlineStr">
        <is>
          <t>Wiley-Blackwell Publishing</t>
        </is>
      </c>
    </row>
    <row r="556">
      <c r="A556" t="inlineStr">
        <is>
          <t>Economic Analysis and Policy</t>
        </is>
      </c>
      <c r="B556" t="inlineStr">
        <is>
          <t>A</t>
        </is>
      </c>
      <c r="C556" t="n">
        <v>3801</v>
      </c>
      <c r="D556" t="inlineStr">
        <is>
          <t>Elsevier</t>
        </is>
      </c>
    </row>
    <row r="557">
      <c r="A557" t="inlineStr">
        <is>
          <t>Economic and Business Review</t>
        </is>
      </c>
      <c r="B557" t="inlineStr">
        <is>
          <t>C</t>
        </is>
      </c>
      <c r="C557" t="n">
        <v>3801</v>
      </c>
      <c r="D557" t="inlineStr">
        <is>
          <t>Faculty of Economics, University of Ljubljana, Slovenia</t>
        </is>
      </c>
    </row>
    <row r="558">
      <c r="A558" t="inlineStr">
        <is>
          <t>Economic and Industrial Democracy: an international journal</t>
        </is>
      </c>
      <c r="B558" t="inlineStr">
        <is>
          <t>A</t>
        </is>
      </c>
      <c r="C558" t="n">
        <v>3801</v>
      </c>
      <c r="D558" t="inlineStr">
        <is>
          <t>Sage Publications</t>
        </is>
      </c>
    </row>
    <row r="559">
      <c r="A559" t="inlineStr">
        <is>
          <t>Economic and Labour Market Review</t>
        </is>
      </c>
      <c r="B559" t="inlineStr">
        <is>
          <t>C</t>
        </is>
      </c>
      <c r="C559" t="n">
        <v>3801</v>
      </c>
      <c r="D559" t="inlineStr">
        <is>
          <t>Springer Nature</t>
        </is>
      </c>
    </row>
    <row r="560">
      <c r="A560" t="inlineStr">
        <is>
          <t>Economic and Political Weekly</t>
        </is>
      </c>
      <c r="B560" t="inlineStr">
        <is>
          <t>B</t>
        </is>
      </c>
      <c r="C560" t="n">
        <v>3801</v>
      </c>
      <c r="D560" t="inlineStr">
        <is>
          <t>Sameeksha Trust</t>
        </is>
      </c>
    </row>
    <row r="561">
      <c r="A561" t="inlineStr">
        <is>
          <t>Economic and Social Review</t>
        </is>
      </c>
      <c r="B561" t="inlineStr">
        <is>
          <t>B</t>
        </is>
      </c>
      <c r="C561" t="n">
        <v>3801</v>
      </c>
      <c r="D561" t="inlineStr">
        <is>
          <t>Economic and Social Studies Ltd</t>
        </is>
      </c>
    </row>
    <row r="562">
      <c r="A562" t="inlineStr">
        <is>
          <t>Economic Change and Restructuring</t>
        </is>
      </c>
      <c r="B562" t="inlineStr">
        <is>
          <t>B</t>
        </is>
      </c>
      <c r="C562" t="n">
        <v>3801</v>
      </c>
      <c r="D562" t="inlineStr">
        <is>
          <t>Springer International Publishing</t>
        </is>
      </c>
    </row>
    <row r="563">
      <c r="A563" t="inlineStr">
        <is>
          <t>Economic Computation and Economic Cybernetics Studies and Research</t>
        </is>
      </c>
      <c r="B563" t="inlineStr">
        <is>
          <t>C</t>
        </is>
      </c>
      <c r="C563" t="n">
        <v>3899</v>
      </c>
      <c r="D563" t="inlineStr">
        <is>
          <t>Academy of Economic Studies</t>
        </is>
      </c>
    </row>
    <row r="564">
      <c r="A564" t="inlineStr">
        <is>
          <t>Economic Development and Cultural Change</t>
        </is>
      </c>
      <c r="B564" t="inlineStr">
        <is>
          <t>A</t>
        </is>
      </c>
      <c r="C564" t="n">
        <v>3801</v>
      </c>
      <c r="D564" t="inlineStr">
        <is>
          <t>The University of Chicago Press</t>
        </is>
      </c>
    </row>
    <row r="565">
      <c r="A565" t="inlineStr">
        <is>
          <t>Economic Development Quarterly</t>
        </is>
      </c>
      <c r="B565" t="inlineStr">
        <is>
          <t>B</t>
        </is>
      </c>
      <c r="C565" t="n">
        <v>3801</v>
      </c>
      <c r="D565" t="inlineStr">
        <is>
          <t>Sage Publications</t>
        </is>
      </c>
    </row>
    <row r="566">
      <c r="A566" t="inlineStr">
        <is>
          <t>Economic Geography</t>
        </is>
      </c>
      <c r="B566" t="inlineStr">
        <is>
          <t>A</t>
        </is>
      </c>
      <c r="C566" t="n">
        <v>3801</v>
      </c>
      <c r="D566" t="inlineStr">
        <is>
          <t>Taylor &amp; Francis Online</t>
        </is>
      </c>
    </row>
    <row r="567">
      <c r="A567" t="inlineStr">
        <is>
          <t>Economic History of Developing Regions</t>
        </is>
      </c>
      <c r="B567" t="inlineStr">
        <is>
          <t>C</t>
        </is>
      </c>
      <c r="C567" t="n">
        <v>3801</v>
      </c>
      <c r="D567" t="inlineStr">
        <is>
          <t>Taylor &amp; Francis Online</t>
        </is>
      </c>
    </row>
    <row r="568">
      <c r="A568" t="inlineStr">
        <is>
          <t>Economic Inquiry</t>
        </is>
      </c>
      <c r="B568" t="inlineStr">
        <is>
          <t>A</t>
        </is>
      </c>
      <c r="C568" t="n">
        <v>3801</v>
      </c>
      <c r="D568" t="inlineStr">
        <is>
          <t>Wiley-Blackwell Publishing</t>
        </is>
      </c>
    </row>
    <row r="569">
      <c r="A569" t="inlineStr">
        <is>
          <t>Economic Issues</t>
        </is>
      </c>
      <c r="B569" t="inlineStr">
        <is>
          <t>B</t>
        </is>
      </c>
      <c r="C569" t="n">
        <v>3801</v>
      </c>
      <c r="D569" t="inlineStr">
        <is>
          <t>Nottingham Trent University</t>
        </is>
      </c>
    </row>
    <row r="570">
      <c r="A570" t="inlineStr">
        <is>
          <t>Economic Modelling</t>
        </is>
      </c>
      <c r="B570" t="inlineStr">
        <is>
          <t>A</t>
        </is>
      </c>
      <c r="C570" t="n">
        <v>3801</v>
      </c>
      <c r="D570" t="inlineStr">
        <is>
          <t>Elsevier</t>
        </is>
      </c>
    </row>
    <row r="571">
      <c r="A571" t="inlineStr">
        <is>
          <t>Economic Notes</t>
        </is>
      </c>
      <c r="B571" t="inlineStr">
        <is>
          <t>B</t>
        </is>
      </c>
      <c r="C571" t="n">
        <v>3801</v>
      </c>
      <c r="D571" t="inlineStr">
        <is>
          <t>Wiley-Blackwell Publishing</t>
        </is>
      </c>
    </row>
    <row r="572">
      <c r="A572" t="inlineStr">
        <is>
          <t>Economic Papers: a journal of applied economics and policy</t>
        </is>
      </c>
      <c r="B572" t="inlineStr">
        <is>
          <t>B</t>
        </is>
      </c>
      <c r="C572" t="n">
        <v>3801</v>
      </c>
      <c r="D572" t="inlineStr">
        <is>
          <t>Wiley-Blackwell Publishing</t>
        </is>
      </c>
    </row>
    <row r="573">
      <c r="A573" t="inlineStr">
        <is>
          <t>Economic Policy / Ekonomicheskaya Politika</t>
        </is>
      </c>
      <c r="B573" t="inlineStr">
        <is>
          <t>C</t>
        </is>
      </c>
      <c r="C573" t="n">
        <v>3801</v>
      </c>
      <c r="D573" t="inlineStr">
        <is>
          <t>ANO Editorial Office of the Journal Economic Policy</t>
        </is>
      </c>
    </row>
    <row r="574">
      <c r="A574" t="inlineStr">
        <is>
          <t>Economic Policy: a European forum</t>
        </is>
      </c>
      <c r="B574" t="inlineStr">
        <is>
          <t>A</t>
        </is>
      </c>
      <c r="C574" t="n">
        <v>3801</v>
      </c>
      <c r="D574" t="inlineStr">
        <is>
          <t>Oxford University Press</t>
        </is>
      </c>
    </row>
    <row r="575">
      <c r="A575" t="inlineStr">
        <is>
          <t>Economic Quarter / Trimestre Economico</t>
        </is>
      </c>
      <c r="B575" t="inlineStr">
        <is>
          <t>B</t>
        </is>
      </c>
      <c r="C575" t="n">
        <v>3801</v>
      </c>
      <c r="D575" t="inlineStr">
        <is>
          <t>Fondo de Cultura Economica (Economic Culture Fund)</t>
        </is>
      </c>
    </row>
    <row r="576">
      <c r="A576" t="inlineStr">
        <is>
          <t>Economic Review / Revue Economique</t>
        </is>
      </c>
      <c r="B576" t="inlineStr">
        <is>
          <t>B</t>
        </is>
      </c>
      <c r="C576" t="n">
        <v>3801</v>
      </c>
      <c r="D576" t="inlineStr">
        <is>
          <t>Presses de Sciences Po</t>
        </is>
      </c>
    </row>
    <row r="577">
      <c r="A577" t="inlineStr">
        <is>
          <t>Economic Studies / Estudios de Economia</t>
        </is>
      </c>
      <c r="B577" t="inlineStr">
        <is>
          <t>C</t>
        </is>
      </c>
      <c r="C577" t="n">
        <v>3801</v>
      </c>
      <c r="D577" t="inlineStr">
        <is>
          <t>Andros</t>
        </is>
      </c>
    </row>
    <row r="578">
      <c r="A578" t="inlineStr">
        <is>
          <t>Economic Studies Journal</t>
        </is>
      </c>
      <c r="B578" t="inlineStr">
        <is>
          <t>C</t>
        </is>
      </c>
      <c r="C578" t="n">
        <v>3801</v>
      </c>
      <c r="D578" t="inlineStr">
        <is>
          <t>Economic Research Institute at BAS</t>
        </is>
      </c>
    </row>
    <row r="579">
      <c r="A579" t="inlineStr">
        <is>
          <t>Economic Systems</t>
        </is>
      </c>
      <c r="B579" t="inlineStr">
        <is>
          <t>B</t>
        </is>
      </c>
      <c r="C579" t="n">
        <v>3899</v>
      </c>
      <c r="D579" t="inlineStr">
        <is>
          <t>Elsevier Science</t>
        </is>
      </c>
    </row>
    <row r="580">
      <c r="A580" t="inlineStr">
        <is>
          <t>Economic Systems Research</t>
        </is>
      </c>
      <c r="B580" t="inlineStr">
        <is>
          <t>B</t>
        </is>
      </c>
      <c r="C580" t="n">
        <v>3899</v>
      </c>
      <c r="D580" t="inlineStr">
        <is>
          <t>Taylor &amp; Francis Online</t>
        </is>
      </c>
    </row>
    <row r="581">
      <c r="A581" t="inlineStr">
        <is>
          <t>Economic Theory</t>
        </is>
      </c>
      <c r="B581" t="inlineStr">
        <is>
          <t>A*</t>
        </is>
      </c>
      <c r="C581" t="n">
        <v>3803</v>
      </c>
      <c r="D581" t="inlineStr">
        <is>
          <t>Springer International Publishing</t>
        </is>
      </c>
    </row>
    <row r="582">
      <c r="A582" t="inlineStr">
        <is>
          <t>Economic Theory Bulletin</t>
        </is>
      </c>
      <c r="B582" t="inlineStr">
        <is>
          <t>B</t>
        </is>
      </c>
      <c r="C582" t="n">
        <v>3803</v>
      </c>
      <c r="D582" t="inlineStr">
        <is>
          <t>Springer International Publishing</t>
        </is>
      </c>
    </row>
    <row r="583">
      <c r="A583" t="inlineStr">
        <is>
          <t>Economic Thought Journal</t>
        </is>
      </c>
      <c r="B583" t="inlineStr">
        <is>
          <t>C</t>
        </is>
      </c>
      <c r="C583" t="n">
        <v>3899</v>
      </c>
      <c r="D583" t="inlineStr">
        <is>
          <t>American Economic Association</t>
        </is>
      </c>
    </row>
    <row r="584">
      <c r="A584" t="inlineStr">
        <is>
          <t>Economica</t>
        </is>
      </c>
      <c r="B584" t="inlineStr">
        <is>
          <t>A</t>
        </is>
      </c>
      <c r="C584" t="n">
        <v>3801</v>
      </c>
      <c r="D584" t="inlineStr">
        <is>
          <t>Wiley-Blackwell Publishing</t>
        </is>
      </c>
    </row>
    <row r="585">
      <c r="A585" t="inlineStr">
        <is>
          <t>Economics &amp; Politics</t>
        </is>
      </c>
      <c r="B585" t="inlineStr">
        <is>
          <t>A</t>
        </is>
      </c>
      <c r="C585" t="n">
        <v>3801</v>
      </c>
      <c r="D585" t="inlineStr">
        <is>
          <t>Wiley-Blackwell Publishing</t>
        </is>
      </c>
    </row>
    <row r="586">
      <c r="A586" t="inlineStr">
        <is>
          <t>Economics and Applied Informatics</t>
        </is>
      </c>
      <c r="B586" t="inlineStr">
        <is>
          <t>C</t>
        </is>
      </c>
      <c r="C586" t="n">
        <v>3899</v>
      </c>
      <c r="D586" t="inlineStr">
        <is>
          <t>Galati University Press</t>
        </is>
      </c>
    </row>
    <row r="587">
      <c r="A587" t="inlineStr">
        <is>
          <t>Economics and Business Review</t>
        </is>
      </c>
      <c r="B587" t="inlineStr">
        <is>
          <t>C</t>
        </is>
      </c>
      <c r="C587" t="n">
        <v>3801</v>
      </c>
      <c r="D587" t="inlineStr">
        <is>
          <t>Poznan University of Economics Press</t>
        </is>
      </c>
    </row>
    <row r="588">
      <c r="A588" t="inlineStr">
        <is>
          <t>Economics and Finance in Indonesia</t>
        </is>
      </c>
      <c r="B588" t="inlineStr">
        <is>
          <t>C</t>
        </is>
      </c>
      <c r="C588" t="n">
        <v>3801</v>
      </c>
      <c r="D588" t="inlineStr">
        <is>
          <t>Institute for Economic and Social Research</t>
        </is>
      </c>
    </row>
    <row r="589">
      <c r="A589" t="inlineStr">
        <is>
          <t>Economics and Human Biology</t>
        </is>
      </c>
      <c r="B589" t="inlineStr">
        <is>
          <t>A</t>
        </is>
      </c>
      <c r="C589" t="n">
        <v>3801</v>
      </c>
      <c r="D589" t="inlineStr">
        <is>
          <t>Elsevier</t>
        </is>
      </c>
    </row>
    <row r="590">
      <c r="A590" t="inlineStr">
        <is>
          <t>Economics and Philosophy</t>
        </is>
      </c>
      <c r="B590" t="inlineStr">
        <is>
          <t>A</t>
        </is>
      </c>
      <c r="C590" t="n">
        <v>3801</v>
      </c>
      <c r="D590" t="inlineStr">
        <is>
          <t>Cambridge University Press</t>
        </is>
      </c>
    </row>
    <row r="591">
      <c r="A591" t="inlineStr">
        <is>
          <t>Economics and Policy of Energy and the Environment</t>
        </is>
      </c>
      <c r="B591" t="inlineStr">
        <is>
          <t>C</t>
        </is>
      </c>
      <c r="C591" t="n">
        <v>3899</v>
      </c>
      <c r="D591" t="inlineStr">
        <is>
          <t>Franco Angeli Edizioni</t>
        </is>
      </c>
    </row>
    <row r="592">
      <c r="A592" t="inlineStr">
        <is>
          <t>Economics Bulletin</t>
        </is>
      </c>
      <c r="B592" t="inlineStr">
        <is>
          <t>C</t>
        </is>
      </c>
      <c r="C592" t="n">
        <v>3801</v>
      </c>
      <c r="D592" t="inlineStr">
        <is>
          <t>Vanderbilt University</t>
        </is>
      </c>
    </row>
    <row r="593">
      <c r="A593" t="inlineStr">
        <is>
          <t>Economics Letters</t>
        </is>
      </c>
      <c r="B593" t="inlineStr">
        <is>
          <t>A</t>
        </is>
      </c>
      <c r="C593" t="n">
        <v>3801</v>
      </c>
      <c r="D593" t="inlineStr">
        <is>
          <t>Elsevier</t>
        </is>
      </c>
    </row>
    <row r="594">
      <c r="A594" t="inlineStr">
        <is>
          <t>Economics of Disasters and Climate Change</t>
        </is>
      </c>
      <c r="B594" t="inlineStr">
        <is>
          <t>C</t>
        </is>
      </c>
      <c r="C594" t="n">
        <v>3801</v>
      </c>
      <c r="D594" t="inlineStr">
        <is>
          <t>Springer Nature</t>
        </is>
      </c>
    </row>
    <row r="595">
      <c r="A595" t="inlineStr">
        <is>
          <t>Economics of Education Review</t>
        </is>
      </c>
      <c r="B595" t="inlineStr">
        <is>
          <t>A</t>
        </is>
      </c>
      <c r="C595" t="n">
        <v>3801</v>
      </c>
      <c r="D595" t="inlineStr">
        <is>
          <t>Elsevier</t>
        </is>
      </c>
    </row>
    <row r="596">
      <c r="A596" t="inlineStr">
        <is>
          <t>Economics of Energy &amp; Environmental Policy</t>
        </is>
      </c>
      <c r="B596" t="inlineStr">
        <is>
          <t>B</t>
        </is>
      </c>
      <c r="C596" t="n">
        <v>3801</v>
      </c>
      <c r="D596" t="inlineStr">
        <is>
          <t>International Association for Energy Economics</t>
        </is>
      </c>
    </row>
    <row r="597">
      <c r="A597" t="inlineStr">
        <is>
          <t>Economics of Governance</t>
        </is>
      </c>
      <c r="B597" t="inlineStr">
        <is>
          <t>B</t>
        </is>
      </c>
      <c r="C597" t="n">
        <v>3801</v>
      </c>
      <c r="D597" t="inlineStr">
        <is>
          <t>Springer International Publishing</t>
        </is>
      </c>
    </row>
    <row r="598">
      <c r="A598" t="inlineStr">
        <is>
          <t>Economics of Innovation and New Technology</t>
        </is>
      </c>
      <c r="B598" t="inlineStr">
        <is>
          <t>B</t>
        </is>
      </c>
      <c r="C598" t="n">
        <v>3801</v>
      </c>
      <c r="D598" t="inlineStr">
        <is>
          <t>Taylor &amp; Francis Online</t>
        </is>
      </c>
    </row>
    <row r="599">
      <c r="A599" t="inlineStr">
        <is>
          <t>Economics of Transition and Institutional Change</t>
        </is>
      </c>
      <c r="B599" t="inlineStr">
        <is>
          <t>A</t>
        </is>
      </c>
      <c r="C599" t="n">
        <v>3801</v>
      </c>
      <c r="D599" t="inlineStr">
        <is>
          <t>Wiley-Blackwell Publishing</t>
        </is>
      </c>
    </row>
    <row r="600">
      <c r="A600" t="inlineStr">
        <is>
          <t>Economics of Transportation</t>
        </is>
      </c>
      <c r="B600" t="inlineStr">
        <is>
          <t>B</t>
        </is>
      </c>
      <c r="C600" t="n">
        <v>3509</v>
      </c>
      <c r="D600" t="inlineStr">
        <is>
          <t>Elsevier</t>
        </is>
      </c>
    </row>
    <row r="601">
      <c r="A601" t="inlineStr">
        <is>
          <t>Economics, Management, and Financial Markets</t>
        </is>
      </c>
      <c r="B601" t="inlineStr">
        <is>
          <t>C</t>
        </is>
      </c>
      <c r="C601" t="n">
        <v>3801</v>
      </c>
      <c r="D601" t="inlineStr">
        <is>
          <t>Addleton Academic Publishers</t>
        </is>
      </c>
    </row>
    <row r="602">
      <c r="A602" t="inlineStr">
        <is>
          <t>Economics: The Open Access, Open Assessment E-journal</t>
        </is>
      </c>
      <c r="B602" t="inlineStr">
        <is>
          <t>B</t>
        </is>
      </c>
      <c r="C602" t="n">
        <v>3801</v>
      </c>
      <c r="D602" t="inlineStr">
        <is>
          <t>Universitaet Kiel</t>
        </is>
      </c>
    </row>
    <row r="603">
      <c r="A603" t="inlineStr">
        <is>
          <t>Economies</t>
        </is>
      </c>
      <c r="B603" t="inlineStr">
        <is>
          <t>C</t>
        </is>
      </c>
      <c r="C603" t="n">
        <v>3801</v>
      </c>
      <c r="D603" t="inlineStr">
        <is>
          <t>MDPI</t>
        </is>
      </c>
    </row>
    <row r="604">
      <c r="A604" t="inlineStr">
        <is>
          <t>Economists' Voice</t>
        </is>
      </c>
      <c r="B604" t="inlineStr">
        <is>
          <t>B</t>
        </is>
      </c>
      <c r="C604" t="n">
        <v>3801</v>
      </c>
      <c r="D604" t="inlineStr">
        <is>
          <t>De Gruyter</t>
        </is>
      </c>
    </row>
    <row r="605">
      <c r="A605" t="inlineStr">
        <is>
          <t>Economy and Society</t>
        </is>
      </c>
      <c r="B605" t="inlineStr">
        <is>
          <t>A</t>
        </is>
      </c>
      <c r="C605" t="n">
        <v>3801</v>
      </c>
      <c r="D605" t="inlineStr">
        <is>
          <t>Taylor &amp; Francis Online</t>
        </is>
      </c>
    </row>
    <row r="606">
      <c r="A606" t="inlineStr">
        <is>
          <t>EDPACS: The EDP Audit, Control, and Security Newsletter</t>
        </is>
      </c>
      <c r="B606" t="inlineStr">
        <is>
          <t>C</t>
        </is>
      </c>
      <c r="C606" t="n">
        <v>3501</v>
      </c>
      <c r="D606" t="inlineStr">
        <is>
          <t>Taylor &amp; Francis Online</t>
        </is>
      </c>
    </row>
    <row r="607">
      <c r="A607" t="inlineStr">
        <is>
          <t>Education Economics</t>
        </is>
      </c>
      <c r="B607" t="inlineStr">
        <is>
          <t>B</t>
        </is>
      </c>
      <c r="C607" t="n">
        <v>3801</v>
      </c>
      <c r="D607" t="inlineStr">
        <is>
          <t>Taylor &amp; Francis Online</t>
        </is>
      </c>
    </row>
    <row r="608">
      <c r="A608" t="inlineStr">
        <is>
          <t>Education Finance and Policy</t>
        </is>
      </c>
      <c r="B608" t="inlineStr">
        <is>
          <t>A</t>
        </is>
      </c>
      <c r="C608" t="n">
        <v>3801</v>
      </c>
      <c r="D608" t="inlineStr">
        <is>
          <t>MIT Press</t>
        </is>
      </c>
    </row>
    <row r="609">
      <c r="A609" t="inlineStr">
        <is>
          <t>Educational and Psychological Measurement</t>
        </is>
      </c>
      <c r="B609" t="inlineStr">
        <is>
          <t>A</t>
        </is>
      </c>
      <c r="C609" t="n">
        <v>3507</v>
      </c>
      <c r="D609" t="inlineStr">
        <is>
          <t>Sage Publications</t>
        </is>
      </c>
    </row>
    <row r="610">
      <c r="A610" t="inlineStr">
        <is>
          <t>Educational Management Administration &amp; Leadership</t>
        </is>
      </c>
      <c r="B610" t="inlineStr">
        <is>
          <t>B</t>
        </is>
      </c>
      <c r="C610" t="n">
        <v>3505</v>
      </c>
      <c r="D610" t="inlineStr">
        <is>
          <t>Sage Publications</t>
        </is>
      </c>
    </row>
    <row r="611">
      <c r="A611" t="inlineStr">
        <is>
          <t>eJournal of Tax Research</t>
        </is>
      </c>
      <c r="B611" t="inlineStr">
        <is>
          <t>A</t>
        </is>
      </c>
      <c r="C611" t="n">
        <v>4801</v>
      </c>
      <c r="D611" t="inlineStr">
        <is>
          <t>Australian School of Taxation and Business Law</t>
        </is>
      </c>
    </row>
    <row r="612">
      <c r="A612" t="inlineStr">
        <is>
          <t>Ekonomia</t>
        </is>
      </c>
      <c r="B612" t="inlineStr">
        <is>
          <t>C</t>
        </is>
      </c>
      <c r="C612" t="n">
        <v>3803</v>
      </c>
      <c r="D612" t="inlineStr">
        <is>
          <t>University of Cyprus</t>
        </is>
      </c>
    </row>
    <row r="613">
      <c r="A613" t="inlineStr">
        <is>
          <t>Electronic Commerce Research</t>
        </is>
      </c>
      <c r="B613" t="inlineStr">
        <is>
          <t>A</t>
        </is>
      </c>
      <c r="C613" t="n">
        <v>4609</v>
      </c>
      <c r="D613" t="inlineStr">
        <is>
          <t>Springer International Publishing</t>
        </is>
      </c>
    </row>
    <row r="614">
      <c r="A614" t="inlineStr">
        <is>
          <t>Electronic Commerce Research and Applications</t>
        </is>
      </c>
      <c r="B614" t="inlineStr">
        <is>
          <t>B</t>
        </is>
      </c>
      <c r="C614" t="n">
        <v>4609</v>
      </c>
      <c r="D614" t="inlineStr">
        <is>
          <t>Elsevier</t>
        </is>
      </c>
    </row>
    <row r="615">
      <c r="A615" t="inlineStr">
        <is>
          <t>Electronic Communication Law Review</t>
        </is>
      </c>
      <c r="B615" t="inlineStr">
        <is>
          <t>C</t>
        </is>
      </c>
      <c r="C615" t="n">
        <v>4801</v>
      </c>
      <c r="D615" t="inlineStr">
        <is>
          <t>Kluwer Law International</t>
        </is>
      </c>
    </row>
    <row r="616">
      <c r="A616" t="inlineStr">
        <is>
          <t>Electronic Journal of Evolutionary Modeling and Economic Dynamics</t>
        </is>
      </c>
      <c r="B616" t="inlineStr">
        <is>
          <t>C</t>
        </is>
      </c>
      <c r="C616" t="n">
        <v>3899</v>
      </c>
      <c r="D616" t="inlineStr">
        <is>
          <t>Universite Montesquieu Bordeaux IV</t>
        </is>
      </c>
    </row>
    <row r="617">
      <c r="A617" t="inlineStr">
        <is>
          <t>Electronic Journal of Information Systems in Developing Countries</t>
        </is>
      </c>
      <c r="B617" t="inlineStr">
        <is>
          <t>B</t>
        </is>
      </c>
      <c r="C617" t="n">
        <v>4609</v>
      </c>
      <c r="D617" t="inlineStr">
        <is>
          <t>Wiley-Blackwell Publishing</t>
        </is>
      </c>
    </row>
    <row r="618">
      <c r="A618" t="inlineStr">
        <is>
          <t>Electronic Journal of Knowledge Management</t>
        </is>
      </c>
      <c r="B618" t="inlineStr">
        <is>
          <t>C</t>
        </is>
      </c>
      <c r="C618" t="n">
        <v>4609</v>
      </c>
      <c r="D618" t="inlineStr">
        <is>
          <t>Academic Conferences and Publishing International</t>
        </is>
      </c>
    </row>
    <row r="619">
      <c r="A619" t="inlineStr">
        <is>
          <t>Electronic Journal of Probability</t>
        </is>
      </c>
      <c r="B619" t="inlineStr">
        <is>
          <t>A</t>
        </is>
      </c>
      <c r="C619" t="n">
        <v>4905</v>
      </c>
      <c r="D619" t="inlineStr">
        <is>
          <t>Institute of Mathematical Statistics</t>
        </is>
      </c>
    </row>
    <row r="620">
      <c r="A620" t="inlineStr">
        <is>
          <t>Electronic Markets</t>
        </is>
      </c>
      <c r="B620" t="inlineStr">
        <is>
          <t>A</t>
        </is>
      </c>
      <c r="C620" t="n">
        <v>4609</v>
      </c>
      <c r="D620" t="inlineStr">
        <is>
          <t>Springer Nature</t>
        </is>
      </c>
    </row>
    <row r="621">
      <c r="A621" t="inlineStr">
        <is>
          <t>Emerging Markets Finance and Trade</t>
        </is>
      </c>
      <c r="B621" t="inlineStr">
        <is>
          <t>B</t>
        </is>
      </c>
      <c r="C621" t="n">
        <v>3502</v>
      </c>
      <c r="D621" t="inlineStr">
        <is>
          <t>Taylor &amp; Francis Online</t>
        </is>
      </c>
    </row>
    <row r="622">
      <c r="A622" t="inlineStr">
        <is>
          <t>Emerging Markets Review</t>
        </is>
      </c>
      <c r="B622" t="inlineStr">
        <is>
          <t>A</t>
        </is>
      </c>
      <c r="C622" t="n">
        <v>3502</v>
      </c>
      <c r="D622" t="inlineStr">
        <is>
          <t>Elsevier</t>
        </is>
      </c>
    </row>
    <row r="623">
      <c r="A623" t="inlineStr">
        <is>
          <t>Empirica</t>
        </is>
      </c>
      <c r="B623" t="inlineStr">
        <is>
          <t>B</t>
        </is>
      </c>
      <c r="C623" t="n">
        <v>3801</v>
      </c>
      <c r="D623" t="inlineStr">
        <is>
          <t>Springer International Publishing</t>
        </is>
      </c>
    </row>
    <row r="624">
      <c r="A624" t="inlineStr">
        <is>
          <t>Empirical Economics</t>
        </is>
      </c>
      <c r="B624" t="inlineStr">
        <is>
          <t>A</t>
        </is>
      </c>
      <c r="C624" t="n">
        <v>3801</v>
      </c>
      <c r="D624" t="inlineStr">
        <is>
          <t>Springer International Publishing</t>
        </is>
      </c>
    </row>
    <row r="625">
      <c r="A625" t="inlineStr">
        <is>
          <t>Empirical Economics Letters</t>
        </is>
      </c>
      <c r="B625" t="inlineStr">
        <is>
          <t>C</t>
        </is>
      </c>
      <c r="C625" t="n">
        <v>3801</v>
      </c>
      <c r="D625" t="inlineStr">
        <is>
          <t>Dr. Mohammad A. Wadud</t>
        </is>
      </c>
    </row>
    <row r="626">
      <c r="A626" t="inlineStr">
        <is>
          <t>Employee Relations</t>
        </is>
      </c>
      <c r="B626" t="inlineStr">
        <is>
          <t>A</t>
        </is>
      </c>
      <c r="C626" t="n">
        <v>3505</v>
      </c>
      <c r="D626" t="inlineStr">
        <is>
          <t>Emerald Group Publishing</t>
        </is>
      </c>
    </row>
    <row r="627">
      <c r="A627" t="inlineStr">
        <is>
          <t>Employee Relations Law Journal</t>
        </is>
      </c>
      <c r="B627" t="inlineStr">
        <is>
          <t>B</t>
        </is>
      </c>
      <c r="C627" t="n">
        <v>4801</v>
      </c>
      <c r="D627" t="inlineStr">
        <is>
          <t>Aspen Publishers, Inc.</t>
        </is>
      </c>
    </row>
    <row r="628">
      <c r="A628" t="inlineStr">
        <is>
          <t>Employee Responsibilities and Rights Journal</t>
        </is>
      </c>
      <c r="B628" t="inlineStr">
        <is>
          <t>C</t>
        </is>
      </c>
      <c r="C628" t="n">
        <v>3505</v>
      </c>
      <c r="D628" t="inlineStr">
        <is>
          <t>Springer International Publishing</t>
        </is>
      </c>
    </row>
    <row r="629">
      <c r="A629" t="inlineStr">
        <is>
          <t>Energy and Environment</t>
        </is>
      </c>
      <c r="B629" t="inlineStr">
        <is>
          <t>C</t>
        </is>
      </c>
      <c r="C629" t="n">
        <v>3599</v>
      </c>
      <c r="D629" t="inlineStr">
        <is>
          <t>Sage Publications</t>
        </is>
      </c>
    </row>
    <row r="630">
      <c r="A630" t="inlineStr">
        <is>
          <t>Energy Economics</t>
        </is>
      </c>
      <c r="B630" t="inlineStr">
        <is>
          <t>A*</t>
        </is>
      </c>
      <c r="C630" t="n">
        <v>3801</v>
      </c>
      <c r="D630" t="inlineStr">
        <is>
          <t>Elsevier</t>
        </is>
      </c>
    </row>
    <row r="631">
      <c r="A631" t="inlineStr">
        <is>
          <t>Energy Journal</t>
        </is>
      </c>
      <c r="B631" t="inlineStr">
        <is>
          <t>A</t>
        </is>
      </c>
      <c r="C631" t="n">
        <v>3801</v>
      </c>
      <c r="D631" t="inlineStr">
        <is>
          <t>Sage Publications</t>
        </is>
      </c>
    </row>
    <row r="632">
      <c r="A632" t="inlineStr">
        <is>
          <t>Energy Policy</t>
        </is>
      </c>
      <c r="B632" t="inlineStr">
        <is>
          <t>A</t>
        </is>
      </c>
      <c r="C632" t="n">
        <v>3599</v>
      </c>
      <c r="D632" t="inlineStr">
        <is>
          <t>Elsevier</t>
        </is>
      </c>
    </row>
    <row r="633">
      <c r="A633" t="inlineStr">
        <is>
          <t>Energy Research Letters</t>
        </is>
      </c>
      <c r="B633" t="inlineStr">
        <is>
          <t>C</t>
        </is>
      </c>
      <c r="C633" t="n">
        <v>3899</v>
      </c>
      <c r="D633" t="inlineStr">
        <is>
          <t>Asia-Pacific Applied Economics Association</t>
        </is>
      </c>
    </row>
    <row r="634">
      <c r="A634" t="inlineStr">
        <is>
          <t>Energy Sources, Part B: Economics, Planning, and Policy</t>
        </is>
      </c>
      <c r="B634" t="inlineStr">
        <is>
          <t>C</t>
        </is>
      </c>
      <c r="C634" t="n">
        <v>3801</v>
      </c>
      <c r="D634" t="inlineStr">
        <is>
          <t>Taylor &amp; Francis Online</t>
        </is>
      </c>
    </row>
    <row r="635">
      <c r="A635" t="inlineStr">
        <is>
          <t>Energy Studies Review</t>
        </is>
      </c>
      <c r="B635" t="inlineStr">
        <is>
          <t>C</t>
        </is>
      </c>
      <c r="C635" t="n">
        <v>3899</v>
      </c>
      <c r="D635" t="inlineStr">
        <is>
          <t>DeGroote School of Business, McMaster University</t>
        </is>
      </c>
    </row>
    <row r="636">
      <c r="A636" t="inlineStr">
        <is>
          <t>Engineering Economics</t>
        </is>
      </c>
      <c r="B636" t="inlineStr">
        <is>
          <t>B</t>
        </is>
      </c>
      <c r="C636" t="n">
        <v>3801</v>
      </c>
      <c r="D636" t="inlineStr">
        <is>
          <t>Kaunas University of Technology</t>
        </is>
      </c>
    </row>
    <row r="637">
      <c r="A637" t="inlineStr">
        <is>
          <t>Engineering Economist</t>
        </is>
      </c>
      <c r="B637" t="inlineStr">
        <is>
          <t>C</t>
        </is>
      </c>
      <c r="C637" t="n">
        <v>3801</v>
      </c>
      <c r="D637" t="inlineStr">
        <is>
          <t>Taylor &amp; Francis Online</t>
        </is>
      </c>
    </row>
    <row r="638">
      <c r="A638" t="inlineStr">
        <is>
          <t>Engineering Management Journal</t>
        </is>
      </c>
      <c r="B638" t="inlineStr">
        <is>
          <t>B</t>
        </is>
      </c>
      <c r="C638" t="n">
        <v>3507</v>
      </c>
      <c r="D638" t="inlineStr">
        <is>
          <t>Taylor &amp; Francis Online</t>
        </is>
      </c>
    </row>
    <row r="639">
      <c r="A639" t="inlineStr">
        <is>
          <t>Engineering, Construction and Architectural Management</t>
        </is>
      </c>
      <c r="B639" t="inlineStr">
        <is>
          <t>A</t>
        </is>
      </c>
      <c r="C639" t="n">
        <v>3504</v>
      </c>
      <c r="D639" t="inlineStr">
        <is>
          <t>Emerald Group Publishing</t>
        </is>
      </c>
    </row>
    <row r="640">
      <c r="A640" t="inlineStr">
        <is>
          <t>Enometrica</t>
        </is>
      </c>
      <c r="B640" t="inlineStr">
        <is>
          <t>C</t>
        </is>
      </c>
      <c r="C640" t="n">
        <v>3899</v>
      </c>
      <c r="D640" t="inlineStr">
        <is>
          <t>University of Macarata</t>
        </is>
      </c>
    </row>
    <row r="641">
      <c r="A641" t="inlineStr">
        <is>
          <t>Enterprise and Society</t>
        </is>
      </c>
      <c r="B641" t="inlineStr">
        <is>
          <t>A</t>
        </is>
      </c>
      <c r="C641" t="n">
        <v>3505</v>
      </c>
      <c r="D641" t="inlineStr">
        <is>
          <t>Cambridge University Press</t>
        </is>
      </c>
    </row>
    <row r="642">
      <c r="A642" t="inlineStr">
        <is>
          <t>Enterprise Development &amp; Microfinance</t>
        </is>
      </c>
      <c r="B642" t="inlineStr">
        <is>
          <t>C</t>
        </is>
      </c>
      <c r="C642" t="n">
        <v>3801</v>
      </c>
      <c r="D642" t="inlineStr">
        <is>
          <t>Practical Action Publishing</t>
        </is>
      </c>
    </row>
    <row r="643">
      <c r="A643" t="inlineStr">
        <is>
          <t>Enterprise Governance eJournal</t>
        </is>
      </c>
      <c r="B643" t="inlineStr">
        <is>
          <t>C</t>
        </is>
      </c>
      <c r="C643" t="n">
        <v>4801</v>
      </c>
      <c r="D643" t="inlineStr">
        <is>
          <t>Bond Faculty of Law</t>
        </is>
      </c>
    </row>
    <row r="644">
      <c r="A644" t="inlineStr">
        <is>
          <t>Enterprise Information Systems</t>
        </is>
      </c>
      <c r="B644" t="inlineStr">
        <is>
          <t>A</t>
        </is>
      </c>
      <c r="C644" t="n">
        <v>4609</v>
      </c>
      <c r="D644" t="inlineStr">
        <is>
          <t>Taylor &amp; Francis Online</t>
        </is>
      </c>
    </row>
    <row r="645">
      <c r="A645" t="inlineStr">
        <is>
          <t>Entertainment Law Review</t>
        </is>
      </c>
      <c r="B645" t="inlineStr">
        <is>
          <t>B</t>
        </is>
      </c>
      <c r="C645" t="n">
        <v>4801</v>
      </c>
      <c r="D645" t="inlineStr">
        <is>
          <t>Sweet &amp; Maxwell</t>
        </is>
      </c>
    </row>
    <row r="646">
      <c r="A646" t="inlineStr">
        <is>
          <t>Entrepreneurial Business Law Journal</t>
        </is>
      </c>
      <c r="B646" t="inlineStr">
        <is>
          <t>C</t>
        </is>
      </c>
      <c r="C646" t="n">
        <v>4801</v>
      </c>
      <c r="D646" t="inlineStr">
        <is>
          <t>Ohio State University, Moritz College of Law</t>
        </is>
      </c>
    </row>
    <row r="647">
      <c r="A647" t="inlineStr">
        <is>
          <t>Entrepreneurship and Regional Development</t>
        </is>
      </c>
      <c r="B647" t="inlineStr">
        <is>
          <t>A</t>
        </is>
      </c>
      <c r="C647" t="n">
        <v>3507</v>
      </c>
      <c r="D647" t="inlineStr">
        <is>
          <t>Taylor &amp; Francis Online</t>
        </is>
      </c>
    </row>
    <row r="648">
      <c r="A648" t="inlineStr">
        <is>
          <t>Entrepreneurship Research Journal</t>
        </is>
      </c>
      <c r="B648" t="inlineStr">
        <is>
          <t>B</t>
        </is>
      </c>
      <c r="C648" t="n">
        <v>3507</v>
      </c>
      <c r="D648" t="inlineStr">
        <is>
          <t>Walter de Gruyter GmbH</t>
        </is>
      </c>
    </row>
    <row r="649">
      <c r="A649" t="inlineStr">
        <is>
          <t>Entrepreneurship Theory and Practice</t>
        </is>
      </c>
      <c r="B649" t="inlineStr">
        <is>
          <t>A*</t>
        </is>
      </c>
      <c r="C649" t="n">
        <v>3507</v>
      </c>
      <c r="D649" t="inlineStr">
        <is>
          <t>Sage Publications</t>
        </is>
      </c>
    </row>
    <row r="650">
      <c r="A650" t="inlineStr">
        <is>
          <t>Environment and Development Economics</t>
        </is>
      </c>
      <c r="B650" t="inlineStr">
        <is>
          <t>B</t>
        </is>
      </c>
      <c r="C650" t="n">
        <v>3801</v>
      </c>
      <c r="D650" t="inlineStr">
        <is>
          <t>Cambridge University Press</t>
        </is>
      </c>
    </row>
    <row r="651">
      <c r="A651" t="inlineStr">
        <is>
          <t>Environment and Planning A: Economy and Space</t>
        </is>
      </c>
      <c r="B651" t="inlineStr">
        <is>
          <t>A*</t>
        </is>
      </c>
      <c r="C651" t="n">
        <v>3599</v>
      </c>
      <c r="D651" t="inlineStr">
        <is>
          <t>Sage Publications</t>
        </is>
      </c>
    </row>
    <row r="652">
      <c r="A652" t="inlineStr">
        <is>
          <t>Environment and Planning B: Urban Analytics and City Science</t>
        </is>
      </c>
      <c r="B652" t="inlineStr">
        <is>
          <t>A*</t>
        </is>
      </c>
      <c r="C652" t="n">
        <v>3599</v>
      </c>
      <c r="D652" t="inlineStr">
        <is>
          <t>Sage Publications</t>
        </is>
      </c>
    </row>
    <row r="653">
      <c r="A653" t="inlineStr">
        <is>
          <t>Environment and Planning C: politics and space</t>
        </is>
      </c>
      <c r="B653" t="inlineStr">
        <is>
          <t>B</t>
        </is>
      </c>
      <c r="C653" t="n">
        <v>3599</v>
      </c>
      <c r="D653" t="inlineStr">
        <is>
          <t>Sage Publications</t>
        </is>
      </c>
    </row>
    <row r="654">
      <c r="A654" t="inlineStr">
        <is>
          <t>Environment and Planning D: society and space</t>
        </is>
      </c>
      <c r="B654" t="inlineStr">
        <is>
          <t>A</t>
        </is>
      </c>
      <c r="C654" t="n">
        <v>3599</v>
      </c>
      <c r="D654" t="inlineStr">
        <is>
          <t>Sage Publications</t>
        </is>
      </c>
    </row>
    <row r="655">
      <c r="A655" t="inlineStr">
        <is>
          <t>Environment and Urbanization Asia</t>
        </is>
      </c>
      <c r="B655" t="inlineStr">
        <is>
          <t>C</t>
        </is>
      </c>
      <c r="C655" t="n">
        <v>3599</v>
      </c>
      <c r="D655" t="inlineStr">
        <is>
          <t>Sage Publications</t>
        </is>
      </c>
    </row>
    <row r="656">
      <c r="A656" t="inlineStr">
        <is>
          <t>Environmental and Ecological Statistics</t>
        </is>
      </c>
      <c r="B656" t="inlineStr">
        <is>
          <t>A</t>
        </is>
      </c>
      <c r="C656" t="n">
        <v>4905</v>
      </c>
      <c r="D656" t="inlineStr">
        <is>
          <t>Springer International Publishing</t>
        </is>
      </c>
    </row>
    <row r="657">
      <c r="A657" t="inlineStr">
        <is>
          <t>Environmental and Planning Law Journal</t>
        </is>
      </c>
      <c r="B657" t="inlineStr">
        <is>
          <t>B</t>
        </is>
      </c>
      <c r="C657" t="n">
        <v>4801</v>
      </c>
      <c r="D657" t="inlineStr">
        <is>
          <t>Thomson Reuters</t>
        </is>
      </c>
    </row>
    <row r="658">
      <c r="A658" t="inlineStr">
        <is>
          <t>Environmental and Resource Economics</t>
        </is>
      </c>
      <c r="B658" t="inlineStr">
        <is>
          <t>A</t>
        </is>
      </c>
      <c r="C658" t="n">
        <v>3801</v>
      </c>
      <c r="D658" t="inlineStr">
        <is>
          <t>Springer International Publishing</t>
        </is>
      </c>
    </row>
    <row r="659">
      <c r="A659" t="inlineStr">
        <is>
          <t>Environmental Economics and Policy Studies</t>
        </is>
      </c>
      <c r="B659" t="inlineStr">
        <is>
          <t>B</t>
        </is>
      </c>
      <c r="C659" t="n">
        <v>3801</v>
      </c>
      <c r="D659" t="inlineStr">
        <is>
          <t>Springer International Publishing</t>
        </is>
      </c>
    </row>
    <row r="660">
      <c r="A660" t="inlineStr">
        <is>
          <t>Environmental Education Research</t>
        </is>
      </c>
      <c r="B660" t="inlineStr">
        <is>
          <t>A</t>
        </is>
      </c>
      <c r="C660" t="n">
        <v>3599</v>
      </c>
      <c r="D660" t="inlineStr">
        <is>
          <t>Taylor &amp; Francis Online</t>
        </is>
      </c>
    </row>
    <row r="661">
      <c r="A661" t="inlineStr">
        <is>
          <t>Environmental Innovation and Societal Transitions</t>
        </is>
      </c>
      <c r="B661" t="inlineStr">
        <is>
          <t>A</t>
        </is>
      </c>
      <c r="C661" t="n">
        <v>3599</v>
      </c>
      <c r="D661" t="inlineStr">
        <is>
          <t>Elsevier</t>
        </is>
      </c>
    </row>
    <row r="662">
      <c r="A662" t="inlineStr">
        <is>
          <t>Environmental Management</t>
        </is>
      </c>
      <c r="B662" t="inlineStr">
        <is>
          <t>C</t>
        </is>
      </c>
      <c r="C662" t="n">
        <v>3507</v>
      </c>
      <c r="D662" t="inlineStr">
        <is>
          <t>Springer International Publishing</t>
        </is>
      </c>
    </row>
    <row r="663">
      <c r="A663" t="inlineStr">
        <is>
          <t>Environmetrics</t>
        </is>
      </c>
      <c r="B663" t="inlineStr">
        <is>
          <t>B</t>
        </is>
      </c>
      <c r="C663" t="n">
        <v>4905</v>
      </c>
      <c r="D663" t="inlineStr">
        <is>
          <t>Wiley-Blackwell Publishing</t>
        </is>
      </c>
    </row>
    <row r="664">
      <c r="A664" t="inlineStr">
        <is>
          <t>EPH-International Journal of Business &amp; Management Science</t>
        </is>
      </c>
      <c r="B664" t="inlineStr">
        <is>
          <t>C</t>
        </is>
      </c>
      <c r="C664" t="n">
        <v>3507</v>
      </c>
      <c r="D664" t="inlineStr">
        <is>
          <t>Southern Cross Academic Press</t>
        </is>
      </c>
    </row>
    <row r="665">
      <c r="A665" t="inlineStr">
        <is>
          <t>Equality, Diversity and Inclusion</t>
        </is>
      </c>
      <c r="B665" t="inlineStr">
        <is>
          <t>B</t>
        </is>
      </c>
      <c r="C665" t="n">
        <v>3505</v>
      </c>
      <c r="D665" t="inlineStr">
        <is>
          <t>Emerald Group Publishing</t>
        </is>
      </c>
    </row>
    <row r="666">
      <c r="A666" t="inlineStr">
        <is>
          <t>Erasmus Journal for Philosophy and Economics</t>
        </is>
      </c>
      <c r="B666" t="inlineStr">
        <is>
          <t>C</t>
        </is>
      </c>
      <c r="C666" t="n">
        <v>3899</v>
      </c>
      <c r="D666" t="inlineStr">
        <is>
          <t>Erasmus University</t>
        </is>
      </c>
    </row>
    <row r="667">
      <c r="A667" t="inlineStr">
        <is>
          <t>Erasmus Law and Economics Review</t>
        </is>
      </c>
      <c r="B667" t="inlineStr">
        <is>
          <t>C</t>
        </is>
      </c>
      <c r="C667" t="n">
        <v>4801</v>
      </c>
      <c r="D667" t="inlineStr">
        <is>
          <t>Erasmus Law and Economics Students Society</t>
        </is>
      </c>
    </row>
    <row r="668">
      <c r="A668" t="inlineStr">
        <is>
          <t>ESAIM: Probability and Statistics</t>
        </is>
      </c>
      <c r="B668" t="inlineStr">
        <is>
          <t>C</t>
        </is>
      </c>
      <c r="C668" t="n">
        <v>4905</v>
      </c>
      <c r="D668" t="inlineStr">
        <is>
          <t>EDP Sciences</t>
        </is>
      </c>
    </row>
    <row r="669">
      <c r="A669" t="inlineStr">
        <is>
          <t>Essays in Economic &amp; Business History</t>
        </is>
      </c>
      <c r="B669" t="inlineStr">
        <is>
          <t>B</t>
        </is>
      </c>
      <c r="C669" t="n">
        <v>3801</v>
      </c>
      <c r="D669" t="inlineStr">
        <is>
          <t>The Economic and Business History Society</t>
        </is>
      </c>
    </row>
    <row r="670">
      <c r="A670" t="inlineStr">
        <is>
          <t>Estudos Economicos</t>
        </is>
      </c>
      <c r="B670" t="inlineStr">
        <is>
          <t>C</t>
        </is>
      </c>
      <c r="C670" t="n">
        <v>3801</v>
      </c>
      <c r="D670" t="inlineStr">
        <is>
          <t>Universidade de Sao Paulo</t>
        </is>
      </c>
    </row>
    <row r="671">
      <c r="A671" t="inlineStr">
        <is>
          <t>Ethics and Economics</t>
        </is>
      </c>
      <c r="B671" t="inlineStr">
        <is>
          <t>C</t>
        </is>
      </c>
      <c r="C671" t="n">
        <v>3899</v>
      </c>
      <c r="D671" t="inlineStr">
        <is>
          <t>University of Versailles</t>
        </is>
      </c>
    </row>
    <row r="672">
      <c r="A672" t="inlineStr">
        <is>
          <t>Ethics and Information Technology</t>
        </is>
      </c>
      <c r="B672" t="inlineStr">
        <is>
          <t>B</t>
        </is>
      </c>
      <c r="C672" t="n">
        <v>4609</v>
      </c>
      <c r="D672" t="inlineStr">
        <is>
          <t>Springer International Publishing</t>
        </is>
      </c>
    </row>
    <row r="673">
      <c r="A673" t="inlineStr">
        <is>
          <t>Ethics: an international journal of social, political, and legal philosophy</t>
        </is>
      </c>
      <c r="B673" t="inlineStr">
        <is>
          <t>A</t>
        </is>
      </c>
      <c r="C673" t="n">
        <v>3507</v>
      </c>
      <c r="D673" t="inlineStr">
        <is>
          <t>The University of Chicago Press</t>
        </is>
      </c>
    </row>
    <row r="674">
      <c r="A674" t="inlineStr">
        <is>
          <t>Eurasian Business Review</t>
        </is>
      </c>
      <c r="B674" t="inlineStr">
        <is>
          <t>B</t>
        </is>
      </c>
      <c r="C674" t="n">
        <v>3801</v>
      </c>
      <c r="D674" t="inlineStr">
        <is>
          <t>Springer International Publishing</t>
        </is>
      </c>
    </row>
    <row r="675">
      <c r="A675" t="inlineStr">
        <is>
          <t>Eurasian Economic Review</t>
        </is>
      </c>
      <c r="B675" t="inlineStr">
        <is>
          <t>C</t>
        </is>
      </c>
      <c r="C675" t="n">
        <v>3801</v>
      </c>
      <c r="D675" t="inlineStr">
        <is>
          <t>Springer International Publishing</t>
        </is>
      </c>
    </row>
    <row r="676">
      <c r="A676" t="inlineStr">
        <is>
          <t>Eurasian Geography and Economics</t>
        </is>
      </c>
      <c r="B676" t="inlineStr">
        <is>
          <t>B</t>
        </is>
      </c>
      <c r="C676" t="n">
        <v>3899</v>
      </c>
      <c r="D676" t="inlineStr">
        <is>
          <t>Taylor &amp; Francis Online</t>
        </is>
      </c>
    </row>
    <row r="677">
      <c r="A677" t="inlineStr">
        <is>
          <t>Eurasian Journal of Business and Economics</t>
        </is>
      </c>
      <c r="B677" t="inlineStr">
        <is>
          <t>C</t>
        </is>
      </c>
      <c r="C677" t="n">
        <v>3501</v>
      </c>
      <c r="D677" t="inlineStr">
        <is>
          <t>Ala-Too International University</t>
        </is>
      </c>
    </row>
    <row r="678">
      <c r="A678" t="inlineStr">
        <is>
          <t>EURO Journal on Transportation and Logistics</t>
        </is>
      </c>
      <c r="B678" t="inlineStr">
        <is>
          <t>B</t>
        </is>
      </c>
      <c r="C678" t="n">
        <v>3509</v>
      </c>
      <c r="D678" t="inlineStr">
        <is>
          <t>Springer International Publishing</t>
        </is>
      </c>
    </row>
    <row r="679">
      <c r="A679" t="inlineStr">
        <is>
          <t>EuroChoices</t>
        </is>
      </c>
      <c r="B679" t="inlineStr">
        <is>
          <t>C</t>
        </is>
      </c>
      <c r="C679" t="n">
        <v>3801</v>
      </c>
      <c r="D679" t="inlineStr">
        <is>
          <t>Wiley-Blackwell Publishing</t>
        </is>
      </c>
    </row>
    <row r="680">
      <c r="A680" t="inlineStr">
        <is>
          <t>EuroMed Journal of Business</t>
        </is>
      </c>
      <c r="B680" t="inlineStr">
        <is>
          <t>B</t>
        </is>
      </c>
      <c r="C680" t="n">
        <v>3507</v>
      </c>
      <c r="D680" t="inlineStr">
        <is>
          <t>Emerald Group Publishing</t>
        </is>
      </c>
    </row>
    <row r="681">
      <c r="A681" t="inlineStr">
        <is>
          <t>Europe-Asia Studies</t>
        </is>
      </c>
      <c r="B681" t="inlineStr">
        <is>
          <t>B</t>
        </is>
      </c>
      <c r="C681" t="n">
        <v>3599</v>
      </c>
      <c r="D681" t="inlineStr">
        <is>
          <t>Taylor &amp; Francis Online</t>
        </is>
      </c>
    </row>
    <row r="682">
      <c r="A682" t="inlineStr">
        <is>
          <t>European Actuarial Journal</t>
        </is>
      </c>
      <c r="B682" t="inlineStr">
        <is>
          <t>B</t>
        </is>
      </c>
      <c r="C682" t="n">
        <v>3502</v>
      </c>
      <c r="D682" t="inlineStr">
        <is>
          <t>Springer International Publishing</t>
        </is>
      </c>
    </row>
    <row r="683">
      <c r="A683" t="inlineStr">
        <is>
          <t>European Business Law Review</t>
        </is>
      </c>
      <c r="B683" t="inlineStr">
        <is>
          <t>C</t>
        </is>
      </c>
      <c r="C683" t="n">
        <v>4801</v>
      </c>
      <c r="D683" t="inlineStr">
        <is>
          <t>Kluwer Law International</t>
        </is>
      </c>
    </row>
    <row r="684">
      <c r="A684" t="inlineStr">
        <is>
          <t>European Business Organization Law Review</t>
        </is>
      </c>
      <c r="B684" t="inlineStr">
        <is>
          <t>B</t>
        </is>
      </c>
      <c r="C684" t="n">
        <v>4801</v>
      </c>
      <c r="D684" t="inlineStr">
        <is>
          <t>Springer Nature</t>
        </is>
      </c>
    </row>
    <row r="685">
      <c r="A685" t="inlineStr">
        <is>
          <t>European Business Review</t>
        </is>
      </c>
      <c r="B685" t="inlineStr">
        <is>
          <t>B</t>
        </is>
      </c>
      <c r="C685" t="n">
        <v>3507</v>
      </c>
      <c r="D685" t="inlineStr">
        <is>
          <t>Emerald Group Publishing</t>
        </is>
      </c>
    </row>
    <row r="686">
      <c r="A686" t="inlineStr">
        <is>
          <t>European Company Law</t>
        </is>
      </c>
      <c r="B686" t="inlineStr">
        <is>
          <t>C</t>
        </is>
      </c>
      <c r="C686" t="n">
        <v>4801</v>
      </c>
      <c r="D686" t="inlineStr">
        <is>
          <t>Kluwer Law International</t>
        </is>
      </c>
    </row>
    <row r="687">
      <c r="A687" t="inlineStr">
        <is>
          <t>European Competition Journal</t>
        </is>
      </c>
      <c r="B687" t="inlineStr">
        <is>
          <t>C</t>
        </is>
      </c>
      <c r="C687" t="n">
        <v>4801</v>
      </c>
      <c r="D687" t="inlineStr">
        <is>
          <t>Taylor &amp; Francis Online</t>
        </is>
      </c>
    </row>
    <row r="688">
      <c r="A688" t="inlineStr">
        <is>
          <t>European Competition Law Review</t>
        </is>
      </c>
      <c r="B688" t="inlineStr">
        <is>
          <t>A</t>
        </is>
      </c>
      <c r="C688" t="n">
        <v>4801</v>
      </c>
      <c r="D688" t="inlineStr">
        <is>
          <t>Sweet &amp; Maxwell</t>
        </is>
      </c>
    </row>
    <row r="689">
      <c r="A689" t="inlineStr">
        <is>
          <t>European Economic Review</t>
        </is>
      </c>
      <c r="B689" t="inlineStr">
        <is>
          <t>A*</t>
        </is>
      </c>
      <c r="C689" t="n">
        <v>3801</v>
      </c>
      <c r="D689" t="inlineStr">
        <is>
          <t>Elsevier</t>
        </is>
      </c>
    </row>
    <row r="690">
      <c r="A690" t="inlineStr">
        <is>
          <t>European Financial Management</t>
        </is>
      </c>
      <c r="B690" t="inlineStr">
        <is>
          <t>A</t>
        </is>
      </c>
      <c r="C690" t="n">
        <v>3502</v>
      </c>
      <c r="D690" t="inlineStr">
        <is>
          <t>Wiley-Blackwell Publishing</t>
        </is>
      </c>
    </row>
    <row r="691">
      <c r="A691" t="inlineStr">
        <is>
          <t>European Intellectual Property Review</t>
        </is>
      </c>
      <c r="B691" t="inlineStr">
        <is>
          <t>A</t>
        </is>
      </c>
      <c r="C691" t="n">
        <v>4801</v>
      </c>
      <c r="D691" t="inlineStr">
        <is>
          <t>Sweet &amp; Maxwell</t>
        </is>
      </c>
    </row>
    <row r="692">
      <c r="A692" t="inlineStr">
        <is>
          <t>European Journal of Communication</t>
        </is>
      </c>
      <c r="B692" t="inlineStr">
        <is>
          <t>B</t>
        </is>
      </c>
      <c r="C692" t="n">
        <v>3599</v>
      </c>
      <c r="D692" t="inlineStr">
        <is>
          <t>Sage Publications</t>
        </is>
      </c>
    </row>
    <row r="693">
      <c r="A693" t="inlineStr">
        <is>
          <t>European Journal of Comparative Economics</t>
        </is>
      </c>
      <c r="B693" t="inlineStr">
        <is>
          <t>B</t>
        </is>
      </c>
      <c r="C693" t="n">
        <v>3899</v>
      </c>
      <c r="D693" t="inlineStr">
        <is>
          <t>European Association for Comparative Economics Systems / LIUC University Press</t>
        </is>
      </c>
    </row>
    <row r="694">
      <c r="A694" t="inlineStr">
        <is>
          <t>European Journal of Development Research</t>
        </is>
      </c>
      <c r="B694" t="inlineStr">
        <is>
          <t>B</t>
        </is>
      </c>
      <c r="C694" t="n">
        <v>3801</v>
      </c>
      <c r="D694" t="inlineStr">
        <is>
          <t>Springer International Publishing</t>
        </is>
      </c>
    </row>
    <row r="695">
      <c r="A695" t="inlineStr">
        <is>
          <t>European Journal of Economics and Economic Policies: Intervention</t>
        </is>
      </c>
      <c r="B695" t="inlineStr">
        <is>
          <t>C</t>
        </is>
      </c>
      <c r="C695" t="n">
        <v>3801</v>
      </c>
      <c r="D695" t="inlineStr">
        <is>
          <t>Edward Elgar Publishing</t>
        </is>
      </c>
    </row>
    <row r="696">
      <c r="A696" t="inlineStr">
        <is>
          <t>European Journal of Government and Economics</t>
        </is>
      </c>
      <c r="B696" t="inlineStr">
        <is>
          <t>C</t>
        </is>
      </c>
      <c r="C696" t="n">
        <v>3899</v>
      </c>
      <c r="D696" t="inlineStr">
        <is>
          <t>Europa Grande</t>
        </is>
      </c>
    </row>
    <row r="697">
      <c r="A697" t="inlineStr">
        <is>
          <t>European Journal of Health Economics</t>
        </is>
      </c>
      <c r="B697" t="inlineStr">
        <is>
          <t>A</t>
        </is>
      </c>
      <c r="C697" t="n">
        <v>3801</v>
      </c>
      <c r="D697" t="inlineStr">
        <is>
          <t>Springer International Publishing</t>
        </is>
      </c>
    </row>
    <row r="698">
      <c r="A698" t="inlineStr">
        <is>
          <t>European Journal of Industrial Relations</t>
        </is>
      </c>
      <c r="B698" t="inlineStr">
        <is>
          <t>A</t>
        </is>
      </c>
      <c r="C698" t="n">
        <v>3505</v>
      </c>
      <c r="D698" t="inlineStr">
        <is>
          <t>Sage Publications</t>
        </is>
      </c>
    </row>
    <row r="699">
      <c r="A699" t="inlineStr">
        <is>
          <t>European Journal of Information Systems</t>
        </is>
      </c>
      <c r="B699" t="inlineStr">
        <is>
          <t>A*</t>
        </is>
      </c>
      <c r="C699" t="n">
        <v>4609</v>
      </c>
      <c r="D699" t="inlineStr">
        <is>
          <t>Taylor &amp; Francis Online</t>
        </is>
      </c>
    </row>
    <row r="700">
      <c r="A700" t="inlineStr">
        <is>
          <t>European Journal of Innovation Management</t>
        </is>
      </c>
      <c r="B700" t="inlineStr">
        <is>
          <t>C</t>
        </is>
      </c>
      <c r="C700" t="n">
        <v>3507</v>
      </c>
      <c r="D700" t="inlineStr">
        <is>
          <t>Emerald Group Publishing</t>
        </is>
      </c>
    </row>
    <row r="701">
      <c r="A701" t="inlineStr">
        <is>
          <t>European Journal of International Law</t>
        </is>
      </c>
      <c r="B701" t="inlineStr">
        <is>
          <t>A</t>
        </is>
      </c>
      <c r="C701" t="n">
        <v>4801</v>
      </c>
      <c r="D701" t="inlineStr">
        <is>
          <t>Oxford University Press</t>
        </is>
      </c>
    </row>
    <row r="702">
      <c r="A702" t="inlineStr">
        <is>
          <t>European Journal of International Management</t>
        </is>
      </c>
      <c r="B702" t="inlineStr">
        <is>
          <t>C</t>
        </is>
      </c>
      <c r="C702" t="n">
        <v>3507</v>
      </c>
      <c r="D702" t="inlineStr">
        <is>
          <t>Inderscience</t>
        </is>
      </c>
    </row>
    <row r="703">
      <c r="A703" t="inlineStr">
        <is>
          <t>European Journal of International Relations</t>
        </is>
      </c>
      <c r="B703" t="inlineStr">
        <is>
          <t>A</t>
        </is>
      </c>
      <c r="C703" t="n">
        <v>3599</v>
      </c>
      <c r="D703" t="inlineStr">
        <is>
          <t>Sage Publications</t>
        </is>
      </c>
    </row>
    <row r="704">
      <c r="A704" t="inlineStr">
        <is>
          <t>European Journal of Law and Economics</t>
        </is>
      </c>
      <c r="B704" t="inlineStr">
        <is>
          <t>C</t>
        </is>
      </c>
      <c r="C704" t="n">
        <v>4801</v>
      </c>
      <c r="D704" t="inlineStr">
        <is>
          <t>Springer International Publishing</t>
        </is>
      </c>
    </row>
    <row r="705">
      <c r="A705" t="inlineStr">
        <is>
          <t>European Journal of Management and Business Economics</t>
        </is>
      </c>
      <c r="B705" t="inlineStr">
        <is>
          <t>B</t>
        </is>
      </c>
      <c r="C705" t="n">
        <v>3507</v>
      </c>
      <c r="D705" t="inlineStr">
        <is>
          <t>Emerald Group Publishing</t>
        </is>
      </c>
    </row>
    <row r="706">
      <c r="A706" t="inlineStr">
        <is>
          <t>European Journal of Management Studies</t>
        </is>
      </c>
      <c r="B706" t="inlineStr">
        <is>
          <t>C</t>
        </is>
      </c>
      <c r="C706" t="n">
        <v>3507</v>
      </c>
      <c r="D706" t="inlineStr">
        <is>
          <t>Emerald Group Publishing</t>
        </is>
      </c>
    </row>
    <row r="707">
      <c r="A707" t="inlineStr">
        <is>
          <t>European Journal of Marketing</t>
        </is>
      </c>
      <c r="B707" t="inlineStr">
        <is>
          <t>A*</t>
        </is>
      </c>
      <c r="C707" t="n">
        <v>3506</v>
      </c>
      <c r="D707" t="inlineStr">
        <is>
          <t>Emerald Group Publishing</t>
        </is>
      </c>
    </row>
    <row r="708">
      <c r="A708" t="inlineStr">
        <is>
          <t>European Journal of Operational Research</t>
        </is>
      </c>
      <c r="B708" t="inlineStr">
        <is>
          <t>A*</t>
        </is>
      </c>
      <c r="C708" t="n">
        <v>3507</v>
      </c>
      <c r="D708" t="inlineStr">
        <is>
          <t>Elsevier</t>
        </is>
      </c>
    </row>
    <row r="709">
      <c r="A709" t="inlineStr">
        <is>
          <t>European Journal of Personality</t>
        </is>
      </c>
      <c r="B709" t="inlineStr">
        <is>
          <t>A</t>
        </is>
      </c>
      <c r="C709" t="n">
        <v>3507</v>
      </c>
      <c r="D709" t="inlineStr">
        <is>
          <t>Sage Publications</t>
        </is>
      </c>
    </row>
    <row r="710">
      <c r="A710" t="inlineStr">
        <is>
          <t>European Journal of Political Economy</t>
        </is>
      </c>
      <c r="B710" t="inlineStr">
        <is>
          <t>A</t>
        </is>
      </c>
      <c r="C710" t="n">
        <v>3801</v>
      </c>
      <c r="D710" t="inlineStr">
        <is>
          <t>Elsevier</t>
        </is>
      </c>
    </row>
    <row r="711">
      <c r="A711" t="inlineStr">
        <is>
          <t>European Journal of Political Research</t>
        </is>
      </c>
      <c r="B711" t="inlineStr">
        <is>
          <t>A</t>
        </is>
      </c>
      <c r="C711" t="n">
        <v>3599</v>
      </c>
      <c r="D711" t="inlineStr">
        <is>
          <t>Wiley-Blackwell Publishing</t>
        </is>
      </c>
    </row>
    <row r="712">
      <c r="A712" t="inlineStr">
        <is>
          <t>European Journal of Population</t>
        </is>
      </c>
      <c r="B712" t="inlineStr">
        <is>
          <t>B</t>
        </is>
      </c>
      <c r="C712" t="n">
        <v>3599</v>
      </c>
      <c r="D712" t="inlineStr">
        <is>
          <t>Springer International Publishing</t>
        </is>
      </c>
    </row>
    <row r="713">
      <c r="A713" t="inlineStr">
        <is>
          <t>European Journal of Psychological Assessment</t>
        </is>
      </c>
      <c r="B713" t="inlineStr">
        <is>
          <t>B</t>
        </is>
      </c>
      <c r="C713" t="n">
        <v>3507</v>
      </c>
      <c r="D713" t="inlineStr">
        <is>
          <t>Hogrefe Publishing Corp</t>
        </is>
      </c>
    </row>
    <row r="714">
      <c r="A714" t="inlineStr">
        <is>
          <t>European Journal of Public Health</t>
        </is>
      </c>
      <c r="B714" t="inlineStr">
        <is>
          <t>B</t>
        </is>
      </c>
      <c r="C714" t="n">
        <v>3599</v>
      </c>
      <c r="D714" t="inlineStr">
        <is>
          <t>Oxford University Press</t>
        </is>
      </c>
    </row>
    <row r="715">
      <c r="A715" t="inlineStr">
        <is>
          <t>European Journal of Social Psychology</t>
        </is>
      </c>
      <c r="B715" t="inlineStr">
        <is>
          <t>A</t>
        </is>
      </c>
      <c r="C715" t="n">
        <v>3507</v>
      </c>
      <c r="D715" t="inlineStr">
        <is>
          <t>Wiley-Blackwell Publishing</t>
        </is>
      </c>
    </row>
    <row r="716">
      <c r="A716" t="inlineStr">
        <is>
          <t>European Journal of the History of Economic Thought</t>
        </is>
      </c>
      <c r="B716" t="inlineStr">
        <is>
          <t>B</t>
        </is>
      </c>
      <c r="C716" t="n">
        <v>3803</v>
      </c>
      <c r="D716" t="inlineStr">
        <is>
          <t>Taylor &amp; Francis Online</t>
        </is>
      </c>
    </row>
    <row r="717">
      <c r="A717" t="inlineStr">
        <is>
          <t>European Journal of Tourism Research</t>
        </is>
      </c>
      <c r="B717" t="inlineStr">
        <is>
          <t>C</t>
        </is>
      </c>
      <c r="C717" t="n">
        <v>3508</v>
      </c>
      <c r="D717" t="inlineStr">
        <is>
          <t>Varna University of Management</t>
        </is>
      </c>
    </row>
    <row r="718">
      <c r="A718" t="inlineStr">
        <is>
          <t>European Journal of Training and Development</t>
        </is>
      </c>
      <c r="B718" t="inlineStr">
        <is>
          <t>C</t>
        </is>
      </c>
      <c r="C718" t="n">
        <v>3505</v>
      </c>
      <c r="D718" t="inlineStr">
        <is>
          <t>Emerald Group Publishing</t>
        </is>
      </c>
    </row>
    <row r="719">
      <c r="A719" t="inlineStr">
        <is>
          <t>European Journal of Transport and Infrastructure Research</t>
        </is>
      </c>
      <c r="B719" t="inlineStr">
        <is>
          <t>B</t>
        </is>
      </c>
      <c r="C719" t="n">
        <v>3509</v>
      </c>
      <c r="D719" t="inlineStr">
        <is>
          <t>Delft University of Technology</t>
        </is>
      </c>
    </row>
    <row r="720">
      <c r="A720" t="inlineStr">
        <is>
          <t>European Journal of Work and Organizational Psychology</t>
        </is>
      </c>
      <c r="B720" t="inlineStr">
        <is>
          <t>A</t>
        </is>
      </c>
      <c r="C720" t="n">
        <v>3507</v>
      </c>
      <c r="D720" t="inlineStr">
        <is>
          <t>Taylor &amp; Francis Online</t>
        </is>
      </c>
    </row>
    <row r="721">
      <c r="A721" t="inlineStr">
        <is>
          <t>European Law Journal</t>
        </is>
      </c>
      <c r="B721" t="inlineStr">
        <is>
          <t>B</t>
        </is>
      </c>
      <c r="C721" t="n">
        <v>4801</v>
      </c>
      <c r="D721" t="inlineStr">
        <is>
          <t>Wiley-Blackwell Publishing</t>
        </is>
      </c>
    </row>
    <row r="722">
      <c r="A722" t="inlineStr">
        <is>
          <t>European Law Review</t>
        </is>
      </c>
      <c r="B722" t="inlineStr">
        <is>
          <t>A</t>
        </is>
      </c>
      <c r="C722" t="n">
        <v>4801</v>
      </c>
      <c r="D722" t="inlineStr">
        <is>
          <t>Sweet &amp; Maxwell</t>
        </is>
      </c>
    </row>
    <row r="723">
      <c r="A723" t="inlineStr">
        <is>
          <t>European Management Journal</t>
        </is>
      </c>
      <c r="B723" t="inlineStr">
        <is>
          <t>A</t>
        </is>
      </c>
      <c r="C723" t="n">
        <v>3507</v>
      </c>
      <c r="D723" t="inlineStr">
        <is>
          <t>Elsevier</t>
        </is>
      </c>
    </row>
    <row r="724">
      <c r="A724" t="inlineStr">
        <is>
          <t>European Management Review</t>
        </is>
      </c>
      <c r="B724" t="inlineStr">
        <is>
          <t>B</t>
        </is>
      </c>
      <c r="C724" t="n">
        <v>3507</v>
      </c>
      <c r="D724" t="inlineStr">
        <is>
          <t>Wiley-Blackwell Publishing</t>
        </is>
      </c>
    </row>
    <row r="725">
      <c r="A725" t="inlineStr">
        <is>
          <t>European Research on Management and Business Economics</t>
        </is>
      </c>
      <c r="B725" t="inlineStr">
        <is>
          <t>A</t>
        </is>
      </c>
      <c r="C725" t="n">
        <v>3599</v>
      </c>
      <c r="D725" t="inlineStr">
        <is>
          <t>European Academy of Management and Business Economics (AEDEM) - Elsevier</t>
        </is>
      </c>
    </row>
    <row r="726">
      <c r="A726" t="inlineStr">
        <is>
          <t>European Review of Agricultural Economics</t>
        </is>
      </c>
      <c r="B726" t="inlineStr">
        <is>
          <t>A</t>
        </is>
      </c>
      <c r="C726" t="n">
        <v>3801</v>
      </c>
      <c r="D726" t="inlineStr">
        <is>
          <t>Oxford University Press</t>
        </is>
      </c>
    </row>
    <row r="727">
      <c r="A727" t="inlineStr">
        <is>
          <t>European Review of Economic History</t>
        </is>
      </c>
      <c r="B727" t="inlineStr">
        <is>
          <t>A</t>
        </is>
      </c>
      <c r="C727" t="n">
        <v>3801</v>
      </c>
      <c r="D727" t="inlineStr">
        <is>
          <t>Oxford University Press</t>
        </is>
      </c>
    </row>
    <row r="728">
      <c r="A728" t="inlineStr">
        <is>
          <t>European Sport Management Quarterly</t>
        </is>
      </c>
      <c r="B728" t="inlineStr">
        <is>
          <t>A</t>
        </is>
      </c>
      <c r="C728" t="n">
        <v>3504</v>
      </c>
      <c r="D728" t="inlineStr">
        <is>
          <t>Taylor &amp; Francis Online</t>
        </is>
      </c>
    </row>
    <row r="729">
      <c r="A729" t="inlineStr">
        <is>
          <t>European Taxation</t>
        </is>
      </c>
      <c r="B729" t="inlineStr">
        <is>
          <t>B</t>
        </is>
      </c>
      <c r="C729" t="n">
        <v>4801</v>
      </c>
      <c r="D729" t="inlineStr">
        <is>
          <t>International Bureau of Fiscal Documentation</t>
        </is>
      </c>
    </row>
    <row r="730">
      <c r="A730" t="inlineStr">
        <is>
          <t>European Transport / Trasporti Europei</t>
        </is>
      </c>
      <c r="B730" t="inlineStr">
        <is>
          <t>C</t>
        </is>
      </c>
      <c r="C730" t="n">
        <v>3509</v>
      </c>
      <c r="D730" t="inlineStr">
        <is>
          <t>Giordano Editore</t>
        </is>
      </c>
    </row>
    <row r="731">
      <c r="A731" t="inlineStr">
        <is>
          <t>European Transport Law</t>
        </is>
      </c>
      <c r="B731" t="inlineStr">
        <is>
          <t>C</t>
        </is>
      </c>
      <c r="C731" t="n">
        <v>4801</v>
      </c>
      <c r="D731" t="inlineStr">
        <is>
          <t>Wijfells</t>
        </is>
      </c>
    </row>
    <row r="732">
      <c r="A732" t="inlineStr">
        <is>
          <t>European Urban and Regional Studies</t>
        </is>
      </c>
      <c r="B732" t="inlineStr">
        <is>
          <t>A</t>
        </is>
      </c>
      <c r="C732" t="n">
        <v>3599</v>
      </c>
      <c r="D732" t="inlineStr">
        <is>
          <t>Sage Publications</t>
        </is>
      </c>
    </row>
    <row r="733">
      <c r="A733" t="inlineStr">
        <is>
          <t>Evaluation</t>
        </is>
      </c>
      <c r="B733" t="inlineStr">
        <is>
          <t>B</t>
        </is>
      </c>
      <c r="C733" t="n">
        <v>3507</v>
      </c>
      <c r="D733" t="inlineStr">
        <is>
          <t>Sage Publications</t>
        </is>
      </c>
    </row>
    <row r="734">
      <c r="A734" t="inlineStr">
        <is>
          <t>Evaluation Review</t>
        </is>
      </c>
      <c r="B734" t="inlineStr">
        <is>
          <t>A</t>
        </is>
      </c>
      <c r="C734" t="n">
        <v>3599</v>
      </c>
      <c r="D734" t="inlineStr">
        <is>
          <t>Sage Publications</t>
        </is>
      </c>
    </row>
    <row r="735">
      <c r="A735" t="inlineStr">
        <is>
          <t>Event Management</t>
        </is>
      </c>
      <c r="B735" t="inlineStr">
        <is>
          <t>A</t>
        </is>
      </c>
      <c r="C735" t="n">
        <v>3508</v>
      </c>
      <c r="D735" t="inlineStr">
        <is>
          <t>Cognizant Communication Corporation</t>
        </is>
      </c>
    </row>
    <row r="736">
      <c r="A736" t="inlineStr">
        <is>
          <t>Evidence-based HRM (EBHRM): A Global Forum for Empirical Scholarship</t>
        </is>
      </c>
      <c r="B736" t="inlineStr">
        <is>
          <t>B</t>
        </is>
      </c>
      <c r="C736" t="n">
        <v>3505</v>
      </c>
      <c r="D736" t="inlineStr">
        <is>
          <t>Emerald Group Publishing</t>
        </is>
      </c>
    </row>
    <row r="737">
      <c r="A737" t="inlineStr">
        <is>
          <t>Experimental Economics</t>
        </is>
      </c>
      <c r="B737" t="inlineStr">
        <is>
          <t>A*</t>
        </is>
      </c>
      <c r="C737" t="n">
        <v>3801</v>
      </c>
      <c r="D737" t="inlineStr">
        <is>
          <t>Springer International Publishing</t>
        </is>
      </c>
    </row>
    <row r="738">
      <c r="A738" t="inlineStr">
        <is>
          <t>Expert Review of Pharmacoeconomics &amp; Outcomes Research</t>
        </is>
      </c>
      <c r="B738" t="inlineStr">
        <is>
          <t>C</t>
        </is>
      </c>
      <c r="C738" t="n">
        <v>3801</v>
      </c>
      <c r="D738" t="inlineStr">
        <is>
          <t>Taylor &amp; Francis Online</t>
        </is>
      </c>
    </row>
    <row r="739">
      <c r="A739" t="inlineStr">
        <is>
          <t>Explorations in Economic History</t>
        </is>
      </c>
      <c r="B739" t="inlineStr">
        <is>
          <t>A</t>
        </is>
      </c>
      <c r="C739" t="n">
        <v>3801</v>
      </c>
      <c r="D739" t="inlineStr">
        <is>
          <t>Elsevier</t>
        </is>
      </c>
    </row>
    <row r="740">
      <c r="A740" t="inlineStr">
        <is>
          <t>Facilities</t>
        </is>
      </c>
      <c r="B740" t="inlineStr">
        <is>
          <t>B</t>
        </is>
      </c>
      <c r="C740" t="n">
        <v>3504</v>
      </c>
      <c r="D740" t="inlineStr">
        <is>
          <t>Emerald Group Publishing</t>
        </is>
      </c>
    </row>
    <row r="741">
      <c r="A741" t="inlineStr">
        <is>
          <t>Facta Universitatas: Economics and Organization</t>
        </is>
      </c>
      <c r="B741" t="inlineStr">
        <is>
          <t>C</t>
        </is>
      </c>
      <c r="C741" t="n">
        <v>3501</v>
      </c>
      <c r="D741" t="inlineStr">
        <is>
          <t>University of Nis</t>
        </is>
      </c>
    </row>
    <row r="742">
      <c r="A742" t="inlineStr">
        <is>
          <t>Faith and Economics</t>
        </is>
      </c>
      <c r="B742" t="inlineStr">
        <is>
          <t>B</t>
        </is>
      </c>
      <c r="C742" t="n">
        <v>3899</v>
      </c>
      <c r="D742" t="inlineStr">
        <is>
          <t>American Theological Libraries Association</t>
        </is>
      </c>
    </row>
    <row r="743">
      <c r="A743" t="inlineStr">
        <is>
          <t>Family Business Review</t>
        </is>
      </c>
      <c r="B743" t="inlineStr">
        <is>
          <t>A</t>
        </is>
      </c>
      <c r="C743" t="n">
        <v>3507</v>
      </c>
      <c r="D743" t="inlineStr">
        <is>
          <t>Sage Publications</t>
        </is>
      </c>
    </row>
    <row r="744">
      <c r="A744" t="inlineStr">
        <is>
          <t>Farm and Business - The Journal of the Caribbean Agro-Economic Society</t>
        </is>
      </c>
      <c r="B744" t="inlineStr">
        <is>
          <t>C</t>
        </is>
      </c>
      <c r="C744" t="n">
        <v>3899</v>
      </c>
      <c r="D744" t="inlineStr">
        <is>
          <t>Caribbean Agro-Economic Society</t>
        </is>
      </c>
    </row>
    <row r="745">
      <c r="A745" t="inlineStr">
        <is>
          <t>Federal Law Review</t>
        </is>
      </c>
      <c r="B745" t="inlineStr">
        <is>
          <t>A*</t>
        </is>
      </c>
      <c r="C745" t="n">
        <v>4801</v>
      </c>
      <c r="D745" t="inlineStr">
        <is>
          <t>Australian National University</t>
        </is>
      </c>
    </row>
    <row r="746">
      <c r="A746" t="inlineStr">
        <is>
          <t>Feminist Economics</t>
        </is>
      </c>
      <c r="B746" t="inlineStr">
        <is>
          <t>A</t>
        </is>
      </c>
      <c r="C746" t="n">
        <v>3801</v>
      </c>
      <c r="D746" t="inlineStr">
        <is>
          <t>Taylor &amp; Francis Online</t>
        </is>
      </c>
    </row>
    <row r="747">
      <c r="A747" t="inlineStr">
        <is>
          <t>FIIB Business Review</t>
        </is>
      </c>
      <c r="B747" t="inlineStr">
        <is>
          <t>B</t>
        </is>
      </c>
      <c r="C747" t="n">
        <v>3507</v>
      </c>
      <c r="D747" t="inlineStr">
        <is>
          <t>Sage Publications</t>
        </is>
      </c>
    </row>
    <row r="748">
      <c r="A748" t="inlineStr">
        <is>
          <t>Finance</t>
        </is>
      </c>
      <c r="B748" t="inlineStr">
        <is>
          <t>C</t>
        </is>
      </c>
      <c r="C748" t="n">
        <v>3502</v>
      </c>
      <c r="D748" t="inlineStr">
        <is>
          <t>Association Francaise de Finance</t>
        </is>
      </c>
    </row>
    <row r="749">
      <c r="A749" t="inlineStr">
        <is>
          <t>Finance and Stochastics</t>
        </is>
      </c>
      <c r="B749" t="inlineStr">
        <is>
          <t>A</t>
        </is>
      </c>
      <c r="C749" t="n">
        <v>3502</v>
      </c>
      <c r="D749" t="inlineStr">
        <is>
          <t>Springer International Publishing</t>
        </is>
      </c>
    </row>
    <row r="750">
      <c r="A750" t="inlineStr">
        <is>
          <t>Finance India</t>
        </is>
      </c>
      <c r="B750" t="inlineStr">
        <is>
          <t>C</t>
        </is>
      </c>
      <c r="C750" t="n">
        <v>3502</v>
      </c>
      <c r="D750" t="inlineStr">
        <is>
          <t>Indian Institute of Finance</t>
        </is>
      </c>
    </row>
    <row r="751">
      <c r="A751" t="inlineStr">
        <is>
          <t>Finance Research Letters</t>
        </is>
      </c>
      <c r="B751" t="inlineStr">
        <is>
          <t>A</t>
        </is>
      </c>
      <c r="C751" t="n">
        <v>3502</v>
      </c>
      <c r="D751" t="inlineStr">
        <is>
          <t>Elsevier</t>
        </is>
      </c>
    </row>
    <row r="752">
      <c r="A752" t="inlineStr">
        <is>
          <t>Financial Accountability and Management</t>
        </is>
      </c>
      <c r="B752" t="inlineStr">
        <is>
          <t>A</t>
        </is>
      </c>
      <c r="C752" t="n">
        <v>3501</v>
      </c>
      <c r="D752" t="inlineStr">
        <is>
          <t>Wiley-Blackwell Publishing</t>
        </is>
      </c>
    </row>
    <row r="753">
      <c r="A753" t="inlineStr">
        <is>
          <t>Financial Analysts Journal</t>
        </is>
      </c>
      <c r="B753" t="inlineStr">
        <is>
          <t>A</t>
        </is>
      </c>
      <c r="C753" t="n">
        <v>3502</v>
      </c>
      <c r="D753" t="inlineStr">
        <is>
          <t>Taylor &amp; Francis Online</t>
        </is>
      </c>
    </row>
    <row r="754">
      <c r="A754" t="inlineStr">
        <is>
          <t>Financial History Review</t>
        </is>
      </c>
      <c r="B754" t="inlineStr">
        <is>
          <t>B</t>
        </is>
      </c>
      <c r="C754" t="n">
        <v>3502</v>
      </c>
      <c r="D754" t="inlineStr">
        <is>
          <t>Cambridge University Press</t>
        </is>
      </c>
    </row>
    <row r="755">
      <c r="A755" t="inlineStr">
        <is>
          <t>Financial Innovation</t>
        </is>
      </c>
      <c r="B755" t="inlineStr">
        <is>
          <t>B</t>
        </is>
      </c>
      <c r="C755" t="n">
        <v>3502</v>
      </c>
      <c r="D755" t="inlineStr">
        <is>
          <t>Springer Nature</t>
        </is>
      </c>
    </row>
    <row r="756">
      <c r="A756" t="inlineStr">
        <is>
          <t>Financial Management</t>
        </is>
      </c>
      <c r="B756" t="inlineStr">
        <is>
          <t>A*</t>
        </is>
      </c>
      <c r="C756" t="n">
        <v>3502</v>
      </c>
      <c r="D756" t="inlineStr">
        <is>
          <t>Wiley-Blackwell Publishing</t>
        </is>
      </c>
    </row>
    <row r="757">
      <c r="A757" t="inlineStr">
        <is>
          <t>Financial Markets and Portfolio Management</t>
        </is>
      </c>
      <c r="B757" t="inlineStr">
        <is>
          <t>B</t>
        </is>
      </c>
      <c r="C757" t="n">
        <v>3502</v>
      </c>
      <c r="D757" t="inlineStr">
        <is>
          <t>Springer International Publishing</t>
        </is>
      </c>
    </row>
    <row r="758">
      <c r="A758" t="inlineStr">
        <is>
          <t>Financial Markets, Institutions and Instruments</t>
        </is>
      </c>
      <c r="B758" t="inlineStr">
        <is>
          <t>A</t>
        </is>
      </c>
      <c r="C758" t="n">
        <v>3502</v>
      </c>
      <c r="D758" t="inlineStr">
        <is>
          <t>Wiley-Blackwell Publishing</t>
        </is>
      </c>
    </row>
    <row r="759">
      <c r="A759" t="inlineStr">
        <is>
          <t>Financial Planning Research Journal</t>
        </is>
      </c>
      <c r="B759" t="inlineStr">
        <is>
          <t>C</t>
        </is>
      </c>
      <c r="C759" t="n">
        <v>3502</v>
      </c>
      <c r="D759" t="inlineStr">
        <is>
          <t>Financial Advice Association of Australia, in partnership with Paradigm Publishing Services</t>
        </is>
      </c>
    </row>
    <row r="760">
      <c r="A760" t="inlineStr">
        <is>
          <t>Financial Planning Review</t>
        </is>
      </c>
      <c r="B760" t="inlineStr">
        <is>
          <t>B</t>
        </is>
      </c>
      <c r="C760" t="n">
        <v>3502</v>
      </c>
      <c r="D760" t="inlineStr">
        <is>
          <t>Wiley</t>
        </is>
      </c>
    </row>
    <row r="761">
      <c r="A761" t="inlineStr">
        <is>
          <t>Financial Reporting</t>
        </is>
      </c>
      <c r="B761" t="inlineStr">
        <is>
          <t>C</t>
        </is>
      </c>
      <c r="C761" t="n">
        <v>3501</v>
      </c>
      <c r="D761" t="inlineStr">
        <is>
          <t>Franco Angeli</t>
        </is>
      </c>
    </row>
    <row r="762">
      <c r="A762" t="inlineStr">
        <is>
          <t>Financial Review (US)</t>
        </is>
      </c>
      <c r="B762" t="inlineStr">
        <is>
          <t>A</t>
        </is>
      </c>
      <c r="C762" t="n">
        <v>3502</v>
      </c>
      <c r="D762" t="inlineStr">
        <is>
          <t>Wiley-Blackwell Publishing</t>
        </is>
      </c>
    </row>
    <row r="763">
      <c r="A763" t="inlineStr">
        <is>
          <t>Financial Services Newsletter</t>
        </is>
      </c>
      <c r="B763" t="inlineStr">
        <is>
          <t>C</t>
        </is>
      </c>
      <c r="C763" t="n">
        <v>4801</v>
      </c>
      <c r="D763" t="inlineStr">
        <is>
          <t>LexisNexis</t>
        </is>
      </c>
    </row>
    <row r="764">
      <c r="A764" t="inlineStr">
        <is>
          <t>Financial Services Review</t>
        </is>
      </c>
      <c r="B764" t="inlineStr">
        <is>
          <t>B</t>
        </is>
      </c>
      <c r="C764" t="n">
        <v>3502</v>
      </c>
      <c r="D764" t="inlineStr">
        <is>
          <t>Academy of Financial Services - Elsevier</t>
        </is>
      </c>
    </row>
    <row r="765">
      <c r="A765" t="inlineStr">
        <is>
          <t>Financijska Teorija i Praksa</t>
        </is>
      </c>
      <c r="B765" t="inlineStr">
        <is>
          <t>C</t>
        </is>
      </c>
      <c r="C765" t="n">
        <v>3801</v>
      </c>
      <c r="D765" t="inlineStr">
        <is>
          <t>Institute of Public Finance</t>
        </is>
      </c>
    </row>
    <row r="766">
      <c r="A766" t="inlineStr">
        <is>
          <t>Finnish Economic Papers</t>
        </is>
      </c>
      <c r="B766" t="inlineStr">
        <is>
          <t>B</t>
        </is>
      </c>
      <c r="C766" t="n">
        <v>3801</v>
      </c>
      <c r="D766" t="inlineStr">
        <is>
          <t>Finnish Economic Association</t>
        </is>
      </c>
    </row>
    <row r="767">
      <c r="A767" t="inlineStr">
        <is>
          <t>First Monday</t>
        </is>
      </c>
      <c r="B767" t="inlineStr">
        <is>
          <t>C</t>
        </is>
      </c>
      <c r="C767" t="n">
        <v>4609</v>
      </c>
      <c r="D767" t="inlineStr">
        <is>
          <t>University of Illinois Press</t>
        </is>
      </c>
    </row>
    <row r="768">
      <c r="A768" t="inlineStr">
        <is>
          <t>Fiscal Studies</t>
        </is>
      </c>
      <c r="B768" t="inlineStr">
        <is>
          <t>B</t>
        </is>
      </c>
      <c r="C768" t="n">
        <v>3801</v>
      </c>
      <c r="D768" t="inlineStr">
        <is>
          <t>Wiley-Blackwell Publishing</t>
        </is>
      </c>
    </row>
    <row r="769">
      <c r="A769" t="inlineStr">
        <is>
          <t>Flexible Services and Manufacturing Journal</t>
        </is>
      </c>
      <c r="B769" t="inlineStr">
        <is>
          <t>C</t>
        </is>
      </c>
      <c r="C769" t="n">
        <v>3507</v>
      </c>
      <c r="D769" t="inlineStr">
        <is>
          <t>Springer International Publishing</t>
        </is>
      </c>
    </row>
    <row r="770">
      <c r="A770" t="inlineStr">
        <is>
          <t>Food Policy</t>
        </is>
      </c>
      <c r="B770" t="inlineStr">
        <is>
          <t>B</t>
        </is>
      </c>
      <c r="C770" t="n">
        <v>3801</v>
      </c>
      <c r="D770" t="inlineStr">
        <is>
          <t>Elsevier</t>
        </is>
      </c>
    </row>
    <row r="771">
      <c r="A771" t="inlineStr">
        <is>
          <t>Food Quality and Preference</t>
        </is>
      </c>
      <c r="B771" t="inlineStr">
        <is>
          <t>A</t>
        </is>
      </c>
      <c r="C771" t="n">
        <v>3506</v>
      </c>
      <c r="D771" t="inlineStr">
        <is>
          <t>Elsevier</t>
        </is>
      </c>
    </row>
    <row r="772">
      <c r="A772" t="inlineStr">
        <is>
          <t>Fordham Journal of Corporate &amp; Financial Law</t>
        </is>
      </c>
      <c r="B772" t="inlineStr">
        <is>
          <t>B</t>
        </is>
      </c>
      <c r="C772" t="n">
        <v>4801</v>
      </c>
      <c r="D772" t="inlineStr">
        <is>
          <t>Fordham Law School</t>
        </is>
      </c>
    </row>
    <row r="773">
      <c r="A773" t="inlineStr">
        <is>
          <t>Foreign Affairs</t>
        </is>
      </c>
      <c r="B773" t="inlineStr">
        <is>
          <t>C</t>
        </is>
      </c>
      <c r="C773" t="n">
        <v>3599</v>
      </c>
      <c r="D773" t="inlineStr">
        <is>
          <t>Council on Foreign Relations</t>
        </is>
      </c>
    </row>
    <row r="774">
      <c r="A774" t="inlineStr">
        <is>
          <t>Foreign Policy (Washington)</t>
        </is>
      </c>
      <c r="B774" t="inlineStr">
        <is>
          <t>C</t>
        </is>
      </c>
      <c r="C774" t="n">
        <v>3599</v>
      </c>
      <c r="D774" t="inlineStr">
        <is>
          <t>National Affairs, Inc.</t>
        </is>
      </c>
    </row>
    <row r="775">
      <c r="A775" t="inlineStr">
        <is>
          <t>Foreign Trade Review</t>
        </is>
      </c>
      <c r="B775" t="inlineStr">
        <is>
          <t>B</t>
        </is>
      </c>
      <c r="C775" t="n">
        <v>3801</v>
      </c>
      <c r="D775" t="inlineStr">
        <is>
          <t>Sage Journals</t>
        </is>
      </c>
    </row>
    <row r="776">
      <c r="A776" t="inlineStr">
        <is>
          <t>Foresight</t>
        </is>
      </c>
      <c r="B776" t="inlineStr">
        <is>
          <t>C</t>
        </is>
      </c>
      <c r="C776" t="n">
        <v>3599</v>
      </c>
      <c r="D776" t="inlineStr">
        <is>
          <t>Emerald</t>
        </is>
      </c>
    </row>
    <row r="777">
      <c r="A777" t="inlineStr">
        <is>
          <t>Forest Policy and Economics</t>
        </is>
      </c>
      <c r="B777" t="inlineStr">
        <is>
          <t>B</t>
        </is>
      </c>
      <c r="C777" t="n">
        <v>3801</v>
      </c>
      <c r="D777" t="inlineStr">
        <is>
          <t>Elsevier</t>
        </is>
      </c>
    </row>
    <row r="778">
      <c r="A778" t="inlineStr">
        <is>
          <t>Forum for Health Economics and Policy</t>
        </is>
      </c>
      <c r="B778" t="inlineStr">
        <is>
          <t>C</t>
        </is>
      </c>
      <c r="C778" t="n">
        <v>3899</v>
      </c>
      <c r="D778" t="inlineStr">
        <is>
          <t>De Gruyter</t>
        </is>
      </c>
    </row>
    <row r="779">
      <c r="A779" t="inlineStr">
        <is>
          <t>Forum for Social Economics</t>
        </is>
      </c>
      <c r="B779" t="inlineStr">
        <is>
          <t>C</t>
        </is>
      </c>
      <c r="C779" t="n">
        <v>3801</v>
      </c>
      <c r="D779" t="inlineStr">
        <is>
          <t>Taylor &amp; Francis Online</t>
        </is>
      </c>
    </row>
    <row r="780">
      <c r="A780" t="inlineStr">
        <is>
          <t>Forum of International Development Studies</t>
        </is>
      </c>
      <c r="B780" t="inlineStr">
        <is>
          <t>B</t>
        </is>
      </c>
      <c r="C780" t="n">
        <v>3899</v>
      </c>
      <c r="D780" t="inlineStr">
        <is>
          <t>Nagoya University</t>
        </is>
      </c>
    </row>
    <row r="781">
      <c r="A781" t="inlineStr">
        <is>
          <t>Foundations and Trends in Accounting</t>
        </is>
      </c>
      <c r="B781" t="inlineStr">
        <is>
          <t>A</t>
        </is>
      </c>
      <c r="C781" t="n">
        <v>3501</v>
      </c>
      <c r="D781" t="inlineStr">
        <is>
          <t>Now Publishers</t>
        </is>
      </c>
    </row>
    <row r="782">
      <c r="A782" t="inlineStr">
        <is>
          <t>Foundations and Trends in Econometrics</t>
        </is>
      </c>
      <c r="B782" t="inlineStr">
        <is>
          <t>C</t>
        </is>
      </c>
      <c r="C782" t="n">
        <v>3802</v>
      </c>
      <c r="D782" t="inlineStr">
        <is>
          <t>Now Publishers</t>
        </is>
      </c>
    </row>
    <row r="783">
      <c r="A783" t="inlineStr">
        <is>
          <t>Foundations and Trends in Finance</t>
        </is>
      </c>
      <c r="B783" t="inlineStr">
        <is>
          <t>B</t>
        </is>
      </c>
      <c r="C783" t="n">
        <v>3502</v>
      </c>
      <c r="D783" t="inlineStr">
        <is>
          <t>Now Publishers</t>
        </is>
      </c>
    </row>
    <row r="784">
      <c r="A784" t="inlineStr">
        <is>
          <t>Foundations and Trends in Microeconomics</t>
        </is>
      </c>
      <c r="B784" t="inlineStr">
        <is>
          <t>C</t>
        </is>
      </c>
      <c r="C784" t="n">
        <v>3801</v>
      </c>
      <c r="D784" t="inlineStr">
        <is>
          <t>Now Publishers</t>
        </is>
      </c>
    </row>
    <row r="785">
      <c r="A785" t="inlineStr">
        <is>
          <t>Frontiers in Finance and Economics</t>
        </is>
      </c>
      <c r="B785" t="inlineStr">
        <is>
          <t>C</t>
        </is>
      </c>
      <c r="C785" t="n">
        <v>3502</v>
      </c>
      <c r="D785" t="inlineStr">
        <is>
          <t>PHI</t>
        </is>
      </c>
    </row>
    <row r="786">
      <c r="A786" t="inlineStr">
        <is>
          <t>Frontiers of Economics in China</t>
        </is>
      </c>
      <c r="B786" t="inlineStr">
        <is>
          <t>C</t>
        </is>
      </c>
      <c r="C786" t="n">
        <v>3801</v>
      </c>
      <c r="D786" t="inlineStr">
        <is>
          <t>Higher Education Press</t>
        </is>
      </c>
    </row>
    <row r="787">
      <c r="A787" t="inlineStr">
        <is>
          <t>Futures</t>
        </is>
      </c>
      <c r="B787" t="inlineStr">
        <is>
          <t>B</t>
        </is>
      </c>
      <c r="C787" t="n">
        <v>3507</v>
      </c>
      <c r="D787" t="inlineStr">
        <is>
          <t>Elsevier</t>
        </is>
      </c>
    </row>
    <row r="788">
      <c r="A788" t="inlineStr">
        <is>
          <t>Fuzzy Economic Review</t>
        </is>
      </c>
      <c r="B788" t="inlineStr">
        <is>
          <t>C</t>
        </is>
      </c>
      <c r="C788" t="n">
        <v>3801</v>
      </c>
      <c r="D788" t="inlineStr">
        <is>
          <t>International Association for Fuzzy-Set Management and Economy</t>
        </is>
      </c>
    </row>
    <row r="789">
      <c r="A789" t="inlineStr">
        <is>
          <t>Gadjah Mada International Journal of Business</t>
        </is>
      </c>
      <c r="B789" t="inlineStr">
        <is>
          <t>C</t>
        </is>
      </c>
      <c r="C789" t="n">
        <v>3507</v>
      </c>
      <c r="D789" t="inlineStr">
        <is>
          <t>Master in Management Program, Faculty of Economics and Business, Universitas Gadjah Mada</t>
        </is>
      </c>
    </row>
    <row r="790">
      <c r="A790" t="inlineStr">
        <is>
          <t>Games</t>
        </is>
      </c>
      <c r="B790" t="inlineStr">
        <is>
          <t>B</t>
        </is>
      </c>
      <c r="C790" t="n">
        <v>3803</v>
      </c>
      <c r="D790" t="inlineStr">
        <is>
          <t>MDPI</t>
        </is>
      </c>
    </row>
    <row r="791">
      <c r="A791" t="inlineStr">
        <is>
          <t>Games and Economic Behavior</t>
        </is>
      </c>
      <c r="B791" t="inlineStr">
        <is>
          <t>A*</t>
        </is>
      </c>
      <c r="C791" t="n">
        <v>3803</v>
      </c>
      <c r="D791" t="inlineStr">
        <is>
          <t>Elsevier</t>
        </is>
      </c>
    </row>
    <row r="792">
      <c r="A792" t="inlineStr">
        <is>
          <t>Gender and Society</t>
        </is>
      </c>
      <c r="B792" t="inlineStr">
        <is>
          <t>A*</t>
        </is>
      </c>
      <c r="C792" t="n">
        <v>3507</v>
      </c>
      <c r="D792" t="inlineStr">
        <is>
          <t>Sage Publications</t>
        </is>
      </c>
    </row>
    <row r="793">
      <c r="A793" t="inlineStr">
        <is>
          <t>Gender in Management: an international journal</t>
        </is>
      </c>
      <c r="B793" t="inlineStr">
        <is>
          <t>B</t>
        </is>
      </c>
      <c r="C793" t="n">
        <v>3505</v>
      </c>
      <c r="D793" t="inlineStr">
        <is>
          <t>Emerald Group Publishing</t>
        </is>
      </c>
    </row>
    <row r="794">
      <c r="A794" t="inlineStr">
        <is>
          <t>Gender, Work and Organization</t>
        </is>
      </c>
      <c r="B794" t="inlineStr">
        <is>
          <t>A</t>
        </is>
      </c>
      <c r="C794" t="n">
        <v>3505</v>
      </c>
      <c r="D794" t="inlineStr">
        <is>
          <t>Wiley-Blackwell Publishing</t>
        </is>
      </c>
    </row>
    <row r="795">
      <c r="A795" t="inlineStr">
        <is>
          <t>German Economic Review</t>
        </is>
      </c>
      <c r="B795" t="inlineStr">
        <is>
          <t>B</t>
        </is>
      </c>
      <c r="C795" t="n">
        <v>3801</v>
      </c>
      <c r="D795" t="inlineStr">
        <is>
          <t>Wiley-Blackwell Publishing</t>
        </is>
      </c>
    </row>
    <row r="796">
      <c r="A796" t="inlineStr">
        <is>
          <t>German Journal of Agricultural Economics</t>
        </is>
      </c>
      <c r="B796" t="inlineStr">
        <is>
          <t>C</t>
        </is>
      </c>
      <c r="C796" t="n">
        <v>3899</v>
      </c>
      <c r="D796" t="inlineStr">
        <is>
          <t>dfv Mediengruppe</t>
        </is>
      </c>
    </row>
    <row r="797">
      <c r="A797" t="inlineStr">
        <is>
          <t>German Journal of Human Resource Management</t>
        </is>
      </c>
      <c r="B797" t="inlineStr">
        <is>
          <t>B</t>
        </is>
      </c>
      <c r="C797" t="n">
        <v>3505</v>
      </c>
      <c r="D797" t="inlineStr">
        <is>
          <t>Sage Publications</t>
        </is>
      </c>
    </row>
    <row r="798">
      <c r="A798" t="inlineStr">
        <is>
          <t>Global Business and Economics Review</t>
        </is>
      </c>
      <c r="B798" t="inlineStr">
        <is>
          <t>C</t>
        </is>
      </c>
      <c r="C798" t="n">
        <v>3801</v>
      </c>
      <c r="D798" t="inlineStr">
        <is>
          <t>Inderscience Enterprises Ltd.</t>
        </is>
      </c>
    </row>
    <row r="799">
      <c r="A799" t="inlineStr">
        <is>
          <t>Global Business and Organizational Excellence</t>
        </is>
      </c>
      <c r="B799" t="inlineStr">
        <is>
          <t>C</t>
        </is>
      </c>
      <c r="C799" t="n">
        <v>3507</v>
      </c>
      <c r="D799" t="inlineStr">
        <is>
          <t>Wiley-Blackwell Publishing</t>
        </is>
      </c>
    </row>
    <row r="800">
      <c r="A800" t="inlineStr">
        <is>
          <t>Global Business Review</t>
        </is>
      </c>
      <c r="B800" t="inlineStr">
        <is>
          <t>B</t>
        </is>
      </c>
      <c r="C800" t="n">
        <v>3507</v>
      </c>
      <c r="D800" t="inlineStr">
        <is>
          <t>Sage Publications</t>
        </is>
      </c>
    </row>
    <row r="801">
      <c r="A801" t="inlineStr">
        <is>
          <t>Global Economic Review</t>
        </is>
      </c>
      <c r="B801" t="inlineStr">
        <is>
          <t>C</t>
        </is>
      </c>
      <c r="C801" t="n">
        <v>3801</v>
      </c>
      <c r="D801" t="inlineStr">
        <is>
          <t>Taylor &amp; Francis Online</t>
        </is>
      </c>
    </row>
    <row r="802">
      <c r="A802" t="inlineStr">
        <is>
          <t>Global Economy Journal</t>
        </is>
      </c>
      <c r="B802" t="inlineStr">
        <is>
          <t>B</t>
        </is>
      </c>
      <c r="C802" t="n">
        <v>3801</v>
      </c>
      <c r="D802" t="inlineStr">
        <is>
          <t>De Gruyter</t>
        </is>
      </c>
    </row>
    <row r="803">
      <c r="A803" t="inlineStr">
        <is>
          <t>Global Environmental Change</t>
        </is>
      </c>
      <c r="B803" t="inlineStr">
        <is>
          <t>A*</t>
        </is>
      </c>
      <c r="C803" t="n">
        <v>3599</v>
      </c>
      <c r="D803" t="inlineStr">
        <is>
          <t>Elsevier</t>
        </is>
      </c>
    </row>
    <row r="804">
      <c r="A804" t="inlineStr">
        <is>
          <t>Global Environmental Politics</t>
        </is>
      </c>
      <c r="B804" t="inlineStr">
        <is>
          <t>B</t>
        </is>
      </c>
      <c r="C804" t="n">
        <v>3599</v>
      </c>
      <c r="D804" t="inlineStr">
        <is>
          <t>MIT Press</t>
        </is>
      </c>
    </row>
    <row r="805">
      <c r="A805" t="inlineStr">
        <is>
          <t>Global Finance Journal</t>
        </is>
      </c>
      <c r="B805" t="inlineStr">
        <is>
          <t>A</t>
        </is>
      </c>
      <c r="C805" t="n">
        <v>3502</v>
      </c>
      <c r="D805" t="inlineStr">
        <is>
          <t>Elsevier</t>
        </is>
      </c>
    </row>
    <row r="806">
      <c r="A806" t="inlineStr">
        <is>
          <t>Global Journal of Accounting and Finance</t>
        </is>
      </c>
      <c r="B806" t="inlineStr">
        <is>
          <t>C</t>
        </is>
      </c>
      <c r="C806" t="n">
        <v>3501</v>
      </c>
      <c r="D806" t="inlineStr">
        <is>
          <t>Institute for Global Business Research</t>
        </is>
      </c>
    </row>
    <row r="807">
      <c r="A807" t="inlineStr">
        <is>
          <t>Global Journal of Flexible Systems Management</t>
        </is>
      </c>
      <c r="B807" t="inlineStr">
        <is>
          <t>A</t>
        </is>
      </c>
      <c r="C807" t="n">
        <v>3507</v>
      </c>
      <c r="D807" t="inlineStr">
        <is>
          <t>Springer Nature</t>
        </is>
      </c>
    </row>
    <row r="808">
      <c r="A808" t="inlineStr">
        <is>
          <t>Global Knowledge, Memory and Communication</t>
        </is>
      </c>
      <c r="B808" t="inlineStr">
        <is>
          <t>B</t>
        </is>
      </c>
      <c r="C808" t="n">
        <v>4609</v>
      </c>
      <c r="D808" t="inlineStr">
        <is>
          <t>Emerald Group Publishing</t>
        </is>
      </c>
    </row>
    <row r="809">
      <c r="A809" t="inlineStr">
        <is>
          <t>Global Networks: A Journal of Transnational Affairs</t>
        </is>
      </c>
      <c r="B809" t="inlineStr">
        <is>
          <t>A</t>
        </is>
      </c>
      <c r="C809" t="n">
        <v>3599</v>
      </c>
      <c r="D809" t="inlineStr">
        <is>
          <t>Wiley-Blackwell Publishing</t>
        </is>
      </c>
    </row>
    <row r="810">
      <c r="A810" t="inlineStr">
        <is>
          <t>Global Social Policy</t>
        </is>
      </c>
      <c r="B810" t="inlineStr">
        <is>
          <t>C</t>
        </is>
      </c>
      <c r="C810" t="n">
        <v>3599</v>
      </c>
      <c r="D810" t="inlineStr">
        <is>
          <t>Sage Publications</t>
        </is>
      </c>
    </row>
    <row r="811">
      <c r="A811" t="inlineStr">
        <is>
          <t>Global Strategy Journal</t>
        </is>
      </c>
      <c r="B811" t="inlineStr">
        <is>
          <t>A</t>
        </is>
      </c>
      <c r="C811" t="n">
        <v>3507</v>
      </c>
      <c r="D811" t="inlineStr">
        <is>
          <t>Wiley-Blackwell Publishing</t>
        </is>
      </c>
    </row>
    <row r="812">
      <c r="A812" t="inlineStr">
        <is>
          <t>Gospodarka Narodowa</t>
        </is>
      </c>
      <c r="B812" t="inlineStr">
        <is>
          <t>C</t>
        </is>
      </c>
      <c r="C812" t="n">
        <v>3801</v>
      </c>
      <c r="D812" t="inlineStr">
        <is>
          <t>Instytut Gospodarki Narodowej, Warsaw</t>
        </is>
      </c>
    </row>
    <row r="813">
      <c r="A813" t="inlineStr">
        <is>
          <t>Government Information Quarterly</t>
        </is>
      </c>
      <c r="B813" t="inlineStr">
        <is>
          <t>A</t>
        </is>
      </c>
      <c r="C813" t="n">
        <v>4609</v>
      </c>
      <c r="D813" t="inlineStr">
        <is>
          <t>Elsevier</t>
        </is>
      </c>
    </row>
    <row r="814">
      <c r="A814" t="inlineStr">
        <is>
          <t>Griffith Law Review</t>
        </is>
      </c>
      <c r="B814" t="inlineStr">
        <is>
          <t>C</t>
        </is>
      </c>
      <c r="C814" t="n">
        <v>4801</v>
      </c>
      <c r="D814" t="inlineStr">
        <is>
          <t>Griffith University</t>
        </is>
      </c>
    </row>
    <row r="815">
      <c r="A815" t="inlineStr">
        <is>
          <t>Group &amp; Organization Management</t>
        </is>
      </c>
      <c r="B815" t="inlineStr">
        <is>
          <t>A</t>
        </is>
      </c>
      <c r="C815" t="n">
        <v>3507</v>
      </c>
      <c r="D815" t="inlineStr">
        <is>
          <t>Sage Publications</t>
        </is>
      </c>
    </row>
    <row r="816">
      <c r="A816" t="inlineStr">
        <is>
          <t>Group Decision and Negotiation</t>
        </is>
      </c>
      <c r="B816" t="inlineStr">
        <is>
          <t>A</t>
        </is>
      </c>
      <c r="C816" t="n">
        <v>4609</v>
      </c>
      <c r="D816" t="inlineStr">
        <is>
          <t>Springer International Publishing</t>
        </is>
      </c>
    </row>
    <row r="817">
      <c r="A817" t="inlineStr">
        <is>
          <t>Group Dynamics: theory, research and practice</t>
        </is>
      </c>
      <c r="B817" t="inlineStr">
        <is>
          <t>B</t>
        </is>
      </c>
      <c r="C817" t="n">
        <v>3599</v>
      </c>
      <c r="D817" t="inlineStr">
        <is>
          <t>American Psychological Association</t>
        </is>
      </c>
    </row>
    <row r="818">
      <c r="A818" t="inlineStr">
        <is>
          <t>Group Processes and Intergroup Relations</t>
        </is>
      </c>
      <c r="B818" t="inlineStr">
        <is>
          <t>B</t>
        </is>
      </c>
      <c r="C818" t="n">
        <v>3507</v>
      </c>
      <c r="D818" t="inlineStr">
        <is>
          <t>Sage Publications</t>
        </is>
      </c>
    </row>
    <row r="819">
      <c r="A819" t="inlineStr">
        <is>
          <t>Growth and Change</t>
        </is>
      </c>
      <c r="B819" t="inlineStr">
        <is>
          <t>B</t>
        </is>
      </c>
      <c r="C819" t="n">
        <v>3801</v>
      </c>
      <c r="D819" t="inlineStr">
        <is>
          <t>Wiley-Blackwell Publishing</t>
        </is>
      </c>
    </row>
    <row r="820">
      <c r="A820" t="inlineStr">
        <is>
          <t>Habitat International</t>
        </is>
      </c>
      <c r="B820" t="inlineStr">
        <is>
          <t>A</t>
        </is>
      </c>
      <c r="C820" t="n">
        <v>3504</v>
      </c>
      <c r="D820" t="inlineStr">
        <is>
          <t>Elsevier</t>
        </is>
      </c>
    </row>
    <row r="821">
      <c r="A821" t="inlineStr">
        <is>
          <t>Harvard Business Review</t>
        </is>
      </c>
      <c r="B821" t="inlineStr">
        <is>
          <t>A</t>
        </is>
      </c>
      <c r="C821" t="n">
        <v>3507</v>
      </c>
      <c r="D821" t="inlineStr">
        <is>
          <t>Harvard Business Publishing</t>
        </is>
      </c>
    </row>
    <row r="822">
      <c r="A822" t="inlineStr">
        <is>
          <t>Harvard Environmental Law Review</t>
        </is>
      </c>
      <c r="B822" t="inlineStr">
        <is>
          <t>A</t>
        </is>
      </c>
      <c r="C822" t="n">
        <v>4801</v>
      </c>
      <c r="D822" t="inlineStr">
        <is>
          <t>Harvard Environmental Law Review</t>
        </is>
      </c>
    </row>
    <row r="823">
      <c r="A823" t="inlineStr">
        <is>
          <t>Harvard International Law Journal</t>
        </is>
      </c>
      <c r="B823" t="inlineStr">
        <is>
          <t>A</t>
        </is>
      </c>
      <c r="C823" t="n">
        <v>4801</v>
      </c>
      <c r="D823" t="inlineStr">
        <is>
          <t>Harvard University Press</t>
        </is>
      </c>
    </row>
    <row r="824">
      <c r="A824" t="inlineStr">
        <is>
          <t>Harvard Journal of Law and Public Policy</t>
        </is>
      </c>
      <c r="B824" t="inlineStr">
        <is>
          <t>A</t>
        </is>
      </c>
      <c r="C824" t="n">
        <v>4801</v>
      </c>
      <c r="D824" t="inlineStr">
        <is>
          <t>Harvard Society for Law and Public Policy</t>
        </is>
      </c>
    </row>
    <row r="825">
      <c r="A825" t="inlineStr">
        <is>
          <t>Harvard Journal of Law and Technology</t>
        </is>
      </c>
      <c r="B825" t="inlineStr">
        <is>
          <t>A</t>
        </is>
      </c>
      <c r="C825" t="n">
        <v>4801</v>
      </c>
      <c r="D825" t="inlineStr">
        <is>
          <t>Harvard University Press</t>
        </is>
      </c>
    </row>
    <row r="826">
      <c r="A826" t="inlineStr">
        <is>
          <t>Harvard Law Review</t>
        </is>
      </c>
      <c r="B826" t="inlineStr">
        <is>
          <t>A*</t>
        </is>
      </c>
      <c r="C826" t="n">
        <v>4801</v>
      </c>
      <c r="D826" t="inlineStr">
        <is>
          <t>Harvard University Press</t>
        </is>
      </c>
    </row>
    <row r="827">
      <c r="A827" t="inlineStr">
        <is>
          <t>Hastings Business Law Journal</t>
        </is>
      </c>
      <c r="B827" t="inlineStr">
        <is>
          <t>B</t>
        </is>
      </c>
      <c r="C827" t="n">
        <v>4801</v>
      </c>
      <c r="D827" t="inlineStr">
        <is>
          <t>University of California Press</t>
        </is>
      </c>
    </row>
    <row r="828">
      <c r="A828" t="inlineStr">
        <is>
          <t>Health Care Management Review</t>
        </is>
      </c>
      <c r="B828" t="inlineStr">
        <is>
          <t>A</t>
        </is>
      </c>
      <c r="C828" t="n">
        <v>3507</v>
      </c>
      <c r="D828" t="inlineStr">
        <is>
          <t>Lippincott Williams &amp; Wilkins</t>
        </is>
      </c>
    </row>
    <row r="829">
      <c r="A829" t="inlineStr">
        <is>
          <t>Health Care Management Science</t>
        </is>
      </c>
      <c r="B829" t="inlineStr">
        <is>
          <t>B</t>
        </is>
      </c>
      <c r="C829" t="n">
        <v>3507</v>
      </c>
      <c r="D829" t="inlineStr">
        <is>
          <t>Springer International Publishing</t>
        </is>
      </c>
    </row>
    <row r="830">
      <c r="A830" t="inlineStr">
        <is>
          <t>Health Communication</t>
        </is>
      </c>
      <c r="B830" t="inlineStr">
        <is>
          <t>B</t>
        </is>
      </c>
      <c r="C830" t="n">
        <v>3599</v>
      </c>
      <c r="D830" t="inlineStr">
        <is>
          <t>Taylor &amp; Francis Online</t>
        </is>
      </c>
    </row>
    <row r="831">
      <c r="A831" t="inlineStr">
        <is>
          <t>Health Economics</t>
        </is>
      </c>
      <c r="B831" t="inlineStr">
        <is>
          <t>A*</t>
        </is>
      </c>
      <c r="C831" t="n">
        <v>3801</v>
      </c>
      <c r="D831" t="inlineStr">
        <is>
          <t>Wiley-Blackwell Publishing</t>
        </is>
      </c>
    </row>
    <row r="832">
      <c r="A832" t="inlineStr">
        <is>
          <t>Health Economics Review</t>
        </is>
      </c>
      <c r="B832" t="inlineStr">
        <is>
          <t>C</t>
        </is>
      </c>
      <c r="C832" t="n">
        <v>3801</v>
      </c>
      <c r="D832" t="inlineStr">
        <is>
          <t>Springer International Publishing</t>
        </is>
      </c>
    </row>
    <row r="833">
      <c r="A833" t="inlineStr">
        <is>
          <t>Health Economics, Policy and Law</t>
        </is>
      </c>
      <c r="B833" t="inlineStr">
        <is>
          <t>B</t>
        </is>
      </c>
      <c r="C833" t="n">
        <v>3801</v>
      </c>
      <c r="D833" t="inlineStr">
        <is>
          <t>Cambridge University Press</t>
        </is>
      </c>
    </row>
    <row r="834">
      <c r="A834" t="inlineStr">
        <is>
          <t>Health Informatics Journal</t>
        </is>
      </c>
      <c r="B834" t="inlineStr">
        <is>
          <t>C</t>
        </is>
      </c>
      <c r="C834" t="n">
        <v>4609</v>
      </c>
      <c r="D834" t="inlineStr">
        <is>
          <t>Sage Publications</t>
        </is>
      </c>
    </row>
    <row r="835">
      <c r="A835" t="inlineStr">
        <is>
          <t>Health Marketing Quarterly</t>
        </is>
      </c>
      <c r="B835" t="inlineStr">
        <is>
          <t>B</t>
        </is>
      </c>
      <c r="C835" t="n">
        <v>3506</v>
      </c>
      <c r="D835" t="inlineStr">
        <is>
          <t>Taylor &amp; Francis Online</t>
        </is>
      </c>
    </row>
    <row r="836">
      <c r="A836" t="inlineStr">
        <is>
          <t>Health Policy</t>
        </is>
      </c>
      <c r="B836" t="inlineStr">
        <is>
          <t>A</t>
        </is>
      </c>
      <c r="C836" t="n">
        <v>3801</v>
      </c>
      <c r="D836" t="inlineStr">
        <is>
          <t>Elsevier</t>
        </is>
      </c>
    </row>
    <row r="837">
      <c r="A837" t="inlineStr">
        <is>
          <t>Health Promotion International</t>
        </is>
      </c>
      <c r="B837" t="inlineStr">
        <is>
          <t>A</t>
        </is>
      </c>
      <c r="C837" t="n">
        <v>3506</v>
      </c>
      <c r="D837" t="inlineStr">
        <is>
          <t>Oxford University Press</t>
        </is>
      </c>
    </row>
    <row r="838">
      <c r="A838" t="inlineStr">
        <is>
          <t>Health Services Management Research</t>
        </is>
      </c>
      <c r="B838" t="inlineStr">
        <is>
          <t>C</t>
        </is>
      </c>
      <c r="C838" t="n">
        <v>3599</v>
      </c>
      <c r="D838" t="inlineStr">
        <is>
          <t>Sage Publications</t>
        </is>
      </c>
    </row>
    <row r="839">
      <c r="A839" t="inlineStr">
        <is>
          <t>Health Services Research</t>
        </is>
      </c>
      <c r="B839" t="inlineStr">
        <is>
          <t>A</t>
        </is>
      </c>
      <c r="C839" t="n">
        <v>3599</v>
      </c>
      <c r="D839" t="inlineStr">
        <is>
          <t>Wiley-Blackwell Publishing</t>
        </is>
      </c>
    </row>
    <row r="840">
      <c r="A840" t="inlineStr">
        <is>
          <t>Health Systems</t>
        </is>
      </c>
      <c r="B840" t="inlineStr">
        <is>
          <t>C</t>
        </is>
      </c>
      <c r="C840" t="n">
        <v>3509</v>
      </c>
      <c r="D840" t="inlineStr">
        <is>
          <t>Taylor &amp; Francis</t>
        </is>
      </c>
    </row>
    <row r="841">
      <c r="A841" t="inlineStr">
        <is>
          <t>Higher Education Quarterly</t>
        </is>
      </c>
      <c r="B841" t="inlineStr">
        <is>
          <t>C</t>
        </is>
      </c>
      <c r="C841" t="n">
        <v>3505</v>
      </c>
      <c r="D841" t="inlineStr">
        <is>
          <t>Wiley-Blackwell Publishing</t>
        </is>
      </c>
    </row>
    <row r="842">
      <c r="A842" t="inlineStr">
        <is>
          <t>Higher Education, Skills and Work-based Learning</t>
        </is>
      </c>
      <c r="B842" t="inlineStr">
        <is>
          <t>C</t>
        </is>
      </c>
      <c r="C842" t="n">
        <v>3505</v>
      </c>
      <c r="D842" t="inlineStr">
        <is>
          <t>Emerald Group Publishing</t>
        </is>
      </c>
    </row>
    <row r="843">
      <c r="A843" t="inlineStr">
        <is>
          <t>Historical Materialism</t>
        </is>
      </c>
      <c r="B843" t="inlineStr">
        <is>
          <t>C</t>
        </is>
      </c>
      <c r="C843" t="n">
        <v>3803</v>
      </c>
      <c r="D843" t="inlineStr">
        <is>
          <t>Brill</t>
        </is>
      </c>
    </row>
    <row r="844">
      <c r="A844" t="inlineStr">
        <is>
          <t>Historical Studies in Industrial Relations</t>
        </is>
      </c>
      <c r="B844" t="inlineStr">
        <is>
          <t>C</t>
        </is>
      </c>
      <c r="C844" t="n">
        <v>3505</v>
      </c>
      <c r="D844" t="inlineStr">
        <is>
          <t>Liverpool University Press</t>
        </is>
      </c>
    </row>
    <row r="845">
      <c r="A845" t="inlineStr">
        <is>
          <t>History of Economic Ideas</t>
        </is>
      </c>
      <c r="B845" t="inlineStr">
        <is>
          <t>B</t>
        </is>
      </c>
      <c r="C845" t="n">
        <v>3899</v>
      </c>
      <c r="D845" t="inlineStr">
        <is>
          <t>Fabrizio Serra Editore</t>
        </is>
      </c>
    </row>
    <row r="846">
      <c r="A846" t="inlineStr">
        <is>
          <t>History of Economic Thought and Policy</t>
        </is>
      </c>
      <c r="B846" t="inlineStr">
        <is>
          <t>C</t>
        </is>
      </c>
      <c r="C846" t="n">
        <v>3899</v>
      </c>
      <c r="D846" t="inlineStr">
        <is>
          <t>Franco Angeli Edizioni</t>
        </is>
      </c>
    </row>
    <row r="847">
      <c r="A847" t="inlineStr">
        <is>
          <t>History of Economics Review</t>
        </is>
      </c>
      <c r="B847" t="inlineStr">
        <is>
          <t>B</t>
        </is>
      </c>
      <c r="C847" t="n">
        <v>3803</v>
      </c>
      <c r="D847" t="inlineStr">
        <is>
          <t>Taylor &amp; Francis Online</t>
        </is>
      </c>
    </row>
    <row r="848">
      <c r="A848" t="inlineStr">
        <is>
          <t>History of Political Economy</t>
        </is>
      </c>
      <c r="B848" t="inlineStr">
        <is>
          <t>A</t>
        </is>
      </c>
      <c r="C848" t="n">
        <v>3803</v>
      </c>
      <c r="D848" t="inlineStr">
        <is>
          <t>Duke University Press</t>
        </is>
      </c>
    </row>
    <row r="849">
      <c r="A849" t="inlineStr">
        <is>
          <t>Hitotsubashi Journal of Economics</t>
        </is>
      </c>
      <c r="B849" t="inlineStr">
        <is>
          <t>B</t>
        </is>
      </c>
      <c r="C849" t="n">
        <v>3801</v>
      </c>
      <c r="D849" t="inlineStr">
        <is>
          <t>Sanseido Publishing Company Ltd</t>
        </is>
      </c>
    </row>
    <row r="850">
      <c r="A850" t="inlineStr">
        <is>
          <t>Homo Oeconomicus</t>
        </is>
      </c>
      <c r="B850" t="inlineStr">
        <is>
          <t>C</t>
        </is>
      </c>
      <c r="C850" t="n">
        <v>3801</v>
      </c>
      <c r="D850" t="inlineStr">
        <is>
          <t>Springer International Publishing</t>
        </is>
      </c>
    </row>
    <row r="851">
      <c r="A851" t="inlineStr">
        <is>
          <t>Hong Kong Law Journal</t>
        </is>
      </c>
      <c r="B851" t="inlineStr">
        <is>
          <t>A</t>
        </is>
      </c>
      <c r="C851" t="n">
        <v>4801</v>
      </c>
      <c r="D851" t="inlineStr">
        <is>
          <t>Thomson Reuters</t>
        </is>
      </c>
    </row>
    <row r="852">
      <c r="A852" t="inlineStr">
        <is>
          <t>Hospitality &amp; Society</t>
        </is>
      </c>
      <c r="B852" t="inlineStr">
        <is>
          <t>C</t>
        </is>
      </c>
      <c r="C852" t="n">
        <v>3504</v>
      </c>
      <c r="D852" t="inlineStr">
        <is>
          <t>Intellect Publishing</t>
        </is>
      </c>
    </row>
    <row r="853">
      <c r="A853" t="inlineStr">
        <is>
          <t>Housing Policy Debate</t>
        </is>
      </c>
      <c r="B853" t="inlineStr">
        <is>
          <t>B</t>
        </is>
      </c>
      <c r="C853" t="n">
        <v>3801</v>
      </c>
      <c r="D853" t="inlineStr">
        <is>
          <t>Taylor &amp; Francis Online</t>
        </is>
      </c>
    </row>
    <row r="854">
      <c r="A854" t="inlineStr">
        <is>
          <t>Housing Studies</t>
        </is>
      </c>
      <c r="B854" t="inlineStr">
        <is>
          <t>A</t>
        </is>
      </c>
      <c r="C854" t="n">
        <v>3504</v>
      </c>
      <c r="D854" t="inlineStr">
        <is>
          <t>Taylor &amp; Francis Online</t>
        </is>
      </c>
    </row>
    <row r="855">
      <c r="A855" t="inlineStr">
        <is>
          <t>Houston Business and Tax Law Journal</t>
        </is>
      </c>
      <c r="B855" t="inlineStr">
        <is>
          <t>C</t>
        </is>
      </c>
      <c r="C855" t="n">
        <v>4801</v>
      </c>
      <c r="D855" t="inlineStr">
        <is>
          <t>University of Houston Law Center</t>
        </is>
      </c>
    </row>
    <row r="856">
      <c r="A856" t="inlineStr">
        <is>
          <t>Human Performance</t>
        </is>
      </c>
      <c r="B856" t="inlineStr">
        <is>
          <t>A</t>
        </is>
      </c>
      <c r="C856" t="n">
        <v>3507</v>
      </c>
      <c r="D856" t="inlineStr">
        <is>
          <t>Taylor &amp; Francis Online</t>
        </is>
      </c>
    </row>
    <row r="857">
      <c r="A857" t="inlineStr">
        <is>
          <t>Human Relations</t>
        </is>
      </c>
      <c r="B857" t="inlineStr">
        <is>
          <t>A*</t>
        </is>
      </c>
      <c r="C857" t="n">
        <v>3507</v>
      </c>
      <c r="D857" t="inlineStr">
        <is>
          <t>Sage Publications</t>
        </is>
      </c>
    </row>
    <row r="858">
      <c r="A858" t="inlineStr">
        <is>
          <t>Human Resource Development International</t>
        </is>
      </c>
      <c r="B858" t="inlineStr">
        <is>
          <t>B</t>
        </is>
      </c>
      <c r="C858" t="n">
        <v>3505</v>
      </c>
      <c r="D858" t="inlineStr">
        <is>
          <t>Taylor &amp; Francis Online</t>
        </is>
      </c>
    </row>
    <row r="859">
      <c r="A859" t="inlineStr">
        <is>
          <t>Human Resource Development Quarterly</t>
        </is>
      </c>
      <c r="B859" t="inlineStr">
        <is>
          <t>A</t>
        </is>
      </c>
      <c r="C859" t="n">
        <v>3505</v>
      </c>
      <c r="D859" t="inlineStr">
        <is>
          <t>Wiley-Blackwell Publishing</t>
        </is>
      </c>
    </row>
    <row r="860">
      <c r="A860" t="inlineStr">
        <is>
          <t>Human Resource Development Review</t>
        </is>
      </c>
      <c r="B860" t="inlineStr">
        <is>
          <t>B</t>
        </is>
      </c>
      <c r="C860" t="n">
        <v>3505</v>
      </c>
      <c r="D860" t="inlineStr">
        <is>
          <t>Sage Publications</t>
        </is>
      </c>
    </row>
    <row r="861">
      <c r="A861" t="inlineStr">
        <is>
          <t>Human Resource Management (US)</t>
        </is>
      </c>
      <c r="B861" t="inlineStr">
        <is>
          <t>A*</t>
        </is>
      </c>
      <c r="C861" t="n">
        <v>3505</v>
      </c>
      <c r="D861" t="inlineStr">
        <is>
          <t>Wiley-Blackwell Publishing</t>
        </is>
      </c>
    </row>
    <row r="862">
      <c r="A862" t="inlineStr">
        <is>
          <t>Human Resource Management International Digest</t>
        </is>
      </c>
      <c r="B862" t="inlineStr">
        <is>
          <t>C</t>
        </is>
      </c>
      <c r="C862" t="n">
        <v>3505</v>
      </c>
      <c r="D862" t="inlineStr">
        <is>
          <t>Emerald Group Publishing</t>
        </is>
      </c>
    </row>
    <row r="863">
      <c r="A863" t="inlineStr">
        <is>
          <t>Human Resource Management Journal (UK)</t>
        </is>
      </c>
      <c r="B863" t="inlineStr">
        <is>
          <t>A*</t>
        </is>
      </c>
      <c r="C863" t="n">
        <v>3505</v>
      </c>
      <c r="D863" t="inlineStr">
        <is>
          <t>Wiley-Blackwell Publishing</t>
        </is>
      </c>
    </row>
    <row r="864">
      <c r="A864" t="inlineStr">
        <is>
          <t>Human Resource Management Review</t>
        </is>
      </c>
      <c r="B864" t="inlineStr">
        <is>
          <t>A</t>
        </is>
      </c>
      <c r="C864" t="n">
        <v>3505</v>
      </c>
      <c r="D864" t="inlineStr">
        <is>
          <t>Elsevier</t>
        </is>
      </c>
    </row>
    <row r="865">
      <c r="A865" t="inlineStr">
        <is>
          <t>Human Systems Management</t>
        </is>
      </c>
      <c r="B865" t="inlineStr">
        <is>
          <t>C</t>
        </is>
      </c>
      <c r="C865" t="n">
        <v>3505</v>
      </c>
      <c r="D865" t="inlineStr">
        <is>
          <t>Sage Publications</t>
        </is>
      </c>
    </row>
    <row r="866">
      <c r="A866" t="inlineStr">
        <is>
          <t>Human-Computer Interaction</t>
        </is>
      </c>
      <c r="B866" t="inlineStr">
        <is>
          <t>A</t>
        </is>
      </c>
      <c r="C866" t="n">
        <v>4609</v>
      </c>
      <c r="D866" t="inlineStr">
        <is>
          <t>Taylor &amp; Francis Online</t>
        </is>
      </c>
    </row>
    <row r="867">
      <c r="A867" t="inlineStr">
        <is>
          <t>IATSS Research</t>
        </is>
      </c>
      <c r="B867" t="inlineStr">
        <is>
          <t>C</t>
        </is>
      </c>
      <c r="C867" t="n">
        <v>3509</v>
      </c>
      <c r="D867" t="inlineStr">
        <is>
          <t>Elsevier</t>
        </is>
      </c>
    </row>
    <row r="868">
      <c r="A868" t="inlineStr">
        <is>
          <t>ICSID Review: foreign investment law journal</t>
        </is>
      </c>
      <c r="B868" t="inlineStr">
        <is>
          <t>C</t>
        </is>
      </c>
      <c r="C868" t="n">
        <v>4801</v>
      </c>
      <c r="D868" t="inlineStr">
        <is>
          <t>Oxford University Press</t>
        </is>
      </c>
    </row>
    <row r="869">
      <c r="A869" t="inlineStr">
        <is>
          <t>IEEE Transactions on Engineering Management</t>
        </is>
      </c>
      <c r="B869" t="inlineStr">
        <is>
          <t>A</t>
        </is>
      </c>
      <c r="C869" t="n">
        <v>3503</v>
      </c>
      <c r="D869" t="inlineStr">
        <is>
          <t>Institute of Electrical and Electronics Engineers</t>
        </is>
      </c>
    </row>
    <row r="870">
      <c r="A870" t="inlineStr">
        <is>
          <t>IEEE Transactions on Intelligent Transportation Systems</t>
        </is>
      </c>
      <c r="B870" t="inlineStr">
        <is>
          <t>A</t>
        </is>
      </c>
      <c r="C870" t="n">
        <v>3509</v>
      </c>
      <c r="D870" t="inlineStr">
        <is>
          <t>Institute of Electrical and Electronics Engineers</t>
        </is>
      </c>
    </row>
    <row r="871">
      <c r="A871" t="inlineStr">
        <is>
          <t>IEEE Transactions on Professional Communication</t>
        </is>
      </c>
      <c r="B871" t="inlineStr">
        <is>
          <t>B</t>
        </is>
      </c>
      <c r="C871" t="n">
        <v>4609</v>
      </c>
      <c r="D871" t="inlineStr">
        <is>
          <t>Institute of Electrical and Electronics Engineers</t>
        </is>
      </c>
    </row>
    <row r="872">
      <c r="A872" t="inlineStr">
        <is>
          <t>IIC International Review of Intellectual Property and Competition Law</t>
        </is>
      </c>
      <c r="B872" t="inlineStr">
        <is>
          <t>A</t>
        </is>
      </c>
      <c r="C872" t="n">
        <v>4801</v>
      </c>
      <c r="D872" t="inlineStr">
        <is>
          <t>Springer International Publishing</t>
        </is>
      </c>
    </row>
    <row r="873">
      <c r="A873" t="inlineStr">
        <is>
          <t>IIM Kozhikode Society and Management Review</t>
        </is>
      </c>
      <c r="B873" t="inlineStr">
        <is>
          <t>C</t>
        </is>
      </c>
      <c r="C873" t="n">
        <v>3507</v>
      </c>
      <c r="D873" t="inlineStr">
        <is>
          <t>Sage Publications</t>
        </is>
      </c>
    </row>
    <row r="874">
      <c r="A874" t="inlineStr">
        <is>
          <t>IIMB Management Review</t>
        </is>
      </c>
      <c r="B874" t="inlineStr">
        <is>
          <t>C</t>
        </is>
      </c>
      <c r="C874" t="n">
        <v>3507</v>
      </c>
      <c r="D874" t="inlineStr">
        <is>
          <t>Elsevier</t>
        </is>
      </c>
    </row>
    <row r="875">
      <c r="A875" t="inlineStr">
        <is>
          <t>IISE Transactions</t>
        </is>
      </c>
      <c r="B875" t="inlineStr">
        <is>
          <t>A</t>
        </is>
      </c>
      <c r="C875" t="n">
        <v>3503</v>
      </c>
      <c r="D875" t="inlineStr">
        <is>
          <t>Taylor &amp; Francis Online</t>
        </is>
      </c>
    </row>
    <row r="876">
      <c r="A876" t="inlineStr">
        <is>
          <t>ILR Review (Industrial and Labor Relations Review)</t>
        </is>
      </c>
      <c r="B876" t="inlineStr">
        <is>
          <t>A*</t>
        </is>
      </c>
      <c r="C876" t="n">
        <v>3505</v>
      </c>
      <c r="D876" t="inlineStr">
        <is>
          <t>Sage Publications</t>
        </is>
      </c>
    </row>
    <row r="877">
      <c r="A877" t="inlineStr">
        <is>
          <t>IMA Educational Case Journal</t>
        </is>
      </c>
      <c r="B877" t="inlineStr">
        <is>
          <t>C</t>
        </is>
      </c>
      <c r="C877" t="n">
        <v>3501</v>
      </c>
      <c r="D877" t="inlineStr">
        <is>
          <t>Institute of Management Accountants, Inc.</t>
        </is>
      </c>
    </row>
    <row r="878">
      <c r="A878" t="inlineStr">
        <is>
          <t>IMF Economic Review</t>
        </is>
      </c>
      <c r="B878" t="inlineStr">
        <is>
          <t>A</t>
        </is>
      </c>
      <c r="C878" t="n">
        <v>3801</v>
      </c>
      <c r="D878" t="inlineStr">
        <is>
          <t>Palgrave Macmillan</t>
        </is>
      </c>
    </row>
    <row r="879">
      <c r="A879" t="inlineStr">
        <is>
          <t>Impact Assessment and Project Appraisal</t>
        </is>
      </c>
      <c r="B879" t="inlineStr">
        <is>
          <t>C</t>
        </is>
      </c>
      <c r="C879" t="n">
        <v>3507</v>
      </c>
      <c r="D879" t="inlineStr">
        <is>
          <t>Taylor &amp; Francis Online</t>
        </is>
      </c>
    </row>
    <row r="880">
      <c r="A880" t="inlineStr">
        <is>
          <t>Indian Economic Journal</t>
        </is>
      </c>
      <c r="B880" t="inlineStr">
        <is>
          <t>B</t>
        </is>
      </c>
      <c r="C880" t="n">
        <v>3801</v>
      </c>
      <c r="D880" t="inlineStr">
        <is>
          <t>Sage Publications</t>
        </is>
      </c>
    </row>
    <row r="881">
      <c r="A881" t="inlineStr">
        <is>
          <t>Indian Economic Review</t>
        </is>
      </c>
      <c r="B881" t="inlineStr">
        <is>
          <t>C</t>
        </is>
      </c>
      <c r="C881" t="n">
        <v>3801</v>
      </c>
      <c r="D881" t="inlineStr">
        <is>
          <t>University of Delhi, School of Economics</t>
        </is>
      </c>
    </row>
    <row r="882">
      <c r="A882" t="inlineStr">
        <is>
          <t>Indian Growth and Development Review</t>
        </is>
      </c>
      <c r="B882" t="inlineStr">
        <is>
          <t>B</t>
        </is>
      </c>
      <c r="C882" t="n">
        <v>3801</v>
      </c>
      <c r="D882" t="inlineStr">
        <is>
          <t>Emerald Group Publishing</t>
        </is>
      </c>
    </row>
    <row r="883">
      <c r="A883" t="inlineStr">
        <is>
          <t>Indian Journal of Corporate Governance</t>
        </is>
      </c>
      <c r="B883" t="inlineStr">
        <is>
          <t>C</t>
        </is>
      </c>
      <c r="C883" t="n">
        <v>3501</v>
      </c>
      <c r="D883" t="inlineStr">
        <is>
          <t>Sage Publications</t>
        </is>
      </c>
    </row>
    <row r="884">
      <c r="A884" t="inlineStr">
        <is>
          <t>Indian Journal of Economics</t>
        </is>
      </c>
      <c r="B884" t="inlineStr">
        <is>
          <t>C</t>
        </is>
      </c>
      <c r="C884" t="n">
        <v>3801</v>
      </c>
      <c r="D884" t="inlineStr">
        <is>
          <t>Department of Economics, University of Allahabad</t>
        </is>
      </c>
    </row>
    <row r="885">
      <c r="A885" t="inlineStr">
        <is>
          <t>Indian Journal of Gender Studies</t>
        </is>
      </c>
      <c r="B885" t="inlineStr">
        <is>
          <t>C</t>
        </is>
      </c>
      <c r="C885" t="n">
        <v>3599</v>
      </c>
      <c r="D885" t="inlineStr">
        <is>
          <t>Sage Publications</t>
        </is>
      </c>
    </row>
    <row r="886">
      <c r="A886" t="inlineStr">
        <is>
          <t>Indian Journal of Industrial Relations</t>
        </is>
      </c>
      <c r="B886" t="inlineStr">
        <is>
          <t>C</t>
        </is>
      </c>
      <c r="C886" t="n">
        <v>3505</v>
      </c>
      <c r="D886" t="inlineStr">
        <is>
          <t>Shri Ram Centre for IR &amp; HR</t>
        </is>
      </c>
    </row>
    <row r="887">
      <c r="A887" t="inlineStr">
        <is>
          <t>Indian Journal of Labour Economics</t>
        </is>
      </c>
      <c r="B887" t="inlineStr">
        <is>
          <t>C</t>
        </is>
      </c>
      <c r="C887" t="n">
        <v>3801</v>
      </c>
      <c r="D887" t="inlineStr">
        <is>
          <t>Springer International Publishing</t>
        </is>
      </c>
    </row>
    <row r="888">
      <c r="A888" t="inlineStr">
        <is>
          <t>Indian Journal of Marketing</t>
        </is>
      </c>
      <c r="B888" t="inlineStr">
        <is>
          <t>C</t>
        </is>
      </c>
      <c r="C888" t="n">
        <v>3506</v>
      </c>
      <c r="D888" t="inlineStr">
        <is>
          <t>Associated Management Consultants Private Limited</t>
        </is>
      </c>
    </row>
    <row r="889">
      <c r="A889" t="inlineStr">
        <is>
          <t>Indonesian Journal of Sustainability Accounting and Management</t>
        </is>
      </c>
      <c r="B889" t="inlineStr">
        <is>
          <t>C</t>
        </is>
      </c>
      <c r="C889" t="n">
        <v>3501</v>
      </c>
      <c r="D889" t="inlineStr">
        <is>
          <t>Universitas Pasundan</t>
        </is>
      </c>
    </row>
    <row r="890">
      <c r="A890" t="inlineStr">
        <is>
          <t>Indonesian Management and Accounting Research</t>
        </is>
      </c>
      <c r="B890" t="inlineStr">
        <is>
          <t>C</t>
        </is>
      </c>
      <c r="C890" t="n">
        <v>3501</v>
      </c>
      <c r="D890" t="inlineStr">
        <is>
          <t>Trisakti University</t>
        </is>
      </c>
    </row>
    <row r="891">
      <c r="A891" t="inlineStr">
        <is>
          <t>Industrial and Corporate Change</t>
        </is>
      </c>
      <c r="B891" t="inlineStr">
        <is>
          <t>A</t>
        </is>
      </c>
      <c r="C891" t="n">
        <v>3507</v>
      </c>
      <c r="D891" t="inlineStr">
        <is>
          <t>Oxford University Press</t>
        </is>
      </c>
    </row>
    <row r="892">
      <c r="A892" t="inlineStr">
        <is>
          <t>Industrial and Organizational Psychology: perspectives on science &amp; practice</t>
        </is>
      </c>
      <c r="B892" t="inlineStr">
        <is>
          <t>B</t>
        </is>
      </c>
      <c r="C892" t="n">
        <v>3507</v>
      </c>
      <c r="D892" t="inlineStr">
        <is>
          <t>Cambridge University Press</t>
        </is>
      </c>
    </row>
    <row r="893">
      <c r="A893" t="inlineStr">
        <is>
          <t>Industrial Law Journal</t>
        </is>
      </c>
      <c r="B893" t="inlineStr">
        <is>
          <t>A</t>
        </is>
      </c>
      <c r="C893" t="n">
        <v>4801</v>
      </c>
      <c r="D893" t="inlineStr">
        <is>
          <t>Oxford University Press</t>
        </is>
      </c>
    </row>
    <row r="894">
      <c r="A894" t="inlineStr">
        <is>
          <t>Industrial Management &amp; Data Systems</t>
        </is>
      </c>
      <c r="B894" t="inlineStr">
        <is>
          <t>A</t>
        </is>
      </c>
      <c r="C894" t="n">
        <v>4609</v>
      </c>
      <c r="D894" t="inlineStr">
        <is>
          <t>Emerald Group Publishing</t>
        </is>
      </c>
    </row>
    <row r="895">
      <c r="A895" t="inlineStr">
        <is>
          <t>Industrial Marketing Management</t>
        </is>
      </c>
      <c r="B895" t="inlineStr">
        <is>
          <t>A*</t>
        </is>
      </c>
      <c r="C895" t="n">
        <v>3506</v>
      </c>
      <c r="D895" t="inlineStr">
        <is>
          <t>Elsevier</t>
        </is>
      </c>
    </row>
    <row r="896">
      <c r="A896" t="inlineStr">
        <is>
          <t>Industrial Relations Journal</t>
        </is>
      </c>
      <c r="B896" t="inlineStr">
        <is>
          <t>A</t>
        </is>
      </c>
      <c r="C896" t="n">
        <v>3505</v>
      </c>
      <c r="D896" t="inlineStr">
        <is>
          <t>Wiley-Blackwell Publishing</t>
        </is>
      </c>
    </row>
    <row r="897">
      <c r="A897" t="inlineStr">
        <is>
          <t>Industrial Relations: a journal of economy and society</t>
        </is>
      </c>
      <c r="B897" t="inlineStr">
        <is>
          <t>A*</t>
        </is>
      </c>
      <c r="C897" t="n">
        <v>3505</v>
      </c>
      <c r="D897" t="inlineStr">
        <is>
          <t>Wiley-Blackwell Publishing</t>
        </is>
      </c>
    </row>
    <row r="898">
      <c r="A898" t="inlineStr">
        <is>
          <t>Industry and Higher Education</t>
        </is>
      </c>
      <c r="B898" t="inlineStr">
        <is>
          <t>C</t>
        </is>
      </c>
      <c r="C898" t="n">
        <v>3507</v>
      </c>
      <c r="D898" t="inlineStr">
        <is>
          <t>Sage Publications</t>
        </is>
      </c>
    </row>
    <row r="899">
      <c r="A899" t="inlineStr">
        <is>
          <t>Industry and Innovation</t>
        </is>
      </c>
      <c r="B899" t="inlineStr">
        <is>
          <t>A</t>
        </is>
      </c>
      <c r="C899" t="n">
        <v>3507</v>
      </c>
      <c r="D899" t="inlineStr">
        <is>
          <t>Taylor &amp; Francis Online</t>
        </is>
      </c>
    </row>
    <row r="900">
      <c r="A900" t="inlineStr">
        <is>
          <t>INFOR (INFOR: Information Systems and Operational Research)</t>
        </is>
      </c>
      <c r="B900" t="inlineStr">
        <is>
          <t>B</t>
        </is>
      </c>
      <c r="C900" t="n">
        <v>3507</v>
      </c>
      <c r="D900" t="inlineStr">
        <is>
          <t>Taylor &amp; Francis Online</t>
        </is>
      </c>
    </row>
    <row r="901">
      <c r="A901" t="inlineStr">
        <is>
          <t>Informatics for Health and Social Care</t>
        </is>
      </c>
      <c r="B901" t="inlineStr">
        <is>
          <t>C</t>
        </is>
      </c>
      <c r="C901" t="n">
        <v>4609</v>
      </c>
      <c r="D901" t="inlineStr">
        <is>
          <t>Taylor &amp; Francis Online</t>
        </is>
      </c>
    </row>
    <row r="902">
      <c r="A902" t="inlineStr">
        <is>
          <t>Information &amp; Management</t>
        </is>
      </c>
      <c r="B902" t="inlineStr">
        <is>
          <t>A*</t>
        </is>
      </c>
      <c r="C902" t="n">
        <v>4609</v>
      </c>
      <c r="D902" t="inlineStr">
        <is>
          <t>Elsevier</t>
        </is>
      </c>
    </row>
    <row r="903">
      <c r="A903" t="inlineStr">
        <is>
          <t>Information and Communications Technology Law</t>
        </is>
      </c>
      <c r="B903" t="inlineStr">
        <is>
          <t>B</t>
        </is>
      </c>
      <c r="C903" t="n">
        <v>4609</v>
      </c>
      <c r="D903" t="inlineStr">
        <is>
          <t>Taylor &amp; Francis Online</t>
        </is>
      </c>
    </row>
    <row r="904">
      <c r="A904" t="inlineStr">
        <is>
          <t>Information and Computation</t>
        </is>
      </c>
      <c r="B904" t="inlineStr">
        <is>
          <t>B</t>
        </is>
      </c>
      <c r="C904" t="n">
        <v>4609</v>
      </c>
      <c r="D904" t="inlineStr">
        <is>
          <t>Elsevier</t>
        </is>
      </c>
    </row>
    <row r="905">
      <c r="A905" t="inlineStr">
        <is>
          <t>Information and Computer Security</t>
        </is>
      </c>
      <c r="B905" t="inlineStr">
        <is>
          <t>B</t>
        </is>
      </c>
      <c r="C905" t="n">
        <v>4609</v>
      </c>
      <c r="D905" t="inlineStr">
        <is>
          <t>Emerald Group Publishing</t>
        </is>
      </c>
    </row>
    <row r="906">
      <c r="A906" t="inlineStr">
        <is>
          <t>Information and Organization</t>
        </is>
      </c>
      <c r="B906" t="inlineStr">
        <is>
          <t>A*</t>
        </is>
      </c>
      <c r="C906" t="n">
        <v>4609</v>
      </c>
      <c r="D906" t="inlineStr">
        <is>
          <t>Elsevier</t>
        </is>
      </c>
    </row>
    <row r="907">
      <c r="A907" t="inlineStr">
        <is>
          <t>Information Discovery and Delivery</t>
        </is>
      </c>
      <c r="B907" t="inlineStr">
        <is>
          <t>C</t>
        </is>
      </c>
      <c r="C907" t="n">
        <v>4609</v>
      </c>
      <c r="D907" t="inlineStr">
        <is>
          <t>Emerald Group Publishing</t>
        </is>
      </c>
    </row>
    <row r="908">
      <c r="A908" t="inlineStr">
        <is>
          <t>Information Economics and Policy</t>
        </is>
      </c>
      <c r="B908" t="inlineStr">
        <is>
          <t>A</t>
        </is>
      </c>
      <c r="C908" t="n">
        <v>3801</v>
      </c>
      <c r="D908" t="inlineStr">
        <is>
          <t>Elsevier</t>
        </is>
      </c>
    </row>
    <row r="909">
      <c r="A909" t="inlineStr">
        <is>
          <t>Information Polity</t>
        </is>
      </c>
      <c r="B909" t="inlineStr">
        <is>
          <t>B</t>
        </is>
      </c>
      <c r="C909" t="n">
        <v>4609</v>
      </c>
      <c r="D909" t="inlineStr">
        <is>
          <t>Sage Publications</t>
        </is>
      </c>
    </row>
    <row r="910">
      <c r="A910" t="inlineStr">
        <is>
          <t>Information Resources Management Journal</t>
        </is>
      </c>
      <c r="B910" t="inlineStr">
        <is>
          <t>C</t>
        </is>
      </c>
      <c r="C910" t="n">
        <v>4609</v>
      </c>
      <c r="D910" t="inlineStr">
        <is>
          <t>IGI Global</t>
        </is>
      </c>
    </row>
    <row r="911">
      <c r="A911" t="inlineStr">
        <is>
          <t>Information Systems and e-Business Management</t>
        </is>
      </c>
      <c r="B911" t="inlineStr">
        <is>
          <t>B</t>
        </is>
      </c>
      <c r="C911" t="n">
        <v>4609</v>
      </c>
      <c r="D911" t="inlineStr">
        <is>
          <t>Springer International Publishing</t>
        </is>
      </c>
    </row>
    <row r="912">
      <c r="A912" t="inlineStr">
        <is>
          <t>Information Systems Frontiers</t>
        </is>
      </c>
      <c r="B912" t="inlineStr">
        <is>
          <t>A</t>
        </is>
      </c>
      <c r="C912" t="n">
        <v>4609</v>
      </c>
      <c r="D912" t="inlineStr">
        <is>
          <t>Springer International Publishing</t>
        </is>
      </c>
    </row>
    <row r="913">
      <c r="A913" t="inlineStr">
        <is>
          <t>Information Systems Journal</t>
        </is>
      </c>
      <c r="B913" t="inlineStr">
        <is>
          <t>A*</t>
        </is>
      </c>
      <c r="C913" t="n">
        <v>4609</v>
      </c>
      <c r="D913" t="inlineStr">
        <is>
          <t>Wiley-Blackwell Publishing</t>
        </is>
      </c>
    </row>
    <row r="914">
      <c r="A914" t="inlineStr">
        <is>
          <t>Information Systems Management</t>
        </is>
      </c>
      <c r="B914" t="inlineStr">
        <is>
          <t>A</t>
        </is>
      </c>
      <c r="C914" t="n">
        <v>4609</v>
      </c>
      <c r="D914" t="inlineStr">
        <is>
          <t>Taylor &amp; Francis Online</t>
        </is>
      </c>
    </row>
    <row r="915">
      <c r="A915" t="inlineStr">
        <is>
          <t>Information Systems Research</t>
        </is>
      </c>
      <c r="B915" t="inlineStr">
        <is>
          <t>A*</t>
        </is>
      </c>
      <c r="C915" t="n">
        <v>4609</v>
      </c>
      <c r="D915" t="inlineStr">
        <is>
          <t>The Institute for Operations Research and the Management Sciences (INFORMS)</t>
        </is>
      </c>
    </row>
    <row r="916">
      <c r="A916" t="inlineStr">
        <is>
          <t>Information Technology &amp; People</t>
        </is>
      </c>
      <c r="B916" t="inlineStr">
        <is>
          <t>A</t>
        </is>
      </c>
      <c r="C916" t="n">
        <v>4609</v>
      </c>
      <c r="D916" t="inlineStr">
        <is>
          <t>Emerald Group Publishing</t>
        </is>
      </c>
    </row>
    <row r="917">
      <c r="A917" t="inlineStr">
        <is>
          <t>Information Technology &amp; Tourism</t>
        </is>
      </c>
      <c r="B917" t="inlineStr">
        <is>
          <t>A</t>
        </is>
      </c>
      <c r="C917" t="n">
        <v>3508</v>
      </c>
      <c r="D917" t="inlineStr">
        <is>
          <t>Springer International Publishing</t>
        </is>
      </c>
    </row>
    <row r="918">
      <c r="A918" t="inlineStr">
        <is>
          <t>Information Technology and Management</t>
        </is>
      </c>
      <c r="B918" t="inlineStr">
        <is>
          <t>B</t>
        </is>
      </c>
      <c r="C918" t="n">
        <v>4609</v>
      </c>
      <c r="D918" t="inlineStr">
        <is>
          <t>Springer International Publishing</t>
        </is>
      </c>
    </row>
    <row r="919">
      <c r="A919" t="inlineStr">
        <is>
          <t>Information Technology for Development</t>
        </is>
      </c>
      <c r="B919" t="inlineStr">
        <is>
          <t>A</t>
        </is>
      </c>
      <c r="C919" t="n">
        <v>4609</v>
      </c>
      <c r="D919" t="inlineStr">
        <is>
          <t>Association for Information Systems (AIS)</t>
        </is>
      </c>
    </row>
    <row r="920">
      <c r="A920" t="inlineStr">
        <is>
          <t>Information, Communication &amp; Society</t>
        </is>
      </c>
      <c r="B920" t="inlineStr">
        <is>
          <t>A</t>
        </is>
      </c>
      <c r="C920" t="n">
        <v>4609</v>
      </c>
      <c r="D920" t="inlineStr">
        <is>
          <t>Taylor &amp; Francis Online</t>
        </is>
      </c>
    </row>
    <row r="921">
      <c r="A921" t="inlineStr">
        <is>
          <t>INFORMS Journal on Applied Analytics</t>
        </is>
      </c>
      <c r="B921" t="inlineStr">
        <is>
          <t>B</t>
        </is>
      </c>
      <c r="C921" t="n">
        <v>4609</v>
      </c>
      <c r="D921" t="inlineStr">
        <is>
          <t>The Institute for Operations Research and the Management Sciences (INFORMS)</t>
        </is>
      </c>
    </row>
    <row r="922">
      <c r="A922" t="inlineStr">
        <is>
          <t>INFORMS Journal on Computing</t>
        </is>
      </c>
      <c r="B922" t="inlineStr">
        <is>
          <t>A</t>
        </is>
      </c>
      <c r="C922" t="n">
        <v>3507</v>
      </c>
      <c r="D922" t="inlineStr">
        <is>
          <t>The Institute for Operations Research and the Management Sciences (INFORMS)</t>
        </is>
      </c>
    </row>
    <row r="923">
      <c r="A923" t="inlineStr">
        <is>
          <t>INFORMS Transactions on Education</t>
        </is>
      </c>
      <c r="B923" t="inlineStr">
        <is>
          <t>C</t>
        </is>
      </c>
      <c r="C923" t="n">
        <v>3507</v>
      </c>
      <c r="D923" t="inlineStr">
        <is>
          <t>Institute for Operations Research and the Management Sciences</t>
        </is>
      </c>
    </row>
    <row r="924">
      <c r="A924" t="inlineStr">
        <is>
          <t>Innovation and Green Development</t>
        </is>
      </c>
      <c r="B924" t="inlineStr">
        <is>
          <t>B</t>
        </is>
      </c>
      <c r="C924" t="n">
        <v>3507</v>
      </c>
      <c r="D924" t="inlineStr">
        <is>
          <t>Elsevier Ltd</t>
        </is>
      </c>
    </row>
    <row r="925">
      <c r="A925" t="inlineStr">
        <is>
          <t>Innovation Policy and the Economy</t>
        </is>
      </c>
      <c r="B925" t="inlineStr">
        <is>
          <t>B</t>
        </is>
      </c>
      <c r="C925" t="n">
        <v>3801</v>
      </c>
      <c r="D925" t="inlineStr">
        <is>
          <t>The University of Chicago Press</t>
        </is>
      </c>
    </row>
    <row r="926">
      <c r="A926" t="inlineStr">
        <is>
          <t>Innovation: Organization &amp; Management</t>
        </is>
      </c>
      <c r="B926" t="inlineStr">
        <is>
          <t>B</t>
        </is>
      </c>
      <c r="C926" t="n">
        <v>3507</v>
      </c>
      <c r="D926" t="inlineStr">
        <is>
          <t>Taylor &amp; Francis Online</t>
        </is>
      </c>
    </row>
    <row r="927">
      <c r="A927" t="inlineStr">
        <is>
          <t>Innovation: The European Journal of Social Sciences Research</t>
        </is>
      </c>
      <c r="B927" t="inlineStr">
        <is>
          <t>B</t>
        </is>
      </c>
      <c r="C927" t="n">
        <v>3599</v>
      </c>
      <c r="D927" t="inlineStr">
        <is>
          <t>Taylor &amp; Francis Online</t>
        </is>
      </c>
    </row>
    <row r="928">
      <c r="A928" t="inlineStr">
        <is>
          <t>Insolvency Law Bulletin</t>
        </is>
      </c>
      <c r="B928" t="inlineStr">
        <is>
          <t>C</t>
        </is>
      </c>
      <c r="C928" t="n">
        <v>4801</v>
      </c>
      <c r="D928" t="inlineStr">
        <is>
          <t>LexisNexis</t>
        </is>
      </c>
    </row>
    <row r="929">
      <c r="A929" t="inlineStr">
        <is>
          <t>Insolvency Law Journal</t>
        </is>
      </c>
      <c r="B929" t="inlineStr">
        <is>
          <t>A</t>
        </is>
      </c>
      <c r="C929" t="n">
        <v>4801</v>
      </c>
      <c r="D929" t="inlineStr">
        <is>
          <t>Thomson Reuters</t>
        </is>
      </c>
    </row>
    <row r="930">
      <c r="A930" t="inlineStr">
        <is>
          <t>Insurance and Reinsurance Law Briefing</t>
        </is>
      </c>
      <c r="B930" t="inlineStr">
        <is>
          <t>C</t>
        </is>
      </c>
      <c r="C930" t="n">
        <v>4801</v>
      </c>
      <c r="D930" t="inlineStr">
        <is>
          <t>Sweet &amp; Maxwell</t>
        </is>
      </c>
    </row>
    <row r="931">
      <c r="A931" t="inlineStr">
        <is>
          <t>Insurance Law Journal</t>
        </is>
      </c>
      <c r="B931" t="inlineStr">
        <is>
          <t>A</t>
        </is>
      </c>
      <c r="C931" t="n">
        <v>4801</v>
      </c>
      <c r="D931" t="inlineStr">
        <is>
          <t>LexisNexis</t>
        </is>
      </c>
    </row>
    <row r="932">
      <c r="A932" t="inlineStr">
        <is>
          <t>Insurance: Mathematics &amp; Economics</t>
        </is>
      </c>
      <c r="B932" t="inlineStr">
        <is>
          <t>A*</t>
        </is>
      </c>
      <c r="C932" t="n">
        <v>3502</v>
      </c>
      <c r="D932" t="inlineStr">
        <is>
          <t>Elsevier</t>
        </is>
      </c>
    </row>
    <row r="933">
      <c r="A933" t="inlineStr">
        <is>
          <t>Intellectual Property and Technology Law Journal</t>
        </is>
      </c>
      <c r="B933" t="inlineStr">
        <is>
          <t>C</t>
        </is>
      </c>
      <c r="C933" t="n">
        <v>4801</v>
      </c>
      <c r="D933" t="inlineStr">
        <is>
          <t>University of San Francisco</t>
        </is>
      </c>
    </row>
    <row r="934">
      <c r="A934" t="inlineStr">
        <is>
          <t>Intellectual Property Journal</t>
        </is>
      </c>
      <c r="B934" t="inlineStr">
        <is>
          <t>A</t>
        </is>
      </c>
      <c r="C934" t="n">
        <v>4801</v>
      </c>
      <c r="D934" t="inlineStr">
        <is>
          <t>HAB Press Limited</t>
        </is>
      </c>
    </row>
    <row r="935">
      <c r="A935" t="inlineStr">
        <is>
          <t>Intellectual Property Quarterly</t>
        </is>
      </c>
      <c r="B935" t="inlineStr">
        <is>
          <t>C</t>
        </is>
      </c>
      <c r="C935" t="n">
        <v>4801</v>
      </c>
      <c r="D935" t="inlineStr">
        <is>
          <t>Sweet &amp; Maxwell</t>
        </is>
      </c>
    </row>
    <row r="936">
      <c r="A936" t="inlineStr">
        <is>
          <t>Intelligent Systems in Accounting, Finance and Management: An International Journal</t>
        </is>
      </c>
      <c r="B936" t="inlineStr">
        <is>
          <t>B</t>
        </is>
      </c>
      <c r="C936" t="n">
        <v>3501</v>
      </c>
      <c r="D936" t="inlineStr">
        <is>
          <t>Wiley-Blackwell Publishing</t>
        </is>
      </c>
    </row>
    <row r="937">
      <c r="A937" t="inlineStr">
        <is>
          <t>Interacting with Computers</t>
        </is>
      </c>
      <c r="B937" t="inlineStr">
        <is>
          <t>B</t>
        </is>
      </c>
      <c r="C937" t="n">
        <v>4609</v>
      </c>
      <c r="D937" t="inlineStr">
        <is>
          <t>Oxford University Press</t>
        </is>
      </c>
    </row>
    <row r="938">
      <c r="A938" t="inlineStr">
        <is>
          <t>Interdisciplinary Environmental Review</t>
        </is>
      </c>
      <c r="B938" t="inlineStr">
        <is>
          <t>C</t>
        </is>
      </c>
      <c r="C938" t="n">
        <v>3599</v>
      </c>
      <c r="D938" t="inlineStr">
        <is>
          <t>Inderscience Enterprises Ltd.</t>
        </is>
      </c>
    </row>
    <row r="939">
      <c r="A939" t="inlineStr">
        <is>
          <t>Interdisciplinary Journal of Management Studies</t>
        </is>
      </c>
      <c r="B939" t="inlineStr">
        <is>
          <t>C</t>
        </is>
      </c>
      <c r="C939" t="n">
        <v>3507</v>
      </c>
      <c r="D939" t="inlineStr">
        <is>
          <t>University of Tehran Press</t>
        </is>
      </c>
    </row>
    <row r="940">
      <c r="A940" t="inlineStr">
        <is>
          <t>Intereconomics: review of European economic policy</t>
        </is>
      </c>
      <c r="B940" t="inlineStr">
        <is>
          <t>C</t>
        </is>
      </c>
      <c r="C940" t="n">
        <v>3801</v>
      </c>
      <c r="D940" t="inlineStr">
        <is>
          <t>Springer International Publishing</t>
        </is>
      </c>
    </row>
    <row r="941">
      <c r="A941" t="inlineStr">
        <is>
          <t>International &amp; Comparative Law Quarterly</t>
        </is>
      </c>
      <c r="B941" t="inlineStr">
        <is>
          <t>A*</t>
        </is>
      </c>
      <c r="C941" t="n">
        <v>4801</v>
      </c>
      <c r="D941" t="inlineStr">
        <is>
          <t>Cambridge University Press</t>
        </is>
      </c>
    </row>
    <row r="942">
      <c r="A942" t="inlineStr">
        <is>
          <t>International Advances in Economic Research</t>
        </is>
      </c>
      <c r="B942" t="inlineStr">
        <is>
          <t>C</t>
        </is>
      </c>
      <c r="C942" t="n">
        <v>3801</v>
      </c>
      <c r="D942" t="inlineStr">
        <is>
          <t>Springer International Publishing</t>
        </is>
      </c>
    </row>
    <row r="943">
      <c r="A943" t="inlineStr">
        <is>
          <t>International Affairs</t>
        </is>
      </c>
      <c r="B943" t="inlineStr">
        <is>
          <t>A</t>
        </is>
      </c>
      <c r="C943" t="n">
        <v>3599</v>
      </c>
      <c r="D943" t="inlineStr">
        <is>
          <t>Oxford University Press</t>
        </is>
      </c>
    </row>
    <row r="944">
      <c r="A944" t="inlineStr">
        <is>
          <t>International Business Lawyer</t>
        </is>
      </c>
      <c r="B944" t="inlineStr">
        <is>
          <t>C</t>
        </is>
      </c>
      <c r="C944" t="n">
        <v>4801</v>
      </c>
      <c r="D944" t="inlineStr">
        <is>
          <t>Section on Business Law of the International Bar Association</t>
        </is>
      </c>
    </row>
    <row r="945">
      <c r="A945" t="inlineStr">
        <is>
          <t>International Business Review</t>
        </is>
      </c>
      <c r="B945" t="inlineStr">
        <is>
          <t>A</t>
        </is>
      </c>
      <c r="C945" t="n">
        <v>3507</v>
      </c>
      <c r="D945" t="inlineStr">
        <is>
          <t>Elsevier</t>
        </is>
      </c>
    </row>
    <row r="946">
      <c r="A946" t="inlineStr">
        <is>
          <t>International Company and Commercial Law Review</t>
        </is>
      </c>
      <c r="B946" t="inlineStr">
        <is>
          <t>B</t>
        </is>
      </c>
      <c r="C946" t="n">
        <v>4801</v>
      </c>
      <c r="D946" t="inlineStr">
        <is>
          <t>Sweet &amp; Maxwell</t>
        </is>
      </c>
    </row>
    <row r="947">
      <c r="A947" t="inlineStr">
        <is>
          <t>International Data Privacy Law</t>
        </is>
      </c>
      <c r="B947" t="inlineStr">
        <is>
          <t>C</t>
        </is>
      </c>
      <c r="C947" t="n">
        <v>4801</v>
      </c>
      <c r="D947" t="inlineStr">
        <is>
          <t>Oxford University Press</t>
        </is>
      </c>
    </row>
    <row r="948">
      <c r="A948" t="inlineStr">
        <is>
          <t>International Development Planning Review</t>
        </is>
      </c>
      <c r="B948" t="inlineStr">
        <is>
          <t>B</t>
        </is>
      </c>
      <c r="C948" t="n">
        <v>3801</v>
      </c>
      <c r="D948" t="inlineStr">
        <is>
          <t>Liverpool University Press</t>
        </is>
      </c>
    </row>
    <row r="949">
      <c r="A949" t="inlineStr">
        <is>
          <t>International Economic Journal</t>
        </is>
      </c>
      <c r="B949" t="inlineStr">
        <is>
          <t>C</t>
        </is>
      </c>
      <c r="C949" t="n">
        <v>3801</v>
      </c>
      <c r="D949" t="inlineStr">
        <is>
          <t>Taylor &amp; Francis Online</t>
        </is>
      </c>
    </row>
    <row r="950">
      <c r="A950" t="inlineStr">
        <is>
          <t>International Economic Review</t>
        </is>
      </c>
      <c r="B950" t="inlineStr">
        <is>
          <t>A*</t>
        </is>
      </c>
      <c r="C950" t="n">
        <v>3801</v>
      </c>
      <c r="D950" t="inlineStr">
        <is>
          <t>Wiley-Blackwell Publishing</t>
        </is>
      </c>
    </row>
    <row r="951">
      <c r="A951" t="inlineStr">
        <is>
          <t>International Economics and Economic Policy</t>
        </is>
      </c>
      <c r="B951" t="inlineStr">
        <is>
          <t>B</t>
        </is>
      </c>
      <c r="C951" t="n">
        <v>3801</v>
      </c>
      <c r="D951" t="inlineStr">
        <is>
          <t>Springer International Publishing</t>
        </is>
      </c>
    </row>
    <row r="952">
      <c r="A952" t="inlineStr">
        <is>
          <t>International Entrepreneurship and Management Journal</t>
        </is>
      </c>
      <c r="B952" t="inlineStr">
        <is>
          <t>B</t>
        </is>
      </c>
      <c r="C952" t="n">
        <v>3507</v>
      </c>
      <c r="D952" t="inlineStr">
        <is>
          <t>Springer International Publishing</t>
        </is>
      </c>
    </row>
    <row r="953">
      <c r="A953" t="inlineStr">
        <is>
          <t>International Environmental Agreements: Politics, Law and Economics</t>
        </is>
      </c>
      <c r="B953" t="inlineStr">
        <is>
          <t>A</t>
        </is>
      </c>
      <c r="C953" t="n">
        <v>3801</v>
      </c>
      <c r="D953" t="inlineStr">
        <is>
          <t>Springer International Publishing</t>
        </is>
      </c>
    </row>
    <row r="954">
      <c r="A954" t="inlineStr">
        <is>
          <t>International Finance</t>
        </is>
      </c>
      <c r="B954" t="inlineStr">
        <is>
          <t>B</t>
        </is>
      </c>
      <c r="C954" t="n">
        <v>3502</v>
      </c>
      <c r="D954" t="inlineStr">
        <is>
          <t>Wiley-Blackwell Publishing</t>
        </is>
      </c>
    </row>
    <row r="955">
      <c r="A955" t="inlineStr">
        <is>
          <t>International Gambling Studies</t>
        </is>
      </c>
      <c r="B955" t="inlineStr">
        <is>
          <t>B</t>
        </is>
      </c>
      <c r="C955" t="n">
        <v>3504</v>
      </c>
      <c r="D955" t="inlineStr">
        <is>
          <t>Taylor &amp; Francis Online</t>
        </is>
      </c>
    </row>
    <row r="956">
      <c r="A956" t="inlineStr">
        <is>
          <t>International Game Theory Review</t>
        </is>
      </c>
      <c r="B956" t="inlineStr">
        <is>
          <t>B</t>
        </is>
      </c>
      <c r="C956" t="n">
        <v>3803</v>
      </c>
      <c r="D956" t="inlineStr">
        <is>
          <t>World Scientific Publishing</t>
        </is>
      </c>
    </row>
    <row r="957">
      <c r="A957" t="inlineStr">
        <is>
          <t>International Hospitality Review</t>
        </is>
      </c>
      <c r="B957" t="inlineStr">
        <is>
          <t>C</t>
        </is>
      </c>
      <c r="C957" t="n">
        <v>3504</v>
      </c>
      <c r="D957" t="inlineStr">
        <is>
          <t>Emerald Group Publishing</t>
        </is>
      </c>
    </row>
    <row r="958">
      <c r="A958" t="inlineStr">
        <is>
          <t>International Insolvency Review</t>
        </is>
      </c>
      <c r="B958" t="inlineStr">
        <is>
          <t>B</t>
        </is>
      </c>
      <c r="C958" t="n">
        <v>4801</v>
      </c>
      <c r="D958" t="inlineStr">
        <is>
          <t>Wiley-Blackwell Publishing</t>
        </is>
      </c>
    </row>
    <row r="959">
      <c r="A959" t="inlineStr">
        <is>
          <t>International Journal of Accounting &amp; Finance Review</t>
        </is>
      </c>
      <c r="B959" t="inlineStr">
        <is>
          <t>C</t>
        </is>
      </c>
      <c r="C959" t="n">
        <v>3501</v>
      </c>
      <c r="D959" t="inlineStr">
        <is>
          <t>American Accounting &amp; Finance Society</t>
        </is>
      </c>
    </row>
    <row r="960">
      <c r="A960" t="inlineStr">
        <is>
          <t>International Journal of Accounting and Business Finance</t>
        </is>
      </c>
      <c r="B960" t="inlineStr">
        <is>
          <t>C</t>
        </is>
      </c>
      <c r="C960" t="n">
        <v>3501</v>
      </c>
      <c r="D960" t="inlineStr">
        <is>
          <t>Faculty of Management Studies &amp; Commerce, University of Jaffna, Sri Lanka</t>
        </is>
      </c>
    </row>
    <row r="961">
      <c r="A961" t="inlineStr">
        <is>
          <t>International Journal of Accounting and Finance</t>
        </is>
      </c>
      <c r="B961" t="inlineStr">
        <is>
          <t>C</t>
        </is>
      </c>
      <c r="C961" t="n">
        <v>3501</v>
      </c>
      <c r="D961" t="inlineStr">
        <is>
          <t>Inderscience Enterprises Ltd.</t>
        </is>
      </c>
    </row>
    <row r="962">
      <c r="A962" t="inlineStr">
        <is>
          <t>International Journal of Accounting and Information Management</t>
        </is>
      </c>
      <c r="B962" t="inlineStr">
        <is>
          <t>B</t>
        </is>
      </c>
      <c r="C962" t="n">
        <v>3501</v>
      </c>
      <c r="D962" t="inlineStr">
        <is>
          <t>Emerald Group Publishing Ltd</t>
        </is>
      </c>
    </row>
    <row r="963">
      <c r="A963" t="inlineStr">
        <is>
          <t>International Journal of Accounting Information Systems</t>
        </is>
      </c>
      <c r="B963" t="inlineStr">
        <is>
          <t>A</t>
        </is>
      </c>
      <c r="C963" t="n">
        <v>3501</v>
      </c>
      <c r="D963" t="inlineStr">
        <is>
          <t>Elsevier</t>
        </is>
      </c>
    </row>
    <row r="964">
      <c r="A964" t="inlineStr">
        <is>
          <t>International Journal of Accounting, Auditing and Performance Evaluation</t>
        </is>
      </c>
      <c r="B964" t="inlineStr">
        <is>
          <t>C</t>
        </is>
      </c>
      <c r="C964" t="n">
        <v>3501</v>
      </c>
      <c r="D964" t="inlineStr">
        <is>
          <t>Inderscience Enterprises Ltd.</t>
        </is>
      </c>
    </row>
    <row r="965">
      <c r="A965" t="inlineStr">
        <is>
          <t>International Journal of Accounting, Business and Finance</t>
        </is>
      </c>
      <c r="B965" t="inlineStr">
        <is>
          <t>C</t>
        </is>
      </c>
      <c r="C965" t="n">
        <v>3501</v>
      </c>
      <c r="D965" t="inlineStr">
        <is>
          <t>Indian Accounting Association, Patna Branch</t>
        </is>
      </c>
    </row>
    <row r="966">
      <c r="A966" t="inlineStr">
        <is>
          <t>International Journal of Advertising</t>
        </is>
      </c>
      <c r="B966" t="inlineStr">
        <is>
          <t>A</t>
        </is>
      </c>
      <c r="C966" t="n">
        <v>3506</v>
      </c>
      <c r="D966" t="inlineStr">
        <is>
          <t>Taylor &amp; Francis Online</t>
        </is>
      </c>
    </row>
    <row r="967">
      <c r="A967" t="inlineStr">
        <is>
          <t>International Journal of Agricultural Resources, Governance and Ecology</t>
        </is>
      </c>
      <c r="B967" t="inlineStr">
        <is>
          <t>C</t>
        </is>
      </c>
      <c r="C967" t="n">
        <v>3599</v>
      </c>
      <c r="D967" t="inlineStr">
        <is>
          <t>Inderscience Enterprises Ltd</t>
        </is>
      </c>
    </row>
    <row r="968">
      <c r="A968" t="inlineStr">
        <is>
          <t>International Journal of Applied Economic Sciences &amp; Applied Research</t>
        </is>
      </c>
      <c r="B968" t="inlineStr">
        <is>
          <t>C</t>
        </is>
      </c>
      <c r="C968" t="n">
        <v>3801</v>
      </c>
      <c r="D968" t="inlineStr">
        <is>
          <t>Eastern Macedonia and Thrace Institute of Tech</t>
        </is>
      </c>
    </row>
    <row r="969">
      <c r="A969" t="inlineStr">
        <is>
          <t>International Journal of Applied Economics</t>
        </is>
      </c>
      <c r="B969" t="inlineStr">
        <is>
          <t>C</t>
        </is>
      </c>
      <c r="C969" t="n">
        <v>3801</v>
      </c>
      <c r="D969" t="inlineStr">
        <is>
          <t>Institute of International Economic Studies</t>
        </is>
      </c>
    </row>
    <row r="970">
      <c r="A970" t="inlineStr">
        <is>
          <t>International Journal of Applied Economics and Econometrics</t>
        </is>
      </c>
      <c r="B970" t="inlineStr">
        <is>
          <t>C</t>
        </is>
      </c>
      <c r="C970" t="n">
        <v>3802</v>
      </c>
      <c r="D970" t="inlineStr">
        <is>
          <t>Springer Nature</t>
        </is>
      </c>
    </row>
    <row r="971">
      <c r="A971" t="inlineStr">
        <is>
          <t>International Journal of Applied Management and Technology</t>
        </is>
      </c>
      <c r="B971" t="inlineStr">
        <is>
          <t>C</t>
        </is>
      </c>
      <c r="C971" t="n">
        <v>3507</v>
      </c>
      <c r="D971" t="inlineStr">
        <is>
          <t>Walden University School of Management</t>
        </is>
      </c>
    </row>
    <row r="972">
      <c r="A972" t="inlineStr">
        <is>
          <t>International Journal of Arts Management</t>
        </is>
      </c>
      <c r="B972" t="inlineStr">
        <is>
          <t>B</t>
        </is>
      </c>
      <c r="C972" t="n">
        <v>3504</v>
      </c>
      <c r="D972" t="inlineStr">
        <is>
          <t>Management International</t>
        </is>
      </c>
    </row>
    <row r="973">
      <c r="A973" t="inlineStr">
        <is>
          <t>International Journal of Asian Studies</t>
        </is>
      </c>
      <c r="B973" t="inlineStr">
        <is>
          <t>B</t>
        </is>
      </c>
      <c r="C973" t="n">
        <v>3599</v>
      </c>
      <c r="D973" t="inlineStr">
        <is>
          <t>Cambridge University Press</t>
        </is>
      </c>
    </row>
    <row r="974">
      <c r="A974" t="inlineStr">
        <is>
          <t>International Journal of Auditing</t>
        </is>
      </c>
      <c r="B974" t="inlineStr">
        <is>
          <t>A</t>
        </is>
      </c>
      <c r="C974" t="n">
        <v>3501</v>
      </c>
      <c r="D974" t="inlineStr">
        <is>
          <t>Wiley-Blackwell Publishing</t>
        </is>
      </c>
    </row>
    <row r="975">
      <c r="A975" t="inlineStr">
        <is>
          <t>International Journal of Automation Technology</t>
        </is>
      </c>
      <c r="B975" t="inlineStr">
        <is>
          <t>C</t>
        </is>
      </c>
      <c r="C975" t="n">
        <v>3509</v>
      </c>
      <c r="D975" t="inlineStr">
        <is>
          <t>Fuji Technology Press</t>
        </is>
      </c>
    </row>
    <row r="976">
      <c r="A976" t="inlineStr">
        <is>
          <t>International Journal of Automotive Technology</t>
        </is>
      </c>
      <c r="B976" t="inlineStr">
        <is>
          <t>B</t>
        </is>
      </c>
      <c r="C976" t="n">
        <v>3509</v>
      </c>
      <c r="D976" t="inlineStr">
        <is>
          <t>Springer International Publishing</t>
        </is>
      </c>
    </row>
    <row r="977">
      <c r="A977" t="inlineStr">
        <is>
          <t>International Journal of Bank Marketing</t>
        </is>
      </c>
      <c r="B977" t="inlineStr">
        <is>
          <t>A</t>
        </is>
      </c>
      <c r="C977" t="n">
        <v>3506</v>
      </c>
      <c r="D977" t="inlineStr">
        <is>
          <t>Emerald Group Publishing</t>
        </is>
      </c>
    </row>
    <row r="978">
      <c r="A978" t="inlineStr">
        <is>
          <t>International Journal of Banking, Accounting and Finance</t>
        </is>
      </c>
      <c r="B978" t="inlineStr">
        <is>
          <t>C</t>
        </is>
      </c>
      <c r="C978" t="n">
        <v>3502</v>
      </c>
      <c r="D978" t="inlineStr">
        <is>
          <t>Inderscience Publishers</t>
        </is>
      </c>
    </row>
    <row r="979">
      <c r="A979" t="inlineStr">
        <is>
          <t>International Journal of Behavioural Accounting and Finance</t>
        </is>
      </c>
      <c r="B979" t="inlineStr">
        <is>
          <t>C</t>
        </is>
      </c>
      <c r="C979" t="n">
        <v>3501</v>
      </c>
      <c r="D979" t="inlineStr">
        <is>
          <t>Inderscience Publishers</t>
        </is>
      </c>
    </row>
    <row r="980">
      <c r="A980" t="inlineStr">
        <is>
          <t>International Journal of Bonds and Derivatives</t>
        </is>
      </c>
      <c r="B980" t="inlineStr">
        <is>
          <t>C</t>
        </is>
      </c>
      <c r="C980" t="n">
        <v>3502</v>
      </c>
      <c r="D980" t="inlineStr">
        <is>
          <t>Inderscience Enterprises Ltd</t>
        </is>
      </c>
    </row>
    <row r="981">
      <c r="A981" t="inlineStr">
        <is>
          <t>International Journal of Business</t>
        </is>
      </c>
      <c r="B981" t="inlineStr">
        <is>
          <t>C</t>
        </is>
      </c>
      <c r="C981" t="n">
        <v>3507</v>
      </c>
      <c r="D981" t="inlineStr">
        <is>
          <t>Premier Publishing</t>
        </is>
      </c>
    </row>
    <row r="982">
      <c r="A982" t="inlineStr">
        <is>
          <t>International Journal of Business and Economics</t>
        </is>
      </c>
      <c r="B982" t="inlineStr">
        <is>
          <t>B</t>
        </is>
      </c>
      <c r="C982" t="n">
        <v>3801</v>
      </c>
      <c r="D982" t="inlineStr">
        <is>
          <t>Feng Chia University</t>
        </is>
      </c>
    </row>
    <row r="983">
      <c r="A983" t="inlineStr">
        <is>
          <t>International Journal of Business and Management (IJBM)</t>
        </is>
      </c>
      <c r="B983" t="inlineStr">
        <is>
          <t>C</t>
        </is>
      </c>
      <c r="C983" t="n">
        <v>3507</v>
      </c>
      <c r="D983" t="inlineStr">
        <is>
          <t>International Emerging Scholars Society</t>
        </is>
      </c>
    </row>
    <row r="984">
      <c r="A984" t="inlineStr">
        <is>
          <t>International Journal of Business and Society</t>
        </is>
      </c>
      <c r="B984" t="inlineStr">
        <is>
          <t>C</t>
        </is>
      </c>
      <c r="C984" t="n">
        <v>3501</v>
      </c>
      <c r="D984" t="inlineStr">
        <is>
          <t>Universiti Malaysia Sarawak</t>
        </is>
      </c>
    </row>
    <row r="985">
      <c r="A985" t="inlineStr">
        <is>
          <t>International Journal of Business Communication</t>
        </is>
      </c>
      <c r="B985" t="inlineStr">
        <is>
          <t>C</t>
        </is>
      </c>
      <c r="C985" t="n">
        <v>3507</v>
      </c>
      <c r="D985" t="inlineStr">
        <is>
          <t>Sage Publications</t>
        </is>
      </c>
    </row>
    <row r="986">
      <c r="A986" t="inlineStr">
        <is>
          <t>International Journal of Business Information Systems</t>
        </is>
      </c>
      <c r="B986" t="inlineStr">
        <is>
          <t>C</t>
        </is>
      </c>
      <c r="C986" t="n">
        <v>4609</v>
      </c>
      <c r="D986" t="inlineStr">
        <is>
          <t>Inderscience Enterprises Ltd.</t>
        </is>
      </c>
    </row>
    <row r="987">
      <c r="A987" t="inlineStr">
        <is>
          <t>International Journal of Business Intelligence Research (IJBIR)</t>
        </is>
      </c>
      <c r="B987" t="inlineStr">
        <is>
          <t>C</t>
        </is>
      </c>
      <c r="C987" t="n">
        <v>4609</v>
      </c>
      <c r="D987" t="inlineStr">
        <is>
          <t>IGI Global</t>
        </is>
      </c>
    </row>
    <row r="988">
      <c r="A988" t="inlineStr">
        <is>
          <t>International Journal of Business Law</t>
        </is>
      </c>
      <c r="B988" t="inlineStr">
        <is>
          <t>C</t>
        </is>
      </c>
      <c r="C988" t="n">
        <v>4801</v>
      </c>
      <c r="D988" t="inlineStr">
        <is>
          <t>The University of Pennsylvania</t>
        </is>
      </c>
    </row>
    <row r="989">
      <c r="A989" t="inlineStr">
        <is>
          <t>International Journal of Cases on Electronic Commerce</t>
        </is>
      </c>
      <c r="B989" t="inlineStr">
        <is>
          <t>C</t>
        </is>
      </c>
      <c r="C989" t="n">
        <v>4609</v>
      </c>
      <c r="D989" t="inlineStr">
        <is>
          <t>IGI Global</t>
        </is>
      </c>
    </row>
    <row r="990">
      <c r="A990" t="inlineStr">
        <is>
          <t>International Journal of Central Banking</t>
        </is>
      </c>
      <c r="B990" t="inlineStr">
        <is>
          <t>A</t>
        </is>
      </c>
      <c r="C990" t="n">
        <v>3801</v>
      </c>
      <c r="D990" t="inlineStr">
        <is>
          <t>Association of the International Journal of Central Banking</t>
        </is>
      </c>
    </row>
    <row r="991">
      <c r="A991" t="inlineStr">
        <is>
          <t>International Journal of Computational Economics and Econometrics</t>
        </is>
      </c>
      <c r="B991" t="inlineStr">
        <is>
          <t>C</t>
        </is>
      </c>
      <c r="C991" t="n">
        <v>3802</v>
      </c>
      <c r="D991" t="inlineStr">
        <is>
          <t>Inderscience Enterprises Ltd.</t>
        </is>
      </c>
    </row>
    <row r="992">
      <c r="A992" t="inlineStr">
        <is>
          <t>International Journal of Conflict Management</t>
        </is>
      </c>
      <c r="B992" t="inlineStr">
        <is>
          <t>A</t>
        </is>
      </c>
      <c r="C992" t="n">
        <v>3505</v>
      </c>
      <c r="D992" t="inlineStr">
        <is>
          <t>Emerald Group Publishing</t>
        </is>
      </c>
    </row>
    <row r="993">
      <c r="A993" t="inlineStr">
        <is>
          <t>International Journal of Construction Management</t>
        </is>
      </c>
      <c r="B993" t="inlineStr">
        <is>
          <t>B</t>
        </is>
      </c>
      <c r="C993" t="n">
        <v>3504</v>
      </c>
      <c r="D993" t="inlineStr">
        <is>
          <t>Taylor &amp; Francis</t>
        </is>
      </c>
    </row>
    <row r="994">
      <c r="A994" t="inlineStr">
        <is>
          <t>International Journal of Consumer Studies</t>
        </is>
      </c>
      <c r="B994" t="inlineStr">
        <is>
          <t>A</t>
        </is>
      </c>
      <c r="C994" t="n">
        <v>3506</v>
      </c>
      <c r="D994" t="inlineStr">
        <is>
          <t>Wiley-Blackwell Publishing</t>
        </is>
      </c>
    </row>
    <row r="995">
      <c r="A995" t="inlineStr">
        <is>
          <t>International Journal of Contemporary Hospitality Management</t>
        </is>
      </c>
      <c r="B995" t="inlineStr">
        <is>
          <t>A</t>
        </is>
      </c>
      <c r="C995" t="n">
        <v>3504</v>
      </c>
      <c r="D995" t="inlineStr">
        <is>
          <t>Emerald Group Publishing</t>
        </is>
      </c>
    </row>
    <row r="996">
      <c r="A996" t="inlineStr">
        <is>
          <t>International Journal of Corporate Governance</t>
        </is>
      </c>
      <c r="B996" t="inlineStr">
        <is>
          <t>B</t>
        </is>
      </c>
      <c r="C996" t="n">
        <v>4801</v>
      </c>
      <c r="D996" t="inlineStr">
        <is>
          <t>Inderscience Enterprises Ltd.</t>
        </is>
      </c>
    </row>
    <row r="997">
      <c r="A997" t="inlineStr">
        <is>
          <t>International Journal of Critical Accounting</t>
        </is>
      </c>
      <c r="B997" t="inlineStr">
        <is>
          <t>C</t>
        </is>
      </c>
      <c r="C997" t="n">
        <v>3501</v>
      </c>
      <c r="D997" t="inlineStr">
        <is>
          <t>Inderscience Enterprises Ltd.</t>
        </is>
      </c>
    </row>
    <row r="998">
      <c r="A998" t="inlineStr">
        <is>
          <t>International Journal of Cross Cultural Management</t>
        </is>
      </c>
      <c r="B998" t="inlineStr">
        <is>
          <t>B</t>
        </is>
      </c>
      <c r="C998" t="n">
        <v>3505</v>
      </c>
      <c r="D998" t="inlineStr">
        <is>
          <t>Sage Publications</t>
        </is>
      </c>
    </row>
    <row r="999">
      <c r="A999" t="inlineStr">
        <is>
          <t>International Journal of Cultural Policy</t>
        </is>
      </c>
      <c r="B999" t="inlineStr">
        <is>
          <t>A</t>
        </is>
      </c>
      <c r="C999" t="n">
        <v>3504</v>
      </c>
      <c r="D999" t="inlineStr">
        <is>
          <t>Taylor &amp; Francis Online</t>
        </is>
      </c>
    </row>
    <row r="1000">
      <c r="A1000" t="inlineStr">
        <is>
          <t>International Journal of Data Warehousing and Mining</t>
        </is>
      </c>
      <c r="B1000" t="inlineStr">
        <is>
          <t>C</t>
        </is>
      </c>
      <c r="C1000" t="n">
        <v>4609</v>
      </c>
      <c r="D1000" t="inlineStr">
        <is>
          <t>IGI Global</t>
        </is>
      </c>
    </row>
    <row r="1001">
      <c r="A1001" t="inlineStr">
        <is>
          <t>International Journal of Development and Conflict</t>
        </is>
      </c>
      <c r="B1001" t="inlineStr">
        <is>
          <t>B</t>
        </is>
      </c>
      <c r="C1001" t="n">
        <v>3801</v>
      </c>
      <c r="D1001" t="inlineStr">
        <is>
          <t>Goa Institute of Management</t>
        </is>
      </c>
    </row>
    <row r="1002">
      <c r="A1002" t="inlineStr">
        <is>
          <t>International Journal of Development Issues</t>
        </is>
      </c>
      <c r="B1002" t="inlineStr">
        <is>
          <t>C</t>
        </is>
      </c>
      <c r="C1002" t="n">
        <v>3801</v>
      </c>
      <c r="D1002" t="inlineStr">
        <is>
          <t>Emerald Group Publishing</t>
        </is>
      </c>
    </row>
    <row r="1003">
      <c r="A1003" t="inlineStr">
        <is>
          <t>International Journal of Disaster Risk Reduction</t>
        </is>
      </c>
      <c r="B1003" t="inlineStr">
        <is>
          <t>A</t>
        </is>
      </c>
      <c r="C1003" t="n">
        <v>3599</v>
      </c>
      <c r="D1003" t="inlineStr">
        <is>
          <t>Elsevier</t>
        </is>
      </c>
    </row>
    <row r="1004">
      <c r="A1004" t="inlineStr">
        <is>
          <t>International Journal of Disclosure and Governance</t>
        </is>
      </c>
      <c r="B1004" t="inlineStr">
        <is>
          <t>B</t>
        </is>
      </c>
      <c r="C1004" t="n">
        <v>3501</v>
      </c>
      <c r="D1004" t="inlineStr">
        <is>
          <t>Palgrave Macmillan</t>
        </is>
      </c>
    </row>
    <row r="1005">
      <c r="A1005" t="inlineStr">
        <is>
          <t>International Journal of Economic Perspectives</t>
        </is>
      </c>
      <c r="B1005" t="inlineStr">
        <is>
          <t>C</t>
        </is>
      </c>
      <c r="C1005" t="n">
        <v>3801</v>
      </c>
      <c r="D1005" t="inlineStr">
        <is>
          <t>International Economic Society</t>
        </is>
      </c>
    </row>
    <row r="1006">
      <c r="A1006" t="inlineStr">
        <is>
          <t>International Journal of Economic Policy and Emerging Economies</t>
        </is>
      </c>
      <c r="B1006" t="inlineStr">
        <is>
          <t>C</t>
        </is>
      </c>
      <c r="C1006" t="n">
        <v>3801</v>
      </c>
      <c r="D1006" t="inlineStr">
        <is>
          <t>Inderscience Enterprises Ltd.</t>
        </is>
      </c>
    </row>
    <row r="1007">
      <c r="A1007" t="inlineStr">
        <is>
          <t>International Journal of Economic Practices and Theories</t>
        </is>
      </c>
      <c r="B1007" t="inlineStr">
        <is>
          <t>C</t>
        </is>
      </c>
      <c r="C1007" t="n">
        <v>3801</v>
      </c>
      <c r="D1007" t="inlineStr">
        <is>
          <t>Open Journal Systems</t>
        </is>
      </c>
    </row>
    <row r="1008">
      <c r="A1008" t="inlineStr">
        <is>
          <t>International Journal of Economic Theory</t>
        </is>
      </c>
      <c r="B1008" t="inlineStr">
        <is>
          <t>B</t>
        </is>
      </c>
      <c r="C1008" t="n">
        <v>3803</v>
      </c>
      <c r="D1008" t="inlineStr">
        <is>
          <t>Wiley-Blackwell Publishing</t>
        </is>
      </c>
    </row>
    <row r="1009">
      <c r="A1009" t="inlineStr">
        <is>
          <t>International Journal of Economics and Accounting</t>
        </is>
      </c>
      <c r="B1009" t="inlineStr">
        <is>
          <t>C</t>
        </is>
      </c>
      <c r="C1009" t="n">
        <v>3501</v>
      </c>
      <c r="D1009" t="inlineStr">
        <is>
          <t>Inderscience Enterprises Ltd</t>
        </is>
      </c>
    </row>
    <row r="1010">
      <c r="A1010" t="inlineStr">
        <is>
          <t>International Journal of Economics and Business Research</t>
        </is>
      </c>
      <c r="B1010" t="inlineStr">
        <is>
          <t>C</t>
        </is>
      </c>
      <c r="C1010" t="n">
        <v>3801</v>
      </c>
      <c r="D1010" t="inlineStr">
        <is>
          <t>Inderscience Enterprises Ltd.</t>
        </is>
      </c>
    </row>
    <row r="1011">
      <c r="A1011" t="inlineStr">
        <is>
          <t>International Journal of Economics and Financial Issues</t>
        </is>
      </c>
      <c r="B1011" t="inlineStr">
        <is>
          <t>C</t>
        </is>
      </c>
      <c r="C1011" t="n">
        <v>3899</v>
      </c>
      <c r="D1011" t="inlineStr">
        <is>
          <t>Econ Journals</t>
        </is>
      </c>
    </row>
    <row r="1012">
      <c r="A1012" t="inlineStr">
        <is>
          <t>International Journal of Education and Development using Information and Communication Technology</t>
        </is>
      </c>
      <c r="B1012" t="inlineStr">
        <is>
          <t>C</t>
        </is>
      </c>
      <c r="C1012" t="n">
        <v>4609</v>
      </c>
      <c r="D1012" t="inlineStr">
        <is>
          <t>University of the West Indies</t>
        </is>
      </c>
    </row>
    <row r="1013">
      <c r="A1013" t="inlineStr">
        <is>
          <t>International Journal of Educational Management</t>
        </is>
      </c>
      <c r="B1013" t="inlineStr">
        <is>
          <t>B</t>
        </is>
      </c>
      <c r="C1013" t="n">
        <v>3507</v>
      </c>
      <c r="D1013" t="inlineStr">
        <is>
          <t>Emerald Group Publishing</t>
        </is>
      </c>
    </row>
    <row r="1014">
      <c r="A1014" t="inlineStr">
        <is>
          <t>International Journal of Electronic Banking</t>
        </is>
      </c>
      <c r="B1014" t="inlineStr">
        <is>
          <t>C</t>
        </is>
      </c>
      <c r="C1014" t="n">
        <v>3502</v>
      </c>
      <c r="D1014" t="inlineStr">
        <is>
          <t>Inderscience Enterprises Ltd.</t>
        </is>
      </c>
    </row>
    <row r="1015">
      <c r="A1015" t="inlineStr">
        <is>
          <t>International Journal of Electronic Commerce</t>
        </is>
      </c>
      <c r="B1015" t="inlineStr">
        <is>
          <t>A</t>
        </is>
      </c>
      <c r="C1015" t="n">
        <v>4609</v>
      </c>
      <c r="D1015" t="inlineStr">
        <is>
          <t>Taylor &amp; Francis Online</t>
        </is>
      </c>
    </row>
    <row r="1016">
      <c r="A1016" t="inlineStr">
        <is>
          <t>International Journal of Electronic Customer Relationship Management</t>
        </is>
      </c>
      <c r="B1016" t="inlineStr">
        <is>
          <t>C</t>
        </is>
      </c>
      <c r="C1016" t="n">
        <v>3506</v>
      </c>
      <c r="D1016" t="inlineStr">
        <is>
          <t>Inderscience Enterprises Ltd.</t>
        </is>
      </c>
    </row>
    <row r="1017">
      <c r="A1017" t="inlineStr">
        <is>
          <t>International Journal of Electronic Finance</t>
        </is>
      </c>
      <c r="B1017" t="inlineStr">
        <is>
          <t>C</t>
        </is>
      </c>
      <c r="C1017" t="n">
        <v>3502</v>
      </c>
      <c r="D1017" t="inlineStr">
        <is>
          <t>Inderscience Enterprises Ltd.</t>
        </is>
      </c>
    </row>
    <row r="1018">
      <c r="A1018" t="inlineStr">
        <is>
          <t>International Journal of Electronic Government Research</t>
        </is>
      </c>
      <c r="B1018" t="inlineStr">
        <is>
          <t>C</t>
        </is>
      </c>
      <c r="C1018" t="n">
        <v>4609</v>
      </c>
      <c r="D1018" t="inlineStr">
        <is>
          <t>IGI Global</t>
        </is>
      </c>
    </row>
    <row r="1019">
      <c r="A1019" t="inlineStr">
        <is>
          <t>International Journal of Electronic Marketing and Retailing</t>
        </is>
      </c>
      <c r="B1019" t="inlineStr">
        <is>
          <t>C</t>
        </is>
      </c>
      <c r="C1019" t="n">
        <v>3506</v>
      </c>
      <c r="D1019" t="inlineStr">
        <is>
          <t>Inderscience Enterprises Ltd.</t>
        </is>
      </c>
    </row>
    <row r="1020">
      <c r="A1020" t="inlineStr">
        <is>
          <t>International Journal of Emergency Services</t>
        </is>
      </c>
      <c r="B1020" t="inlineStr">
        <is>
          <t>C</t>
        </is>
      </c>
      <c r="C1020" t="n">
        <v>3507</v>
      </c>
      <c r="D1020" t="inlineStr">
        <is>
          <t>Emerald Group Publishing Ltd</t>
        </is>
      </c>
    </row>
    <row r="1021">
      <c r="A1021" t="inlineStr">
        <is>
          <t>International Journal of Emerging Markets</t>
        </is>
      </c>
      <c r="B1021" t="inlineStr">
        <is>
          <t>B</t>
        </is>
      </c>
      <c r="C1021" t="n">
        <v>3507</v>
      </c>
      <c r="D1021" t="inlineStr">
        <is>
          <t>Emerald Group Publishing</t>
        </is>
      </c>
    </row>
    <row r="1022">
      <c r="A1022" t="inlineStr">
        <is>
          <t>International Journal of Employment Studies</t>
        </is>
      </c>
      <c r="B1022" t="inlineStr">
        <is>
          <t>C</t>
        </is>
      </c>
      <c r="C1022" t="n">
        <v>3505</v>
      </c>
      <c r="D1022" t="inlineStr">
        <is>
          <t>International Employment Relations Association</t>
        </is>
      </c>
    </row>
    <row r="1023">
      <c r="A1023" t="inlineStr">
        <is>
          <t>International Journal of Energy Economics and Policy</t>
        </is>
      </c>
      <c r="B1023" t="inlineStr">
        <is>
          <t>C</t>
        </is>
      </c>
      <c r="C1023" t="n">
        <v>3899</v>
      </c>
      <c r="D1023" t="inlineStr">
        <is>
          <t>Econ Journals</t>
        </is>
      </c>
    </row>
    <row r="1024">
      <c r="A1024" t="inlineStr">
        <is>
          <t>International Journal of Energy Sector Management</t>
        </is>
      </c>
      <c r="B1024" t="inlineStr">
        <is>
          <t>C</t>
        </is>
      </c>
      <c r="C1024" t="n">
        <v>3599</v>
      </c>
      <c r="D1024" t="inlineStr">
        <is>
          <t>Emerald Group Publishing</t>
        </is>
      </c>
    </row>
    <row r="1025">
      <c r="A1025" t="inlineStr">
        <is>
          <t>International Journal of Enterprise Information Systems</t>
        </is>
      </c>
      <c r="B1025" t="inlineStr">
        <is>
          <t>C</t>
        </is>
      </c>
      <c r="C1025" t="n">
        <v>4609</v>
      </c>
      <c r="D1025" t="inlineStr">
        <is>
          <t>IGI Global</t>
        </is>
      </c>
    </row>
    <row r="1026">
      <c r="A1026" t="inlineStr">
        <is>
          <t>International Journal of Enterprise Network Management</t>
        </is>
      </c>
      <c r="B1026" t="inlineStr">
        <is>
          <t>B</t>
        </is>
      </c>
      <c r="C1026" t="n">
        <v>3506</v>
      </c>
      <c r="D1026" t="inlineStr">
        <is>
          <t>Inderscience Enterprises Ltd.</t>
        </is>
      </c>
    </row>
    <row r="1027">
      <c r="A1027" t="inlineStr">
        <is>
          <t>International Journal of Entrepreneurial Behaviour and Research</t>
        </is>
      </c>
      <c r="B1027" t="inlineStr">
        <is>
          <t>A</t>
        </is>
      </c>
      <c r="C1027" t="n">
        <v>3507</v>
      </c>
      <c r="D1027" t="inlineStr">
        <is>
          <t>Emerald Group Publishing</t>
        </is>
      </c>
    </row>
    <row r="1028">
      <c r="A1028" t="inlineStr">
        <is>
          <t>International Journal of Entrepreneurship and Innovation</t>
        </is>
      </c>
      <c r="B1028" t="inlineStr">
        <is>
          <t>C</t>
        </is>
      </c>
      <c r="C1028" t="n">
        <v>3507</v>
      </c>
      <c r="D1028" t="inlineStr">
        <is>
          <t>Sage Publications</t>
        </is>
      </c>
    </row>
    <row r="1029">
      <c r="A1029" t="inlineStr">
        <is>
          <t>International Journal of Environment and Pollution</t>
        </is>
      </c>
      <c r="B1029" t="inlineStr">
        <is>
          <t>C</t>
        </is>
      </c>
      <c r="C1029" t="n">
        <v>3599</v>
      </c>
      <c r="D1029" t="inlineStr">
        <is>
          <t>Inderscience Enterprises Ltd.</t>
        </is>
      </c>
    </row>
    <row r="1030">
      <c r="A1030" t="inlineStr">
        <is>
          <t>International Journal of Ethics and Systems</t>
        </is>
      </c>
      <c r="B1030" t="inlineStr">
        <is>
          <t>C</t>
        </is>
      </c>
      <c r="C1030" t="n">
        <v>3507</v>
      </c>
      <c r="D1030" t="inlineStr">
        <is>
          <t>Emerald Publishing</t>
        </is>
      </c>
    </row>
    <row r="1031">
      <c r="A1031" t="inlineStr">
        <is>
          <t>International Journal of Event and Festival Management</t>
        </is>
      </c>
      <c r="B1031" t="inlineStr">
        <is>
          <t>B</t>
        </is>
      </c>
      <c r="C1031" t="n">
        <v>3508</v>
      </c>
      <c r="D1031" t="inlineStr">
        <is>
          <t>Emerald Group Publishing Limited</t>
        </is>
      </c>
    </row>
    <row r="1032">
      <c r="A1032" t="inlineStr">
        <is>
          <t>International Journal of Finance &amp; Economics</t>
        </is>
      </c>
      <c r="B1032" t="inlineStr">
        <is>
          <t>B</t>
        </is>
      </c>
      <c r="C1032" t="n">
        <v>3502</v>
      </c>
      <c r="D1032" t="inlineStr">
        <is>
          <t>Wiley-Blackwell Publishing</t>
        </is>
      </c>
    </row>
    <row r="1033">
      <c r="A1033" t="inlineStr">
        <is>
          <t>International Journal of Financial Engineering</t>
        </is>
      </c>
      <c r="B1033" t="inlineStr">
        <is>
          <t>C</t>
        </is>
      </c>
      <c r="C1033" t="n">
        <v>3502</v>
      </c>
      <c r="D1033" t="inlineStr">
        <is>
          <t>World Scientific</t>
        </is>
      </c>
    </row>
    <row r="1034">
      <c r="A1034" t="inlineStr">
        <is>
          <t>International Journal of Financial Markets and Derivatives</t>
        </is>
      </c>
      <c r="B1034" t="inlineStr">
        <is>
          <t>C</t>
        </is>
      </c>
      <c r="C1034" t="n">
        <v>3502</v>
      </c>
      <c r="D1034" t="inlineStr">
        <is>
          <t>Inderscience Enterprises Ltd</t>
        </is>
      </c>
    </row>
    <row r="1035">
      <c r="A1035" t="inlineStr">
        <is>
          <t>International Journal of Financial Services Management</t>
        </is>
      </c>
      <c r="B1035" t="inlineStr">
        <is>
          <t>C</t>
        </is>
      </c>
      <c r="C1035" t="n">
        <v>3502</v>
      </c>
      <c r="D1035" t="inlineStr">
        <is>
          <t>Inderscience Enterprises Ltd.</t>
        </is>
      </c>
    </row>
    <row r="1036">
      <c r="A1036" t="inlineStr">
        <is>
          <t>International Journal of Forecasting</t>
        </is>
      </c>
      <c r="B1036" t="inlineStr">
        <is>
          <t>A</t>
        </is>
      </c>
      <c r="C1036" t="n">
        <v>3802</v>
      </c>
      <c r="D1036" t="inlineStr">
        <is>
          <t>Elsevier</t>
        </is>
      </c>
    </row>
    <row r="1037">
      <c r="A1037" t="inlineStr">
        <is>
          <t>International Journal of Game Theory</t>
        </is>
      </c>
      <c r="B1037" t="inlineStr">
        <is>
          <t>A</t>
        </is>
      </c>
      <c r="C1037" t="n">
        <v>3803</v>
      </c>
      <c r="D1037" t="inlineStr">
        <is>
          <t>Springer International Publishing</t>
        </is>
      </c>
    </row>
    <row r="1038">
      <c r="A1038" t="inlineStr">
        <is>
          <t>International Journal of Gender and Entrepreneurship</t>
        </is>
      </c>
      <c r="B1038" t="inlineStr">
        <is>
          <t>B</t>
        </is>
      </c>
      <c r="C1038" t="n">
        <v>3507</v>
      </c>
      <c r="D1038" t="inlineStr">
        <is>
          <t>Emerald Group Publishing</t>
        </is>
      </c>
    </row>
    <row r="1039">
      <c r="A1039" t="inlineStr">
        <is>
          <t>International Journal of General Systems</t>
        </is>
      </c>
      <c r="B1039" t="inlineStr">
        <is>
          <t>A</t>
        </is>
      </c>
      <c r="C1039" t="n">
        <v>3503</v>
      </c>
      <c r="D1039" t="inlineStr">
        <is>
          <t>Taylor &amp; Francis Online</t>
        </is>
      </c>
    </row>
    <row r="1040">
      <c r="A1040" t="inlineStr">
        <is>
          <t>International Journal of Global Business and Competitiveness</t>
        </is>
      </c>
      <c r="B1040" t="inlineStr">
        <is>
          <t>C</t>
        </is>
      </c>
      <c r="C1040" t="n">
        <v>3507</v>
      </c>
      <c r="D1040" t="inlineStr">
        <is>
          <t>Springer International Publishing</t>
        </is>
      </c>
    </row>
    <row r="1041">
      <c r="A1041" t="inlineStr">
        <is>
          <t>International Journal of Global Energy Issues</t>
        </is>
      </c>
      <c r="B1041" t="inlineStr">
        <is>
          <t>C</t>
        </is>
      </c>
      <c r="C1041" t="n">
        <v>3899</v>
      </c>
      <c r="D1041" t="inlineStr">
        <is>
          <t>Inderscience Enterprises Ltd.</t>
        </is>
      </c>
    </row>
    <row r="1042">
      <c r="A1042" t="inlineStr">
        <is>
          <t>International Journal of Government Auditing</t>
        </is>
      </c>
      <c r="B1042" t="inlineStr">
        <is>
          <t>C</t>
        </is>
      </c>
      <c r="C1042" t="n">
        <v>3501</v>
      </c>
      <c r="D1042" t="inlineStr">
        <is>
          <t>International Journal of Government Auditing</t>
        </is>
      </c>
    </row>
    <row r="1043">
      <c r="A1043" t="inlineStr">
        <is>
          <t>International Journal of Green Economics</t>
        </is>
      </c>
      <c r="B1043" t="inlineStr">
        <is>
          <t>C</t>
        </is>
      </c>
      <c r="C1043" t="n">
        <v>3899</v>
      </c>
      <c r="D1043" t="inlineStr">
        <is>
          <t>Inderscience Enterprises Ltd.</t>
        </is>
      </c>
    </row>
    <row r="1044">
      <c r="A1044" t="inlineStr">
        <is>
          <t>International Journal of Health Care Quality Assurance</t>
        </is>
      </c>
      <c r="B1044" t="inlineStr">
        <is>
          <t>C</t>
        </is>
      </c>
      <c r="C1044" t="n">
        <v>3599</v>
      </c>
      <c r="D1044" t="inlineStr">
        <is>
          <t>Emerald Group Publishing Limited</t>
        </is>
      </c>
    </row>
    <row r="1045">
      <c r="A1045" t="inlineStr">
        <is>
          <t>International Journal of Health Finance and Economics</t>
        </is>
      </c>
      <c r="B1045" t="inlineStr">
        <is>
          <t>B</t>
        </is>
      </c>
      <c r="C1045" t="n">
        <v>3801</v>
      </c>
      <c r="D1045" t="inlineStr">
        <is>
          <t>Springer International Publishing</t>
        </is>
      </c>
    </row>
    <row r="1046">
      <c r="A1046" t="inlineStr">
        <is>
          <t>International Journal of Healthcare Information Systems and Informatics</t>
        </is>
      </c>
      <c r="B1046" t="inlineStr">
        <is>
          <t>C</t>
        </is>
      </c>
      <c r="C1046" t="n">
        <v>4609</v>
      </c>
      <c r="D1046" t="inlineStr">
        <is>
          <t>IGI Global</t>
        </is>
      </c>
    </row>
    <row r="1047">
      <c r="A1047" t="inlineStr">
        <is>
          <t>International Journal of Healthcare Management</t>
        </is>
      </c>
      <c r="B1047" t="inlineStr">
        <is>
          <t>C</t>
        </is>
      </c>
      <c r="C1047" t="n">
        <v>3506</v>
      </c>
      <c r="D1047" t="inlineStr">
        <is>
          <t>Taylor &amp; Francis Online</t>
        </is>
      </c>
    </row>
    <row r="1048">
      <c r="A1048" t="inlineStr">
        <is>
          <t>International Journal of Heritage Studies</t>
        </is>
      </c>
      <c r="B1048" t="inlineStr">
        <is>
          <t>B</t>
        </is>
      </c>
      <c r="C1048" t="n">
        <v>3508</v>
      </c>
      <c r="D1048" t="inlineStr">
        <is>
          <t>Taylor &amp; Francis Online</t>
        </is>
      </c>
    </row>
    <row r="1049">
      <c r="A1049" t="inlineStr">
        <is>
          <t>International Journal of Home Economics</t>
        </is>
      </c>
      <c r="B1049" t="inlineStr">
        <is>
          <t>C</t>
        </is>
      </c>
      <c r="C1049" t="n">
        <v>3899</v>
      </c>
      <c r="D1049" t="inlineStr">
        <is>
          <t>International Federation of Home Economics</t>
        </is>
      </c>
    </row>
    <row r="1050">
      <c r="A1050" t="inlineStr">
        <is>
          <t>International Journal of Hospitality and Tourism Administration</t>
        </is>
      </c>
      <c r="B1050" t="inlineStr">
        <is>
          <t>B</t>
        </is>
      </c>
      <c r="C1050" t="n">
        <v>3508</v>
      </c>
      <c r="D1050" t="inlineStr">
        <is>
          <t>Taylor &amp; Francis Online</t>
        </is>
      </c>
    </row>
    <row r="1051">
      <c r="A1051" t="inlineStr">
        <is>
          <t>International Journal of Hospitality Management</t>
        </is>
      </c>
      <c r="B1051" t="inlineStr">
        <is>
          <t>A*</t>
        </is>
      </c>
      <c r="C1051" t="n">
        <v>3504</v>
      </c>
      <c r="D1051" t="inlineStr">
        <is>
          <t>Elsevier</t>
        </is>
      </c>
    </row>
    <row r="1052">
      <c r="A1052" t="inlineStr">
        <is>
          <t>International Journal of Housing Markets and Analysis</t>
        </is>
      </c>
      <c r="B1052" t="inlineStr">
        <is>
          <t>B</t>
        </is>
      </c>
      <c r="C1052" t="n">
        <v>3504</v>
      </c>
      <c r="D1052" t="inlineStr">
        <is>
          <t>Emerald Group Publishing</t>
        </is>
      </c>
    </row>
    <row r="1053">
      <c r="A1053" t="inlineStr">
        <is>
          <t>International Journal of Housing Policy</t>
        </is>
      </c>
      <c r="B1053" t="inlineStr">
        <is>
          <t>B</t>
        </is>
      </c>
      <c r="C1053" t="n">
        <v>3599</v>
      </c>
      <c r="D1053" t="inlineStr">
        <is>
          <t>Taylor &amp; Francis Online</t>
        </is>
      </c>
    </row>
    <row r="1054">
      <c r="A1054" t="inlineStr">
        <is>
          <t>International Journal of Human Resource Management</t>
        </is>
      </c>
      <c r="B1054" t="inlineStr">
        <is>
          <t>A</t>
        </is>
      </c>
      <c r="C1054" t="n">
        <v>3505</v>
      </c>
      <c r="D1054" t="inlineStr">
        <is>
          <t>Taylor &amp; Francis Online</t>
        </is>
      </c>
    </row>
    <row r="1055">
      <c r="A1055" t="inlineStr">
        <is>
          <t>International Journal of Human-Computer Interaction</t>
        </is>
      </c>
      <c r="B1055" t="inlineStr">
        <is>
          <t>C</t>
        </is>
      </c>
      <c r="C1055" t="n">
        <v>4609</v>
      </c>
      <c r="D1055" t="inlineStr">
        <is>
          <t>Taylor &amp; Francis Online</t>
        </is>
      </c>
    </row>
    <row r="1056">
      <c r="A1056" t="inlineStr">
        <is>
          <t>International Journal of Human-Computer Studies</t>
        </is>
      </c>
      <c r="B1056" t="inlineStr">
        <is>
          <t>B</t>
        </is>
      </c>
      <c r="C1056" t="n">
        <v>4609</v>
      </c>
      <c r="D1056" t="inlineStr">
        <is>
          <t>Elsevier</t>
        </is>
      </c>
    </row>
    <row r="1057">
      <c r="A1057" t="inlineStr">
        <is>
          <t>International Journal of Industrial Organization</t>
        </is>
      </c>
      <c r="B1057" t="inlineStr">
        <is>
          <t>A*</t>
        </is>
      </c>
      <c r="C1057" t="n">
        <v>3801</v>
      </c>
      <c r="D1057" t="inlineStr">
        <is>
          <t>Elsevier</t>
        </is>
      </c>
    </row>
    <row r="1058">
      <c r="A1058" t="inlineStr">
        <is>
          <t>International Journal of Information and Communication Technology Education</t>
        </is>
      </c>
      <c r="B1058" t="inlineStr">
        <is>
          <t>C</t>
        </is>
      </c>
      <c r="C1058" t="n">
        <v>4609</v>
      </c>
      <c r="D1058" t="inlineStr">
        <is>
          <t>IGI Global</t>
        </is>
      </c>
    </row>
    <row r="1059">
      <c r="A1059" t="inlineStr">
        <is>
          <t>International Journal of Information and Learning Technology</t>
        </is>
      </c>
      <c r="B1059" t="inlineStr">
        <is>
          <t>C</t>
        </is>
      </c>
      <c r="C1059" t="n">
        <v>4609</v>
      </c>
      <c r="D1059" t="inlineStr">
        <is>
          <t>Emerald Group Publishing</t>
        </is>
      </c>
    </row>
    <row r="1060">
      <c r="A1060" t="inlineStr">
        <is>
          <t>International Journal of Information Management</t>
        </is>
      </c>
      <c r="B1060" t="inlineStr">
        <is>
          <t>A</t>
        </is>
      </c>
      <c r="C1060" t="n">
        <v>4609</v>
      </c>
      <c r="D1060" t="inlineStr">
        <is>
          <t>Elsevier</t>
        </is>
      </c>
    </row>
    <row r="1061">
      <c r="A1061" t="inlineStr">
        <is>
          <t>International Journal of Information Security and Privacy</t>
        </is>
      </c>
      <c r="B1061" t="inlineStr">
        <is>
          <t>C</t>
        </is>
      </c>
      <c r="C1061" t="n">
        <v>4609</v>
      </c>
      <c r="D1061" t="inlineStr">
        <is>
          <t>IGI Global</t>
        </is>
      </c>
    </row>
    <row r="1062">
      <c r="A1062" t="inlineStr">
        <is>
          <t>International Journal of Information Systems and Change Management</t>
        </is>
      </c>
      <c r="B1062" t="inlineStr">
        <is>
          <t>C</t>
        </is>
      </c>
      <c r="C1062" t="n">
        <v>4609</v>
      </c>
      <c r="D1062" t="inlineStr">
        <is>
          <t>Inderscience Enterprises Ltd.</t>
        </is>
      </c>
    </row>
    <row r="1063">
      <c r="A1063" t="inlineStr">
        <is>
          <t>International Journal of Information Systems and Supply Chain Management</t>
        </is>
      </c>
      <c r="B1063" t="inlineStr">
        <is>
          <t>C</t>
        </is>
      </c>
      <c r="C1063" t="n">
        <v>4609</v>
      </c>
      <c r="D1063" t="inlineStr">
        <is>
          <t>IGI Global</t>
        </is>
      </c>
    </row>
    <row r="1064">
      <c r="A1064" t="inlineStr">
        <is>
          <t>International Journal of Information Technology and Decision Making</t>
        </is>
      </c>
      <c r="B1064" t="inlineStr">
        <is>
          <t>C</t>
        </is>
      </c>
      <c r="C1064" t="n">
        <v>4609</v>
      </c>
      <c r="D1064" t="inlineStr">
        <is>
          <t>World Scientific</t>
        </is>
      </c>
    </row>
    <row r="1065">
      <c r="A1065" t="inlineStr">
        <is>
          <t>International Journal of Information Technology and Web Engineering</t>
        </is>
      </c>
      <c r="B1065" t="inlineStr">
        <is>
          <t>C</t>
        </is>
      </c>
      <c r="C1065" t="n">
        <v>4609</v>
      </c>
      <c r="D1065" t="inlineStr">
        <is>
          <t>IGI Global</t>
        </is>
      </c>
    </row>
    <row r="1066">
      <c r="A1066" t="inlineStr">
        <is>
          <t>International Journal of Innovation Science</t>
        </is>
      </c>
      <c r="B1066" t="inlineStr">
        <is>
          <t>B</t>
        </is>
      </c>
      <c r="C1066" t="n">
        <v>3507</v>
      </c>
      <c r="D1066" t="inlineStr">
        <is>
          <t>Emerald Publishing</t>
        </is>
      </c>
    </row>
    <row r="1067">
      <c r="A1067" t="inlineStr">
        <is>
          <t>International Journal of Innovation Studies</t>
        </is>
      </c>
      <c r="B1067" t="inlineStr">
        <is>
          <t>B</t>
        </is>
      </c>
      <c r="C1067" t="n">
        <v>3507</v>
      </c>
      <c r="D1067" t="inlineStr">
        <is>
          <t>KeAI Publishing</t>
        </is>
      </c>
    </row>
    <row r="1068">
      <c r="A1068" t="inlineStr">
        <is>
          <t>International Journal of Intellectual Property Management</t>
        </is>
      </c>
      <c r="B1068" t="inlineStr">
        <is>
          <t>C</t>
        </is>
      </c>
      <c r="C1068" t="n">
        <v>3801</v>
      </c>
      <c r="D1068" t="inlineStr">
        <is>
          <t>Inderscience Enterprises Ltd.</t>
        </is>
      </c>
    </row>
    <row r="1069">
      <c r="A1069" t="inlineStr">
        <is>
          <t>International Journal of Intelligent Information Technologies</t>
        </is>
      </c>
      <c r="B1069" t="inlineStr">
        <is>
          <t>C</t>
        </is>
      </c>
      <c r="C1069" t="n">
        <v>4609</v>
      </c>
      <c r="D1069" t="inlineStr">
        <is>
          <t>IGI Global</t>
        </is>
      </c>
    </row>
    <row r="1070">
      <c r="A1070" t="inlineStr">
        <is>
          <t>International Journal of Intercultural Relations</t>
        </is>
      </c>
      <c r="B1070" t="inlineStr">
        <is>
          <t>B</t>
        </is>
      </c>
      <c r="C1070" t="n">
        <v>3507</v>
      </c>
      <c r="D1070" t="inlineStr">
        <is>
          <t>Elsevier</t>
        </is>
      </c>
    </row>
    <row r="1071">
      <c r="A1071" t="inlineStr">
        <is>
          <t>International Journal of Internet and Enterprise Management</t>
        </is>
      </c>
      <c r="B1071" t="inlineStr">
        <is>
          <t>C</t>
        </is>
      </c>
      <c r="C1071" t="n">
        <v>4609</v>
      </c>
      <c r="D1071" t="inlineStr">
        <is>
          <t>Inderscience Enterprises Ltd.</t>
        </is>
      </c>
    </row>
    <row r="1072">
      <c r="A1072" t="inlineStr">
        <is>
          <t>International Journal of Internet Marketing and Advertising</t>
        </is>
      </c>
      <c r="B1072" t="inlineStr">
        <is>
          <t>C</t>
        </is>
      </c>
      <c r="C1072" t="n">
        <v>3506</v>
      </c>
      <c r="D1072" t="inlineStr">
        <is>
          <t>Inderscience Enterprises Ltd.</t>
        </is>
      </c>
    </row>
    <row r="1073">
      <c r="A1073" t="inlineStr">
        <is>
          <t>International Journal of Islamic and Middle Eastern Finance and Management</t>
        </is>
      </c>
      <c r="B1073" t="inlineStr">
        <is>
          <t>B</t>
        </is>
      </c>
      <c r="C1073" t="n">
        <v>3502</v>
      </c>
      <c r="D1073" t="inlineStr">
        <is>
          <t>Emerald Group Publishing Limited</t>
        </is>
      </c>
    </row>
    <row r="1074">
      <c r="A1074" t="inlineStr">
        <is>
          <t>International Journal of Knowledge and Learning</t>
        </is>
      </c>
      <c r="B1074" t="inlineStr">
        <is>
          <t>C</t>
        </is>
      </c>
      <c r="C1074" t="n">
        <v>4609</v>
      </c>
      <c r="D1074" t="inlineStr">
        <is>
          <t>Inderscience Enterprises Ltd</t>
        </is>
      </c>
    </row>
    <row r="1075">
      <c r="A1075" t="inlineStr">
        <is>
          <t>International Journal of Knowledge Management</t>
        </is>
      </c>
      <c r="B1075" t="inlineStr">
        <is>
          <t>B</t>
        </is>
      </c>
      <c r="C1075" t="n">
        <v>4609</v>
      </c>
      <c r="D1075" t="inlineStr">
        <is>
          <t>IGI Global</t>
        </is>
      </c>
    </row>
    <row r="1076">
      <c r="A1076" t="inlineStr">
        <is>
          <t>International Journal of Knowledge Management Studies</t>
        </is>
      </c>
      <c r="B1076" t="inlineStr">
        <is>
          <t>C</t>
        </is>
      </c>
      <c r="C1076" t="n">
        <v>4609</v>
      </c>
      <c r="D1076" t="inlineStr">
        <is>
          <t>Inderscience Enterprises Ltd.</t>
        </is>
      </c>
    </row>
    <row r="1077">
      <c r="A1077" t="inlineStr">
        <is>
          <t>International Journal of Knowledge, Culture and Change Management</t>
        </is>
      </c>
      <c r="B1077" t="inlineStr">
        <is>
          <t>C</t>
        </is>
      </c>
      <c r="C1077" t="n">
        <v>3507</v>
      </c>
      <c r="D1077" t="inlineStr">
        <is>
          <t>Common Ground Publishing Pty Ltd</t>
        </is>
      </c>
    </row>
    <row r="1078">
      <c r="A1078" t="inlineStr">
        <is>
          <t>International Journal of Law and Information Technology</t>
        </is>
      </c>
      <c r="B1078" t="inlineStr">
        <is>
          <t>A</t>
        </is>
      </c>
      <c r="C1078" t="n">
        <v>4801</v>
      </c>
      <c r="D1078" t="inlineStr">
        <is>
          <t>Oxford University Press</t>
        </is>
      </c>
    </row>
    <row r="1079">
      <c r="A1079" t="inlineStr">
        <is>
          <t>International Journal of Law and Management</t>
        </is>
      </c>
      <c r="B1079" t="inlineStr">
        <is>
          <t>C</t>
        </is>
      </c>
      <c r="C1079" t="n">
        <v>3507</v>
      </c>
      <c r="D1079" t="inlineStr">
        <is>
          <t>Emerald Group Publishing</t>
        </is>
      </c>
    </row>
    <row r="1080">
      <c r="A1080" t="inlineStr">
        <is>
          <t>International Journal of Lean Six Sigma</t>
        </is>
      </c>
      <c r="B1080" t="inlineStr">
        <is>
          <t>B</t>
        </is>
      </c>
      <c r="C1080" t="n">
        <v>3507</v>
      </c>
      <c r="D1080" t="inlineStr">
        <is>
          <t>Emerald Group Publishing</t>
        </is>
      </c>
    </row>
    <row r="1081">
      <c r="A1081" t="inlineStr">
        <is>
          <t>International Journal of Logistics Economics and Globalisation</t>
        </is>
      </c>
      <c r="B1081" t="inlineStr">
        <is>
          <t>C</t>
        </is>
      </c>
      <c r="C1081" t="n">
        <v>3801</v>
      </c>
      <c r="D1081" t="inlineStr">
        <is>
          <t>Inderscience Enterprises Ltd.</t>
        </is>
      </c>
    </row>
    <row r="1082">
      <c r="A1082" t="inlineStr">
        <is>
          <t>International Journal of Logistics: research and applications</t>
        </is>
      </c>
      <c r="B1082" t="inlineStr">
        <is>
          <t>B</t>
        </is>
      </c>
      <c r="C1082" t="n">
        <v>3509</v>
      </c>
      <c r="D1082" t="inlineStr">
        <is>
          <t>Taylor &amp; Francis Online</t>
        </is>
      </c>
    </row>
    <row r="1083">
      <c r="A1083" t="inlineStr">
        <is>
          <t>International Journal of Management</t>
        </is>
      </c>
      <c r="B1083" t="inlineStr">
        <is>
          <t>C</t>
        </is>
      </c>
      <c r="C1083" t="n">
        <v>3507</v>
      </c>
      <c r="D1083" t="inlineStr">
        <is>
          <t>International Journal of Management</t>
        </is>
      </c>
    </row>
    <row r="1084">
      <c r="A1084" t="inlineStr">
        <is>
          <t>International Journal of Management and Network Economics</t>
        </is>
      </c>
      <c r="B1084" t="inlineStr">
        <is>
          <t>C</t>
        </is>
      </c>
      <c r="C1084" t="n">
        <v>3899</v>
      </c>
      <c r="D1084" t="inlineStr">
        <is>
          <t>Inderscience Enterprises Ltd.</t>
        </is>
      </c>
    </row>
    <row r="1085">
      <c r="A1085" t="inlineStr">
        <is>
          <t>International Journal of Management Reviews</t>
        </is>
      </c>
      <c r="B1085" t="inlineStr">
        <is>
          <t>A*</t>
        </is>
      </c>
      <c r="C1085" t="n">
        <v>3507</v>
      </c>
      <c r="D1085" t="inlineStr">
        <is>
          <t>Wiley-Blackwell Publishing</t>
        </is>
      </c>
    </row>
    <row r="1086">
      <c r="A1086" t="inlineStr">
        <is>
          <t>International Journal of Management Science and Engineering Management</t>
        </is>
      </c>
      <c r="B1086" t="inlineStr">
        <is>
          <t>C</t>
        </is>
      </c>
      <c r="C1086" t="n">
        <v>3509</v>
      </c>
      <c r="D1086" t="inlineStr">
        <is>
          <t>Taylor &amp; Francis</t>
        </is>
      </c>
    </row>
    <row r="1087">
      <c r="A1087" t="inlineStr">
        <is>
          <t>International Journal of Managerial and Financial Accounting</t>
        </is>
      </c>
      <c r="B1087" t="inlineStr">
        <is>
          <t>B</t>
        </is>
      </c>
      <c r="C1087" t="n">
        <v>3501</v>
      </c>
      <c r="D1087" t="inlineStr">
        <is>
          <t>Inderscience Enterprises Ltd.</t>
        </is>
      </c>
    </row>
    <row r="1088">
      <c r="A1088" t="inlineStr">
        <is>
          <t>International Journal of Managerial Finance</t>
        </is>
      </c>
      <c r="B1088" t="inlineStr">
        <is>
          <t>A</t>
        </is>
      </c>
      <c r="C1088" t="n">
        <v>3502</v>
      </c>
      <c r="D1088" t="inlineStr">
        <is>
          <t>Emerald Group Publishing</t>
        </is>
      </c>
    </row>
    <row r="1089">
      <c r="A1089" t="inlineStr">
        <is>
          <t>International Journal of Managing Projects in Business</t>
        </is>
      </c>
      <c r="B1089" t="inlineStr">
        <is>
          <t>C</t>
        </is>
      </c>
      <c r="C1089" t="n">
        <v>3503</v>
      </c>
      <c r="D1089" t="inlineStr">
        <is>
          <t>Emerald Group Publishing</t>
        </is>
      </c>
    </row>
    <row r="1090">
      <c r="A1090" t="inlineStr">
        <is>
          <t>International Journal of Manpower</t>
        </is>
      </c>
      <c r="B1090" t="inlineStr">
        <is>
          <t>A</t>
        </is>
      </c>
      <c r="C1090" t="n">
        <v>3505</v>
      </c>
      <c r="D1090" t="inlineStr">
        <is>
          <t>Emerald Group Publishing</t>
        </is>
      </c>
    </row>
    <row r="1091">
      <c r="A1091" t="inlineStr">
        <is>
          <t>International Journal of Market Research</t>
        </is>
      </c>
      <c r="B1091" t="inlineStr">
        <is>
          <t>A</t>
        </is>
      </c>
      <c r="C1091" t="n">
        <v>3506</v>
      </c>
      <c r="D1091" t="inlineStr">
        <is>
          <t>Sage Publications</t>
        </is>
      </c>
    </row>
    <row r="1092">
      <c r="A1092" t="inlineStr">
        <is>
          <t>International Journal of Monetary Economics and Finance</t>
        </is>
      </c>
      <c r="B1092" t="inlineStr">
        <is>
          <t>C</t>
        </is>
      </c>
      <c r="C1092" t="n">
        <v>3801</v>
      </c>
      <c r="D1092" t="inlineStr">
        <is>
          <t>Inderscience Enterprises Ltd.</t>
        </is>
      </c>
    </row>
    <row r="1093">
      <c r="A1093" t="inlineStr">
        <is>
          <t>International Journal of Operations &amp; Production Management</t>
        </is>
      </c>
      <c r="B1093" t="inlineStr">
        <is>
          <t>A</t>
        </is>
      </c>
      <c r="C1093" t="n">
        <v>3507</v>
      </c>
      <c r="D1093" t="inlineStr">
        <is>
          <t>Emerald Group Publishing</t>
        </is>
      </c>
    </row>
    <row r="1094">
      <c r="A1094" t="inlineStr">
        <is>
          <t>International Journal of Operations and Quantitative Management</t>
        </is>
      </c>
      <c r="B1094" t="inlineStr">
        <is>
          <t>C</t>
        </is>
      </c>
      <c r="C1094" t="n">
        <v>3509</v>
      </c>
      <c r="D1094" t="inlineStr">
        <is>
          <t>International Forum of Management Scholars</t>
        </is>
      </c>
    </row>
    <row r="1095">
      <c r="A1095" t="inlineStr">
        <is>
          <t>International Journal of Organization Theory &amp; Behavior</t>
        </is>
      </c>
      <c r="B1095" t="inlineStr">
        <is>
          <t>C</t>
        </is>
      </c>
      <c r="C1095" t="n">
        <v>3507</v>
      </c>
      <c r="D1095" t="inlineStr">
        <is>
          <t>Emerald Publishing</t>
        </is>
      </c>
    </row>
    <row r="1096">
      <c r="A1096" t="inlineStr">
        <is>
          <t>International Journal of Organizational Analysis</t>
        </is>
      </c>
      <c r="B1096" t="inlineStr">
        <is>
          <t>B</t>
        </is>
      </c>
      <c r="C1096" t="n">
        <v>3507</v>
      </c>
      <c r="D1096" t="inlineStr">
        <is>
          <t>Emerald Group Publishing</t>
        </is>
      </c>
    </row>
    <row r="1097">
      <c r="A1097" t="inlineStr">
        <is>
          <t>International Journal of Pharmaceutical and Healthcare Marketing</t>
        </is>
      </c>
      <c r="B1097" t="inlineStr">
        <is>
          <t>C</t>
        </is>
      </c>
      <c r="C1097" t="n">
        <v>3506</v>
      </c>
      <c r="D1097" t="inlineStr">
        <is>
          <t>Emerald Group Publishing</t>
        </is>
      </c>
    </row>
    <row r="1098">
      <c r="A1098" t="inlineStr">
        <is>
          <t>International Journal of Physical Distribution &amp; Logistics Management</t>
        </is>
      </c>
      <c r="B1098" t="inlineStr">
        <is>
          <t>A</t>
        </is>
      </c>
      <c r="C1098" t="n">
        <v>3509</v>
      </c>
      <c r="D1098" t="inlineStr">
        <is>
          <t>Emerald Group Publishing</t>
        </is>
      </c>
    </row>
    <row r="1099">
      <c r="A1099" t="inlineStr">
        <is>
          <t>International Journal of Political Economy</t>
        </is>
      </c>
      <c r="B1099" t="inlineStr">
        <is>
          <t>C</t>
        </is>
      </c>
      <c r="C1099" t="n">
        <v>3899</v>
      </c>
      <c r="D1099" t="inlineStr">
        <is>
          <t>Taylor &amp; Francis Online</t>
        </is>
      </c>
    </row>
    <row r="1100">
      <c r="A1100" t="inlineStr">
        <is>
          <t>International Journal of Portfolio Analysis and Management</t>
        </is>
      </c>
      <c r="B1100" t="inlineStr">
        <is>
          <t>B</t>
        </is>
      </c>
      <c r="C1100" t="n">
        <v>3502</v>
      </c>
      <c r="D1100" t="inlineStr">
        <is>
          <t>Inderscience Enterprises Ltd.</t>
        </is>
      </c>
    </row>
    <row r="1101">
      <c r="A1101" t="inlineStr">
        <is>
          <t>International Journal of Production Economics</t>
        </is>
      </c>
      <c r="B1101" t="inlineStr">
        <is>
          <t>A</t>
        </is>
      </c>
      <c r="C1101" t="n">
        <v>3507</v>
      </c>
      <c r="D1101" t="inlineStr">
        <is>
          <t>Elsevier</t>
        </is>
      </c>
    </row>
    <row r="1102">
      <c r="A1102" t="inlineStr">
        <is>
          <t>International Journal of Production Research</t>
        </is>
      </c>
      <c r="B1102" t="inlineStr">
        <is>
          <t>A</t>
        </is>
      </c>
      <c r="C1102" t="n">
        <v>3507</v>
      </c>
      <c r="D1102" t="inlineStr">
        <is>
          <t>Taylor &amp; Francis Online</t>
        </is>
      </c>
    </row>
    <row r="1103">
      <c r="A1103" t="inlineStr">
        <is>
          <t>International Journal of Productivity and Performance Management</t>
        </is>
      </c>
      <c r="B1103" t="inlineStr">
        <is>
          <t>B</t>
        </is>
      </c>
      <c r="C1103" t="n">
        <v>3505</v>
      </c>
      <c r="D1103" t="inlineStr">
        <is>
          <t>Emerald Group Publishing</t>
        </is>
      </c>
    </row>
    <row r="1104">
      <c r="A1104" t="inlineStr">
        <is>
          <t>International Journal of Project Management</t>
        </is>
      </c>
      <c r="B1104" t="inlineStr">
        <is>
          <t>A*</t>
        </is>
      </c>
      <c r="C1104" t="n">
        <v>3507</v>
      </c>
      <c r="D1104" t="inlineStr">
        <is>
          <t>Elsevier</t>
        </is>
      </c>
    </row>
    <row r="1105">
      <c r="A1105" t="inlineStr">
        <is>
          <t>International Journal of Public Administration</t>
        </is>
      </c>
      <c r="B1105" t="inlineStr">
        <is>
          <t>B</t>
        </is>
      </c>
      <c r="C1105" t="n">
        <v>3507</v>
      </c>
      <c r="D1105" t="inlineStr">
        <is>
          <t>Taylor &amp; Francis Online</t>
        </is>
      </c>
    </row>
    <row r="1106">
      <c r="A1106" t="inlineStr">
        <is>
          <t>International Journal of Public Opinion Research</t>
        </is>
      </c>
      <c r="B1106" t="inlineStr">
        <is>
          <t>A</t>
        </is>
      </c>
      <c r="C1106" t="n">
        <v>3506</v>
      </c>
      <c r="D1106" t="inlineStr">
        <is>
          <t>Oxford University Press</t>
        </is>
      </c>
    </row>
    <row r="1107">
      <c r="A1107" t="inlineStr">
        <is>
          <t>International Journal of Public Sector Management</t>
        </is>
      </c>
      <c r="B1107" t="inlineStr">
        <is>
          <t>B</t>
        </is>
      </c>
      <c r="C1107" t="n">
        <v>3507</v>
      </c>
      <c r="D1107" t="inlineStr">
        <is>
          <t>Emerald Group Publishing</t>
        </is>
      </c>
    </row>
    <row r="1108">
      <c r="A1108" t="inlineStr">
        <is>
          <t>International Journal of Quality &amp; Reliability Management</t>
        </is>
      </c>
      <c r="B1108" t="inlineStr">
        <is>
          <t>B</t>
        </is>
      </c>
      <c r="C1108" t="n">
        <v>3507</v>
      </c>
      <c r="D1108" t="inlineStr">
        <is>
          <t>Emerald Group Publishing</t>
        </is>
      </c>
    </row>
    <row r="1109">
      <c r="A1109" t="inlineStr">
        <is>
          <t>International Journal of Quality and Service Sciences</t>
        </is>
      </c>
      <c r="B1109" t="inlineStr">
        <is>
          <t>B</t>
        </is>
      </c>
      <c r="C1109" t="n">
        <v>3506</v>
      </c>
      <c r="D1109" t="inlineStr">
        <is>
          <t>Emerald Group Publishing Limited</t>
        </is>
      </c>
    </row>
    <row r="1110">
      <c r="A1110" t="inlineStr">
        <is>
          <t>International Journal of Research in Marketing</t>
        </is>
      </c>
      <c r="B1110" t="inlineStr">
        <is>
          <t>A*</t>
        </is>
      </c>
      <c r="C1110" t="n">
        <v>3506</v>
      </c>
      <c r="D1110" t="inlineStr">
        <is>
          <t>Elsevier</t>
        </is>
      </c>
    </row>
    <row r="1111">
      <c r="A1111" t="inlineStr">
        <is>
          <t>International Journal of Retail &amp; Distribution Management</t>
        </is>
      </c>
      <c r="B1111" t="inlineStr">
        <is>
          <t>A</t>
        </is>
      </c>
      <c r="C1111" t="n">
        <v>3506</v>
      </c>
      <c r="D1111" t="inlineStr">
        <is>
          <t>Emerald Group Publishing</t>
        </is>
      </c>
    </row>
    <row r="1112">
      <c r="A1112" t="inlineStr">
        <is>
          <t>International Journal of Revenue Management</t>
        </is>
      </c>
      <c r="B1112" t="inlineStr">
        <is>
          <t>C</t>
        </is>
      </c>
      <c r="C1112" t="n">
        <v>3502</v>
      </c>
      <c r="D1112" t="inlineStr">
        <is>
          <t>Inderscience Enterprises Ltd.</t>
        </is>
      </c>
    </row>
    <row r="1113">
      <c r="A1113" t="inlineStr">
        <is>
          <t>International Journal of Risk Assessment and Management</t>
        </is>
      </c>
      <c r="B1113" t="inlineStr">
        <is>
          <t>C</t>
        </is>
      </c>
      <c r="C1113" t="n">
        <v>3502</v>
      </c>
      <c r="D1113" t="inlineStr">
        <is>
          <t>Inderscience Enterprises Ltd</t>
        </is>
      </c>
    </row>
    <row r="1114">
      <c r="A1114" t="inlineStr">
        <is>
          <t>International Journal of Selection and Assessment</t>
        </is>
      </c>
      <c r="B1114" t="inlineStr">
        <is>
          <t>A</t>
        </is>
      </c>
      <c r="C1114" t="n">
        <v>3505</v>
      </c>
      <c r="D1114" t="inlineStr">
        <is>
          <t>Wiley-Blackwell Publishing</t>
        </is>
      </c>
    </row>
    <row r="1115">
      <c r="A1115" t="inlineStr">
        <is>
          <t>International Journal of Small and Medium Enterprises</t>
        </is>
      </c>
      <c r="B1115" t="inlineStr">
        <is>
          <t>C</t>
        </is>
      </c>
      <c r="C1115" t="n">
        <v>3507</v>
      </c>
      <c r="D1115" t="inlineStr"/>
    </row>
    <row r="1116">
      <c r="A1116" t="inlineStr">
        <is>
          <t>International Journal of Social and Humanistic Computing</t>
        </is>
      </c>
      <c r="B1116" t="inlineStr">
        <is>
          <t>C</t>
        </is>
      </c>
      <c r="C1116" t="n">
        <v>4609</v>
      </c>
      <c r="D1116" t="inlineStr">
        <is>
          <t>Inderscience Enterprises Ltd.</t>
        </is>
      </c>
    </row>
    <row r="1117">
      <c r="A1117" t="inlineStr">
        <is>
          <t>International Journal of Social Economics</t>
        </is>
      </c>
      <c r="B1117" t="inlineStr">
        <is>
          <t>B</t>
        </is>
      </c>
      <c r="C1117" t="n">
        <v>3899</v>
      </c>
      <c r="D1117" t="inlineStr">
        <is>
          <t>Emerald Group Publishing</t>
        </is>
      </c>
    </row>
    <row r="1118">
      <c r="A1118" t="inlineStr">
        <is>
          <t>International Journal of Social Research Methodology</t>
        </is>
      </c>
      <c r="B1118" t="inlineStr">
        <is>
          <t>B</t>
        </is>
      </c>
      <c r="C1118" t="n">
        <v>3507</v>
      </c>
      <c r="D1118" t="inlineStr">
        <is>
          <t>Taylor &amp; Francis Online</t>
        </is>
      </c>
    </row>
    <row r="1119">
      <c r="A1119" t="inlineStr">
        <is>
          <t>International Journal of Sociology and Social Policy</t>
        </is>
      </c>
      <c r="B1119" t="inlineStr">
        <is>
          <t>B</t>
        </is>
      </c>
      <c r="C1119" t="n">
        <v>3507</v>
      </c>
      <c r="D1119" t="inlineStr">
        <is>
          <t>Emerald Group Publishing</t>
        </is>
      </c>
    </row>
    <row r="1120">
      <c r="A1120" t="inlineStr">
        <is>
          <t>International Journal of Spa and Wellness</t>
        </is>
      </c>
      <c r="B1120" t="inlineStr">
        <is>
          <t>C</t>
        </is>
      </c>
      <c r="C1120" t="n">
        <v>3508</v>
      </c>
      <c r="D1120" t="inlineStr">
        <is>
          <t>Taylor &amp; Francis Online</t>
        </is>
      </c>
    </row>
    <row r="1121">
      <c r="A1121" t="inlineStr">
        <is>
          <t>International Journal of Sport Communication</t>
        </is>
      </c>
      <c r="B1121" t="inlineStr">
        <is>
          <t>B</t>
        </is>
      </c>
      <c r="C1121" t="n">
        <v>3504</v>
      </c>
      <c r="D1121" t="inlineStr">
        <is>
          <t>Human Kinetics Publishers, Inc.</t>
        </is>
      </c>
    </row>
    <row r="1122">
      <c r="A1122" t="inlineStr">
        <is>
          <t>International Journal of Sport Finance</t>
        </is>
      </c>
      <c r="B1122" t="inlineStr">
        <is>
          <t>C</t>
        </is>
      </c>
      <c r="C1122" t="n">
        <v>3504</v>
      </c>
      <c r="D1122" t="inlineStr">
        <is>
          <t>Sage Publications</t>
        </is>
      </c>
    </row>
    <row r="1123">
      <c r="A1123" t="inlineStr">
        <is>
          <t>International Journal of Sport Management</t>
        </is>
      </c>
      <c r="B1123" t="inlineStr">
        <is>
          <t>B</t>
        </is>
      </c>
      <c r="C1123" t="n">
        <v>3504</v>
      </c>
      <c r="D1123" t="inlineStr">
        <is>
          <t>American Press, Boston</t>
        </is>
      </c>
    </row>
    <row r="1124">
      <c r="A1124" t="inlineStr">
        <is>
          <t>International Journal of Sport Policy and Politics</t>
        </is>
      </c>
      <c r="B1124" t="inlineStr">
        <is>
          <t>C</t>
        </is>
      </c>
      <c r="C1124" t="n">
        <v>3504</v>
      </c>
      <c r="D1124" t="inlineStr">
        <is>
          <t>Taylor &amp; Francis Online</t>
        </is>
      </c>
    </row>
    <row r="1125">
      <c r="A1125" t="inlineStr">
        <is>
          <t>International Journal of Sport Psychology</t>
        </is>
      </c>
      <c r="B1125" t="inlineStr">
        <is>
          <t>B</t>
        </is>
      </c>
      <c r="C1125" t="n">
        <v>3504</v>
      </c>
      <c r="D1125" t="inlineStr">
        <is>
          <t>Edizioni Luigi Pozzi, Rome</t>
        </is>
      </c>
    </row>
    <row r="1126">
      <c r="A1126" t="inlineStr">
        <is>
          <t>International Journal of Sports Management and Marketing</t>
        </is>
      </c>
      <c r="B1126" t="inlineStr">
        <is>
          <t>B</t>
        </is>
      </c>
      <c r="C1126" t="n">
        <v>3506</v>
      </c>
      <c r="D1126" t="inlineStr">
        <is>
          <t>Inderscience Enterprises Ltd.</t>
        </is>
      </c>
    </row>
    <row r="1127">
      <c r="A1127" t="inlineStr">
        <is>
          <t>International Journal of Sports Marketing and Sponsorship</t>
        </is>
      </c>
      <c r="B1127" t="inlineStr">
        <is>
          <t>B</t>
        </is>
      </c>
      <c r="C1127" t="n">
        <v>3506</v>
      </c>
      <c r="D1127" t="inlineStr">
        <is>
          <t>Emerald Group Publishing</t>
        </is>
      </c>
    </row>
    <row r="1128">
      <c r="A1128" t="inlineStr">
        <is>
          <t>International Journal of Stochastic Analysis</t>
        </is>
      </c>
      <c r="B1128" t="inlineStr">
        <is>
          <t>B</t>
        </is>
      </c>
      <c r="C1128" t="n">
        <v>4905</v>
      </c>
      <c r="D1128" t="inlineStr"/>
    </row>
    <row r="1129">
      <c r="A1129" t="inlineStr">
        <is>
          <t>International Journal of Strategic Communication</t>
        </is>
      </c>
      <c r="B1129" t="inlineStr">
        <is>
          <t>B</t>
        </is>
      </c>
      <c r="C1129" t="n">
        <v>3506</v>
      </c>
      <c r="D1129" t="inlineStr">
        <is>
          <t>Taylor &amp; Francis Online</t>
        </is>
      </c>
    </row>
    <row r="1130">
      <c r="A1130" t="inlineStr">
        <is>
          <t>International Journal of Strategic Property Management</t>
        </is>
      </c>
      <c r="B1130" t="inlineStr">
        <is>
          <t>B</t>
        </is>
      </c>
      <c r="C1130" t="n">
        <v>3504</v>
      </c>
      <c r="D1130" t="inlineStr">
        <is>
          <t>Vilnius Gediminas Technical University</t>
        </is>
      </c>
    </row>
    <row r="1131">
      <c r="A1131" t="inlineStr">
        <is>
          <t>International Journal of Stress Management</t>
        </is>
      </c>
      <c r="B1131" t="inlineStr">
        <is>
          <t>A</t>
        </is>
      </c>
      <c r="C1131" t="n">
        <v>3507</v>
      </c>
      <c r="D1131" t="inlineStr">
        <is>
          <t>American Psychological Association</t>
        </is>
      </c>
    </row>
    <row r="1132">
      <c r="A1132" t="inlineStr">
        <is>
          <t>International Journal of Sustainable Design</t>
        </is>
      </c>
      <c r="B1132" t="inlineStr">
        <is>
          <t>C</t>
        </is>
      </c>
      <c r="C1132" t="n">
        <v>3506</v>
      </c>
      <c r="D1132" t="inlineStr">
        <is>
          <t>Inderscience Enterprises Ltd.</t>
        </is>
      </c>
    </row>
    <row r="1133">
      <c r="A1133" t="inlineStr">
        <is>
          <t>International Journal of Sustainable Economy</t>
        </is>
      </c>
      <c r="B1133" t="inlineStr">
        <is>
          <t>C</t>
        </is>
      </c>
      <c r="C1133" t="n">
        <v>3801</v>
      </c>
      <c r="D1133" t="inlineStr">
        <is>
          <t>Inderscience Enterprises Ltd.</t>
        </is>
      </c>
    </row>
    <row r="1134">
      <c r="A1134" t="inlineStr">
        <is>
          <t>International Journal of Sustainable Transportation</t>
        </is>
      </c>
      <c r="B1134" t="inlineStr">
        <is>
          <t>B</t>
        </is>
      </c>
      <c r="C1134" t="n">
        <v>3509</v>
      </c>
      <c r="D1134" t="inlineStr">
        <is>
          <t>Taylor &amp; Francis Online</t>
        </is>
      </c>
    </row>
    <row r="1135">
      <c r="A1135" t="inlineStr">
        <is>
          <t>International Journal of Systems Science: Operations and Logistics</t>
        </is>
      </c>
      <c r="B1135" t="inlineStr">
        <is>
          <t>C</t>
        </is>
      </c>
      <c r="C1135" t="n">
        <v>3509</v>
      </c>
      <c r="D1135" t="inlineStr">
        <is>
          <t>Taylor &amp; Francis</t>
        </is>
      </c>
    </row>
    <row r="1136">
      <c r="A1136" t="inlineStr">
        <is>
          <t>International Journal of Technology and Human Interaction</t>
        </is>
      </c>
      <c r="B1136" t="inlineStr">
        <is>
          <t>C</t>
        </is>
      </c>
      <c r="C1136" t="n">
        <v>4609</v>
      </c>
      <c r="D1136" t="inlineStr">
        <is>
          <t>IGI Global</t>
        </is>
      </c>
    </row>
    <row r="1137">
      <c r="A1137" t="inlineStr">
        <is>
          <t>International Journal of Technology Management</t>
        </is>
      </c>
      <c r="B1137" t="inlineStr">
        <is>
          <t>B</t>
        </is>
      </c>
      <c r="C1137" t="n">
        <v>3503</v>
      </c>
      <c r="D1137" t="inlineStr">
        <is>
          <t>Inderscience Enterprises Ltd.</t>
        </is>
      </c>
    </row>
    <row r="1138">
      <c r="A1138" t="inlineStr">
        <is>
          <t>International Journal of Technology Management and Sustainable Development</t>
        </is>
      </c>
      <c r="B1138" t="inlineStr">
        <is>
          <t>C</t>
        </is>
      </c>
      <c r="C1138" t="n">
        <v>3506</v>
      </c>
      <c r="D1138" t="inlineStr">
        <is>
          <t>Intellect</t>
        </is>
      </c>
    </row>
    <row r="1139">
      <c r="A1139" t="inlineStr">
        <is>
          <t>International Journal of Technology Marketing</t>
        </is>
      </c>
      <c r="B1139" t="inlineStr">
        <is>
          <t>C</t>
        </is>
      </c>
      <c r="C1139" t="n">
        <v>3506</v>
      </c>
      <c r="D1139" t="inlineStr">
        <is>
          <t>Inderscience Enterprises Ltd.</t>
        </is>
      </c>
    </row>
    <row r="1140">
      <c r="A1140" t="inlineStr">
        <is>
          <t>International Journal of Technology, Knowledge and Society</t>
        </is>
      </c>
      <c r="B1140" t="inlineStr">
        <is>
          <t>C</t>
        </is>
      </c>
      <c r="C1140" t="n">
        <v>4609</v>
      </c>
      <c r="D1140" t="inlineStr">
        <is>
          <t>Common Ground Research Networks</t>
        </is>
      </c>
    </row>
    <row r="1141">
      <c r="A1141" t="inlineStr">
        <is>
          <t>International Journal of the Economics of Business</t>
        </is>
      </c>
      <c r="B1141" t="inlineStr">
        <is>
          <t>B</t>
        </is>
      </c>
      <c r="C1141" t="n">
        <v>3899</v>
      </c>
      <c r="D1141" t="inlineStr">
        <is>
          <t>Taylor &amp; Francis Online</t>
        </is>
      </c>
    </row>
    <row r="1142">
      <c r="A1142" t="inlineStr">
        <is>
          <t>International Journal of Theoretical and Applied Finance</t>
        </is>
      </c>
      <c r="B1142" t="inlineStr">
        <is>
          <t>B</t>
        </is>
      </c>
      <c r="C1142" t="n">
        <v>3502</v>
      </c>
      <c r="D1142" t="inlineStr">
        <is>
          <t>World Scientific Publishing</t>
        </is>
      </c>
    </row>
    <row r="1143">
      <c r="A1143" t="inlineStr">
        <is>
          <t>International Journal of Tourism Cities</t>
        </is>
      </c>
      <c r="B1143" t="inlineStr">
        <is>
          <t>B</t>
        </is>
      </c>
      <c r="C1143" t="n">
        <v>3508</v>
      </c>
      <c r="D1143" t="inlineStr">
        <is>
          <t>Emerald Group Publishing</t>
        </is>
      </c>
    </row>
    <row r="1144">
      <c r="A1144" t="inlineStr">
        <is>
          <t>International Journal of Tourism Policy</t>
        </is>
      </c>
      <c r="B1144" t="inlineStr">
        <is>
          <t>C</t>
        </is>
      </c>
      <c r="C1144" t="n">
        <v>3508</v>
      </c>
      <c r="D1144" t="inlineStr">
        <is>
          <t>Inderscience Enterprises Ltd.</t>
        </is>
      </c>
    </row>
    <row r="1145">
      <c r="A1145" t="inlineStr">
        <is>
          <t>International Journal of Tourism Research</t>
        </is>
      </c>
      <c r="B1145" t="inlineStr">
        <is>
          <t>A</t>
        </is>
      </c>
      <c r="C1145" t="n">
        <v>3508</v>
      </c>
      <c r="D1145" t="inlineStr">
        <is>
          <t>Wiley-Blackwell Publishing</t>
        </is>
      </c>
    </row>
    <row r="1146">
      <c r="A1146" t="inlineStr">
        <is>
          <t>International Journal of Trade and Global Markets</t>
        </is>
      </c>
      <c r="B1146" t="inlineStr">
        <is>
          <t>C</t>
        </is>
      </c>
      <c r="C1146" t="n">
        <v>3506</v>
      </c>
      <c r="D1146" t="inlineStr">
        <is>
          <t>Inderscience Enterprises Ltd.</t>
        </is>
      </c>
    </row>
    <row r="1147">
      <c r="A1147" t="inlineStr">
        <is>
          <t>International Journal of Training and Development</t>
        </is>
      </c>
      <c r="B1147" t="inlineStr">
        <is>
          <t>C</t>
        </is>
      </c>
      <c r="C1147" t="n">
        <v>3505</v>
      </c>
      <c r="D1147" t="inlineStr">
        <is>
          <t>Wiley-Blackwell Publishing</t>
        </is>
      </c>
    </row>
    <row r="1148">
      <c r="A1148" t="inlineStr">
        <is>
          <t>International Journal of Transport Economics</t>
        </is>
      </c>
      <c r="B1148" t="inlineStr">
        <is>
          <t>C</t>
        </is>
      </c>
      <c r="C1148" t="n">
        <v>3509</v>
      </c>
      <c r="D1148" t="inlineStr">
        <is>
          <t>Istituti Editorialie Poligrafici Internazionali Pisa</t>
        </is>
      </c>
    </row>
    <row r="1149">
      <c r="A1149" t="inlineStr">
        <is>
          <t>International Journal of Urban and Regional Research</t>
        </is>
      </c>
      <c r="B1149" t="inlineStr">
        <is>
          <t>B</t>
        </is>
      </c>
      <c r="C1149" t="n">
        <v>3801</v>
      </c>
      <c r="D1149" t="inlineStr">
        <is>
          <t>Wiley-Blackwell Publishing</t>
        </is>
      </c>
    </row>
    <row r="1150">
      <c r="A1150" t="inlineStr">
        <is>
          <t>International Journal of Vehicle Design: journal of vehicle engineering, automotive technology and components</t>
        </is>
      </c>
      <c r="B1150" t="inlineStr">
        <is>
          <t>B</t>
        </is>
      </c>
      <c r="C1150" t="n">
        <v>3509</v>
      </c>
      <c r="D1150" t="inlineStr">
        <is>
          <t>Inderscience Publishers</t>
        </is>
      </c>
    </row>
    <row r="1151">
      <c r="A1151" t="inlineStr">
        <is>
          <t>International Journal of Volunteer Administration</t>
        </is>
      </c>
      <c r="B1151" t="inlineStr">
        <is>
          <t>C</t>
        </is>
      </c>
      <c r="C1151" t="n">
        <v>3507</v>
      </c>
      <c r="D1151" t="inlineStr">
        <is>
          <t>North Carolina State University</t>
        </is>
      </c>
    </row>
    <row r="1152">
      <c r="A1152" t="inlineStr">
        <is>
          <t>International Journal of Web Based Communities</t>
        </is>
      </c>
      <c r="B1152" t="inlineStr">
        <is>
          <t>C</t>
        </is>
      </c>
      <c r="C1152" t="n">
        <v>4609</v>
      </c>
      <c r="D1152" t="inlineStr">
        <is>
          <t>Inderscience Enterprises Ltd.</t>
        </is>
      </c>
    </row>
    <row r="1153">
      <c r="A1153" t="inlineStr">
        <is>
          <t>International Journal of Wine Business Research</t>
        </is>
      </c>
      <c r="B1153" t="inlineStr">
        <is>
          <t>B</t>
        </is>
      </c>
      <c r="C1153" t="n">
        <v>3504</v>
      </c>
      <c r="D1153" t="inlineStr">
        <is>
          <t>Emerald Group Publishing</t>
        </is>
      </c>
    </row>
    <row r="1154">
      <c r="A1154" t="inlineStr">
        <is>
          <t>International Journal of Work Organisation and Emotion</t>
        </is>
      </c>
      <c r="B1154" t="inlineStr">
        <is>
          <t>B</t>
        </is>
      </c>
      <c r="C1154" t="n">
        <v>3507</v>
      </c>
      <c r="D1154" t="inlineStr">
        <is>
          <t>Inderscience Enterprises Ltd.</t>
        </is>
      </c>
    </row>
    <row r="1155">
      <c r="A1155" t="inlineStr">
        <is>
          <t>International Labor and Working-Class History</t>
        </is>
      </c>
      <c r="B1155" t="inlineStr">
        <is>
          <t>B</t>
        </is>
      </c>
      <c r="C1155" t="n">
        <v>3899</v>
      </c>
      <c r="D1155" t="inlineStr">
        <is>
          <t>Cambridge University Press</t>
        </is>
      </c>
    </row>
    <row r="1156">
      <c r="A1156" t="inlineStr">
        <is>
          <t>International Labour Review</t>
        </is>
      </c>
      <c r="B1156" t="inlineStr">
        <is>
          <t>B</t>
        </is>
      </c>
      <c r="C1156" t="n">
        <v>3505</v>
      </c>
      <c r="D1156" t="inlineStr">
        <is>
          <t>Wiley-Blackwell Publishing</t>
        </is>
      </c>
    </row>
    <row r="1157">
      <c r="A1157" t="inlineStr">
        <is>
          <t>International Marketing Review</t>
        </is>
      </c>
      <c r="B1157" t="inlineStr">
        <is>
          <t>A</t>
        </is>
      </c>
      <c r="C1157" t="n">
        <v>3506</v>
      </c>
      <c r="D1157" t="inlineStr">
        <is>
          <t>Emerald Group Publishing</t>
        </is>
      </c>
    </row>
    <row r="1158">
      <c r="A1158" t="inlineStr">
        <is>
          <t>International Migration</t>
        </is>
      </c>
      <c r="B1158" t="inlineStr">
        <is>
          <t>A</t>
        </is>
      </c>
      <c r="C1158" t="n">
        <v>3599</v>
      </c>
      <c r="D1158" t="inlineStr">
        <is>
          <t>Wiley-Blackwell Publishing</t>
        </is>
      </c>
    </row>
    <row r="1159">
      <c r="A1159" t="inlineStr">
        <is>
          <t>International Migration Review</t>
        </is>
      </c>
      <c r="B1159" t="inlineStr">
        <is>
          <t>A</t>
        </is>
      </c>
      <c r="C1159" t="n">
        <v>3599</v>
      </c>
      <c r="D1159" t="inlineStr">
        <is>
          <t>Sage Publications</t>
        </is>
      </c>
    </row>
    <row r="1160">
      <c r="A1160" t="inlineStr">
        <is>
          <t>International Negotiation: a journal of theory and practice</t>
        </is>
      </c>
      <c r="B1160" t="inlineStr">
        <is>
          <t>A</t>
        </is>
      </c>
      <c r="C1160" t="n">
        <v>3505</v>
      </c>
      <c r="D1160" t="inlineStr">
        <is>
          <t>Brill</t>
        </is>
      </c>
    </row>
    <row r="1161">
      <c r="A1161" t="inlineStr">
        <is>
          <t>International Organization</t>
        </is>
      </c>
      <c r="B1161" t="inlineStr">
        <is>
          <t>B</t>
        </is>
      </c>
      <c r="C1161" t="n">
        <v>3801</v>
      </c>
      <c r="D1161" t="inlineStr">
        <is>
          <t>Cambridge University Press</t>
        </is>
      </c>
    </row>
    <row r="1162">
      <c r="A1162" t="inlineStr">
        <is>
          <t>International Papers in Political Economy</t>
        </is>
      </c>
      <c r="B1162" t="inlineStr">
        <is>
          <t>C</t>
        </is>
      </c>
      <c r="C1162" t="n">
        <v>3801</v>
      </c>
      <c r="D1162" t="inlineStr">
        <is>
          <t>Springer Nature</t>
        </is>
      </c>
    </row>
    <row r="1163">
      <c r="A1163" t="inlineStr">
        <is>
          <t>International Public Management Journal</t>
        </is>
      </c>
      <c r="B1163" t="inlineStr">
        <is>
          <t>B</t>
        </is>
      </c>
      <c r="C1163" t="n">
        <v>3507</v>
      </c>
      <c r="D1163" t="inlineStr">
        <is>
          <t>Taylor &amp; Francis Online</t>
        </is>
      </c>
    </row>
    <row r="1164">
      <c r="A1164" t="inlineStr">
        <is>
          <t>International Real Estate Review</t>
        </is>
      </c>
      <c r="B1164" t="inlineStr">
        <is>
          <t>C</t>
        </is>
      </c>
      <c r="C1164" t="n">
        <v>3504</v>
      </c>
      <c r="D1164" t="inlineStr">
        <is>
          <t>Asian Real Estate Society</t>
        </is>
      </c>
    </row>
    <row r="1165">
      <c r="A1165" t="inlineStr">
        <is>
          <t>International Regional Science Review</t>
        </is>
      </c>
      <c r="B1165" t="inlineStr">
        <is>
          <t>B</t>
        </is>
      </c>
      <c r="C1165" t="n">
        <v>3899</v>
      </c>
      <c r="D1165" t="inlineStr">
        <is>
          <t>Sage Publications</t>
        </is>
      </c>
    </row>
    <row r="1166">
      <c r="A1166" t="inlineStr">
        <is>
          <t>International Review for the Sociology of Sport</t>
        </is>
      </c>
      <c r="B1166" t="inlineStr">
        <is>
          <t>B</t>
        </is>
      </c>
      <c r="C1166" t="n">
        <v>3504</v>
      </c>
      <c r="D1166" t="inlineStr">
        <is>
          <t>Sage Publications</t>
        </is>
      </c>
    </row>
    <row r="1167">
      <c r="A1167" t="inlineStr">
        <is>
          <t>International Review of Administrative Sciences</t>
        </is>
      </c>
      <c r="B1167" t="inlineStr">
        <is>
          <t>B</t>
        </is>
      </c>
      <c r="C1167" t="n">
        <v>3507</v>
      </c>
      <c r="D1167" t="inlineStr">
        <is>
          <t>Sage Publications</t>
        </is>
      </c>
    </row>
    <row r="1168">
      <c r="A1168" t="inlineStr">
        <is>
          <t>International Review of Applied Economics</t>
        </is>
      </c>
      <c r="B1168" t="inlineStr">
        <is>
          <t>B</t>
        </is>
      </c>
      <c r="C1168" t="n">
        <v>3801</v>
      </c>
      <c r="D1168" t="inlineStr">
        <is>
          <t>Taylor &amp; Francis Online</t>
        </is>
      </c>
    </row>
    <row r="1169">
      <c r="A1169" t="inlineStr">
        <is>
          <t>International Review of Economics</t>
        </is>
      </c>
      <c r="B1169" t="inlineStr">
        <is>
          <t>C</t>
        </is>
      </c>
      <c r="C1169" t="n">
        <v>3801</v>
      </c>
      <c r="D1169" t="inlineStr">
        <is>
          <t>Springer International Publishing</t>
        </is>
      </c>
    </row>
    <row r="1170">
      <c r="A1170" t="inlineStr">
        <is>
          <t>International Review of Economics &amp; Finance</t>
        </is>
      </c>
      <c r="B1170" t="inlineStr">
        <is>
          <t>A</t>
        </is>
      </c>
      <c r="C1170" t="n">
        <v>3502</v>
      </c>
      <c r="D1170" t="inlineStr">
        <is>
          <t>Elsevier</t>
        </is>
      </c>
    </row>
    <row r="1171">
      <c r="A1171" t="inlineStr">
        <is>
          <t>International Review of Economics Education</t>
        </is>
      </c>
      <c r="B1171" t="inlineStr">
        <is>
          <t>C</t>
        </is>
      </c>
      <c r="C1171" t="n">
        <v>3801</v>
      </c>
      <c r="D1171" t="inlineStr">
        <is>
          <t>Elsevier</t>
        </is>
      </c>
    </row>
    <row r="1172">
      <c r="A1172" t="inlineStr">
        <is>
          <t>International Review of Environmental and Resource Economics</t>
        </is>
      </c>
      <c r="B1172" t="inlineStr">
        <is>
          <t>B</t>
        </is>
      </c>
      <c r="C1172" t="n">
        <v>3801</v>
      </c>
      <c r="D1172" t="inlineStr">
        <is>
          <t>Now Publishers</t>
        </is>
      </c>
    </row>
    <row r="1173">
      <c r="A1173" t="inlineStr">
        <is>
          <t>International Review of Finance</t>
        </is>
      </c>
      <c r="B1173" t="inlineStr">
        <is>
          <t>A</t>
        </is>
      </c>
      <c r="C1173" t="n">
        <v>3502</v>
      </c>
      <c r="D1173" t="inlineStr">
        <is>
          <t>Wiley-Blackwell Publishing</t>
        </is>
      </c>
    </row>
    <row r="1174">
      <c r="A1174" t="inlineStr">
        <is>
          <t>International Review of Financial Analysis</t>
        </is>
      </c>
      <c r="B1174" t="inlineStr">
        <is>
          <t>A</t>
        </is>
      </c>
      <c r="C1174" t="n">
        <v>3502</v>
      </c>
      <c r="D1174" t="inlineStr">
        <is>
          <t>Elsevier</t>
        </is>
      </c>
    </row>
    <row r="1175">
      <c r="A1175" t="inlineStr">
        <is>
          <t>International Review of Information Ethics</t>
        </is>
      </c>
      <c r="B1175" t="inlineStr">
        <is>
          <t>C</t>
        </is>
      </c>
      <c r="C1175" t="n">
        <v>4609</v>
      </c>
      <c r="D1175" t="inlineStr">
        <is>
          <t>International Center for Information Ethics (ICIE)</t>
        </is>
      </c>
    </row>
    <row r="1176">
      <c r="A1176" t="inlineStr">
        <is>
          <t>International Review of Law and Economics</t>
        </is>
      </c>
      <c r="B1176" t="inlineStr">
        <is>
          <t>B</t>
        </is>
      </c>
      <c r="C1176" t="n">
        <v>3801</v>
      </c>
      <c r="D1176" t="inlineStr">
        <is>
          <t>Elsevier</t>
        </is>
      </c>
    </row>
    <row r="1177">
      <c r="A1177" t="inlineStr">
        <is>
          <t>International Review of Law, Computers and Technology</t>
        </is>
      </c>
      <c r="B1177" t="inlineStr">
        <is>
          <t>A</t>
        </is>
      </c>
      <c r="C1177" t="n">
        <v>4801</v>
      </c>
      <c r="D1177" t="inlineStr">
        <is>
          <t>Taylor &amp; Francis Online</t>
        </is>
      </c>
    </row>
    <row r="1178">
      <c r="A1178" t="inlineStr">
        <is>
          <t>International Review of Public Administration</t>
        </is>
      </c>
      <c r="B1178" t="inlineStr">
        <is>
          <t>B</t>
        </is>
      </c>
      <c r="C1178" t="n">
        <v>3599</v>
      </c>
      <c r="D1178" t="inlineStr">
        <is>
          <t>Taylor &amp; Francis Online</t>
        </is>
      </c>
    </row>
    <row r="1179">
      <c r="A1179" t="inlineStr">
        <is>
          <t>International Review of Retail, Distribution and Consumer Research</t>
        </is>
      </c>
      <c r="B1179" t="inlineStr">
        <is>
          <t>B</t>
        </is>
      </c>
      <c r="C1179" t="n">
        <v>3506</v>
      </c>
      <c r="D1179" t="inlineStr">
        <is>
          <t>Taylor &amp; Francis Online</t>
        </is>
      </c>
    </row>
    <row r="1180">
      <c r="A1180" t="inlineStr">
        <is>
          <t>International Review on Public and Nonprofit Marketing</t>
        </is>
      </c>
      <c r="B1180" t="inlineStr">
        <is>
          <t>B</t>
        </is>
      </c>
      <c r="C1180" t="n">
        <v>3506</v>
      </c>
      <c r="D1180" t="inlineStr">
        <is>
          <t>Springer International Publishing</t>
        </is>
      </c>
    </row>
    <row r="1181">
      <c r="A1181" t="inlineStr">
        <is>
          <t>International Small Business Journal</t>
        </is>
      </c>
      <c r="B1181" t="inlineStr">
        <is>
          <t>A</t>
        </is>
      </c>
      <c r="C1181" t="n">
        <v>3507</v>
      </c>
      <c r="D1181" t="inlineStr">
        <is>
          <t>Sage Publications</t>
        </is>
      </c>
    </row>
    <row r="1182">
      <c r="A1182" t="inlineStr">
        <is>
          <t>International Social Science Journal</t>
        </is>
      </c>
      <c r="B1182" t="inlineStr">
        <is>
          <t>B</t>
        </is>
      </c>
      <c r="C1182" t="n">
        <v>3599</v>
      </c>
      <c r="D1182" t="inlineStr">
        <is>
          <t>Wiley-Blackwell Publishing</t>
        </is>
      </c>
    </row>
    <row r="1183">
      <c r="A1183" t="inlineStr">
        <is>
          <t>International Statistical Review</t>
        </is>
      </c>
      <c r="B1183" t="inlineStr">
        <is>
          <t>A</t>
        </is>
      </c>
      <c r="C1183" t="n">
        <v>4905</v>
      </c>
      <c r="D1183" t="inlineStr">
        <is>
          <t>Wiley-Blackwell Publishing</t>
        </is>
      </c>
    </row>
    <row r="1184">
      <c r="A1184" t="inlineStr">
        <is>
          <t>International Studies of Management &amp; Organization</t>
        </is>
      </c>
      <c r="B1184" t="inlineStr">
        <is>
          <t>B</t>
        </is>
      </c>
      <c r="C1184" t="n">
        <v>3507</v>
      </c>
      <c r="D1184" t="inlineStr">
        <is>
          <t>Taylor &amp; Francis Online</t>
        </is>
      </c>
    </row>
    <row r="1185">
      <c r="A1185" t="inlineStr">
        <is>
          <t>International Studies Quarterly</t>
        </is>
      </c>
      <c r="B1185" t="inlineStr">
        <is>
          <t>A</t>
        </is>
      </c>
      <c r="C1185" t="n">
        <v>3599</v>
      </c>
      <c r="D1185" t="inlineStr">
        <is>
          <t>Wiley-Blackwell Publishing</t>
        </is>
      </c>
    </row>
    <row r="1186">
      <c r="A1186" t="inlineStr">
        <is>
          <t>International Tax and Public Finance</t>
        </is>
      </c>
      <c r="B1186" t="inlineStr">
        <is>
          <t>A</t>
        </is>
      </c>
      <c r="C1186" t="n">
        <v>4801</v>
      </c>
      <c r="D1186" t="inlineStr">
        <is>
          <t>Springer International Publishing</t>
        </is>
      </c>
    </row>
    <row r="1187">
      <c r="A1187" t="inlineStr">
        <is>
          <t>International Tax Journal</t>
        </is>
      </c>
      <c r="B1187" t="inlineStr">
        <is>
          <t>C</t>
        </is>
      </c>
      <c r="C1187" t="n">
        <v>4801</v>
      </c>
      <c r="D1187" t="inlineStr">
        <is>
          <t>Panel Publishers</t>
        </is>
      </c>
    </row>
    <row r="1188">
      <c r="A1188" t="inlineStr">
        <is>
          <t>International Tax Review</t>
        </is>
      </c>
      <c r="B1188" t="inlineStr">
        <is>
          <t>C</t>
        </is>
      </c>
      <c r="C1188" t="n">
        <v>4801</v>
      </c>
      <c r="D1188" t="inlineStr">
        <is>
          <t>Euromoney Institutional Investor PLC</t>
        </is>
      </c>
    </row>
    <row r="1189">
      <c r="A1189" t="inlineStr">
        <is>
          <t>International Trade Journal</t>
        </is>
      </c>
      <c r="B1189" t="inlineStr">
        <is>
          <t>B</t>
        </is>
      </c>
      <c r="C1189" t="n">
        <v>3801</v>
      </c>
      <c r="D1189" t="inlineStr">
        <is>
          <t>Taylor &amp; Francis Online</t>
        </is>
      </c>
    </row>
    <row r="1190">
      <c r="A1190" t="inlineStr">
        <is>
          <t>International Transactions in Operational Research</t>
        </is>
      </c>
      <c r="B1190" t="inlineStr">
        <is>
          <t>B</t>
        </is>
      </c>
      <c r="C1190" t="n">
        <v>3509</v>
      </c>
      <c r="D1190" t="inlineStr">
        <is>
          <t>Wiley-Blackwell Publishing</t>
        </is>
      </c>
    </row>
    <row r="1191">
      <c r="A1191" t="inlineStr">
        <is>
          <t>International Transfer Pricing Journal</t>
        </is>
      </c>
      <c r="B1191" t="inlineStr">
        <is>
          <t>C</t>
        </is>
      </c>
      <c r="C1191" t="n">
        <v>4801</v>
      </c>
      <c r="D1191" t="inlineStr">
        <is>
          <t>International Bureau of Fiscal Documentation</t>
        </is>
      </c>
    </row>
    <row r="1192">
      <c r="A1192" t="inlineStr">
        <is>
          <t>International VAT Monitor</t>
        </is>
      </c>
      <c r="B1192" t="inlineStr">
        <is>
          <t>B</t>
        </is>
      </c>
      <c r="C1192" t="n">
        <v>4801</v>
      </c>
      <c r="D1192" t="inlineStr">
        <is>
          <t>International Bureau of Fiscal Documentation</t>
        </is>
      </c>
    </row>
    <row r="1193">
      <c r="A1193" t="inlineStr">
        <is>
          <t>Internet Research</t>
        </is>
      </c>
      <c r="B1193" t="inlineStr">
        <is>
          <t>A</t>
        </is>
      </c>
      <c r="C1193" t="n">
        <v>4609</v>
      </c>
      <c r="D1193" t="inlineStr">
        <is>
          <t>Emerald Group Publishing</t>
        </is>
      </c>
    </row>
    <row r="1194">
      <c r="A1194" t="inlineStr">
        <is>
          <t>Intertax: International Tax Review</t>
        </is>
      </c>
      <c r="B1194" t="inlineStr">
        <is>
          <t>C</t>
        </is>
      </c>
      <c r="C1194" t="n">
        <v>4801</v>
      </c>
      <c r="D1194" t="inlineStr">
        <is>
          <t>Kluwer Law International</t>
        </is>
      </c>
    </row>
    <row r="1195">
      <c r="A1195" t="inlineStr">
        <is>
          <t>Investment Analysts Journal</t>
        </is>
      </c>
      <c r="B1195" t="inlineStr">
        <is>
          <t>B</t>
        </is>
      </c>
      <c r="C1195" t="n">
        <v>3502</v>
      </c>
      <c r="D1195" t="inlineStr">
        <is>
          <t>Taylor &amp; Francis Online</t>
        </is>
      </c>
    </row>
    <row r="1196">
      <c r="A1196" t="inlineStr">
        <is>
          <t>IPPR Progressive Review</t>
        </is>
      </c>
      <c r="B1196" t="inlineStr">
        <is>
          <t>B</t>
        </is>
      </c>
      <c r="C1196" t="n">
        <v>3599</v>
      </c>
      <c r="D1196" t="inlineStr">
        <is>
          <t>Wiley-Blackwell Publishing</t>
        </is>
      </c>
    </row>
    <row r="1197">
      <c r="A1197" t="inlineStr">
        <is>
          <t>Irish Journal of Management</t>
        </is>
      </c>
      <c r="B1197" t="inlineStr">
        <is>
          <t>C</t>
        </is>
      </c>
      <c r="C1197" t="n">
        <v>3507</v>
      </c>
      <c r="D1197" t="inlineStr">
        <is>
          <t>Sciendo</t>
        </is>
      </c>
    </row>
    <row r="1198">
      <c r="A1198" t="inlineStr">
        <is>
          <t>Irish Marketing Review</t>
        </is>
      </c>
      <c r="B1198" t="inlineStr">
        <is>
          <t>C</t>
        </is>
      </c>
      <c r="C1198" t="n">
        <v>3506</v>
      </c>
      <c r="D1198" t="inlineStr">
        <is>
          <t>University of Strathclyde</t>
        </is>
      </c>
    </row>
    <row r="1199">
      <c r="A1199" t="inlineStr">
        <is>
          <t>ISEAS Current Economic Affairs Series</t>
        </is>
      </c>
      <c r="B1199" t="inlineStr">
        <is>
          <t>C</t>
        </is>
      </c>
      <c r="C1199" t="n">
        <v>3801</v>
      </c>
      <c r="D1199" t="inlineStr">
        <is>
          <t>Cambridge University Press</t>
        </is>
      </c>
    </row>
    <row r="1200">
      <c r="A1200" t="inlineStr">
        <is>
          <t>Islamic Economic Studies</t>
        </is>
      </c>
      <c r="B1200" t="inlineStr">
        <is>
          <t>C</t>
        </is>
      </c>
      <c r="C1200" t="n">
        <v>3899</v>
      </c>
      <c r="D1200" t="inlineStr">
        <is>
          <t>SyndiGate Media Inc.</t>
        </is>
      </c>
    </row>
    <row r="1201">
      <c r="A1201" t="inlineStr">
        <is>
          <t>ISRA International Journal of Islamic Finance</t>
        </is>
      </c>
      <c r="B1201" t="inlineStr">
        <is>
          <t>C</t>
        </is>
      </c>
      <c r="C1201" t="n">
        <v>3502</v>
      </c>
      <c r="D1201" t="inlineStr">
        <is>
          <t>Emerald Group Publishing</t>
        </is>
      </c>
    </row>
    <row r="1202">
      <c r="A1202" t="inlineStr">
        <is>
          <t>Issues in Accounting Education</t>
        </is>
      </c>
      <c r="B1202" t="inlineStr">
        <is>
          <t>A</t>
        </is>
      </c>
      <c r="C1202" t="n">
        <v>3501</v>
      </c>
      <c r="D1202" t="inlineStr">
        <is>
          <t>American Accounting Association</t>
        </is>
      </c>
    </row>
    <row r="1203">
      <c r="A1203" t="inlineStr">
        <is>
          <t>Issues in Social and Environmental Accounting: An International Journal</t>
        </is>
      </c>
      <c r="B1203" t="inlineStr">
        <is>
          <t>C</t>
        </is>
      </c>
      <c r="C1203" t="n">
        <v>3501</v>
      </c>
      <c r="D1203" t="inlineStr">
        <is>
          <t>Sebelas Maret University</t>
        </is>
      </c>
    </row>
    <row r="1204">
      <c r="A1204" t="inlineStr">
        <is>
          <t>Italian Economic Journal</t>
        </is>
      </c>
      <c r="B1204" t="inlineStr">
        <is>
          <t>B</t>
        </is>
      </c>
      <c r="C1204" t="n">
        <v>3801</v>
      </c>
      <c r="D1204" t="inlineStr">
        <is>
          <t>Springer Nature</t>
        </is>
      </c>
    </row>
    <row r="1205">
      <c r="A1205" t="inlineStr">
        <is>
          <t>Italian Journal of Marketing</t>
        </is>
      </c>
      <c r="B1205" t="inlineStr">
        <is>
          <t>C</t>
        </is>
      </c>
      <c r="C1205" t="n">
        <v>3506</v>
      </c>
      <c r="D1205" t="inlineStr">
        <is>
          <t>Springer Nature Switzerland AG</t>
        </is>
      </c>
    </row>
    <row r="1206">
      <c r="A1206" t="inlineStr">
        <is>
          <t>IUP Journal of Accounting Research &amp; Audit Practices</t>
        </is>
      </c>
      <c r="B1206" t="inlineStr">
        <is>
          <t>C</t>
        </is>
      </c>
      <c r="C1206" t="n">
        <v>3501</v>
      </c>
      <c r="D1206" t="inlineStr">
        <is>
          <t>IUP Publications</t>
        </is>
      </c>
    </row>
    <row r="1207">
      <c r="A1207" t="inlineStr">
        <is>
          <t>IUP Journal of Corporate Governance</t>
        </is>
      </c>
      <c r="B1207" t="inlineStr">
        <is>
          <t>C</t>
        </is>
      </c>
      <c r="C1207" t="n">
        <v>3501</v>
      </c>
      <c r="D1207" t="inlineStr">
        <is>
          <t>IUP Publications</t>
        </is>
      </c>
    </row>
    <row r="1208">
      <c r="A1208" t="inlineStr">
        <is>
          <t>IZA Journal of Labor Economics</t>
        </is>
      </c>
      <c r="B1208" t="inlineStr">
        <is>
          <t>A</t>
        </is>
      </c>
      <c r="C1208" t="n">
        <v>3801</v>
      </c>
      <c r="D1208" t="inlineStr">
        <is>
          <t>Springer Nature</t>
        </is>
      </c>
    </row>
    <row r="1209">
      <c r="A1209" t="inlineStr">
        <is>
          <t>Japan and the World Economy</t>
        </is>
      </c>
      <c r="B1209" t="inlineStr">
        <is>
          <t>B</t>
        </is>
      </c>
      <c r="C1209" t="n">
        <v>3801</v>
      </c>
      <c r="D1209" t="inlineStr">
        <is>
          <t>Elsevier</t>
        </is>
      </c>
    </row>
    <row r="1210">
      <c r="A1210" t="inlineStr">
        <is>
          <t>Japan Labor Issues</t>
        </is>
      </c>
      <c r="B1210" t="inlineStr">
        <is>
          <t>C</t>
        </is>
      </c>
      <c r="C1210" t="n">
        <v>3505</v>
      </c>
      <c r="D1210" t="inlineStr">
        <is>
          <t>Japan Institute for Labour Policy and Training</t>
        </is>
      </c>
    </row>
    <row r="1211">
      <c r="A1211" t="inlineStr">
        <is>
          <t>Japanese Economic Review</t>
        </is>
      </c>
      <c r="B1211" t="inlineStr">
        <is>
          <t>B</t>
        </is>
      </c>
      <c r="C1211" t="n">
        <v>3801</v>
      </c>
      <c r="D1211" t="inlineStr">
        <is>
          <t>Wiley-Blackwell Publishing</t>
        </is>
      </c>
    </row>
    <row r="1212">
      <c r="A1212" t="inlineStr">
        <is>
          <t>JASSA: The Finsia Journal of Applied Finance</t>
        </is>
      </c>
      <c r="B1212" t="inlineStr">
        <is>
          <t>B</t>
        </is>
      </c>
      <c r="C1212" t="n">
        <v>3502</v>
      </c>
      <c r="D1212" t="inlineStr">
        <is>
          <t>Financial Services Institute of Australasia</t>
        </is>
      </c>
    </row>
    <row r="1213">
      <c r="A1213" t="inlineStr">
        <is>
          <t>Jindal Global Law Review</t>
        </is>
      </c>
      <c r="B1213" t="inlineStr">
        <is>
          <t>C</t>
        </is>
      </c>
      <c r="C1213" t="n">
        <v>4801</v>
      </c>
      <c r="D1213" t="inlineStr">
        <is>
          <t>Springer Nature</t>
        </is>
      </c>
    </row>
    <row r="1214">
      <c r="A1214" t="inlineStr">
        <is>
          <t>Journal Ensayos Sobre Politica Economica (ESPE) / Essays on Economic Policy</t>
        </is>
      </c>
      <c r="B1214" t="inlineStr">
        <is>
          <t>C</t>
        </is>
      </c>
      <c r="C1214" t="n">
        <v>3801</v>
      </c>
      <c r="D1214" t="inlineStr">
        <is>
          <t>Department of Economic Policy Studies, Central Bank of Columbia</t>
        </is>
      </c>
    </row>
    <row r="1215">
      <c r="A1215" t="inlineStr">
        <is>
          <t>Journal for Advancement of Marketing Education (JAME)</t>
        </is>
      </c>
      <c r="B1215" t="inlineStr">
        <is>
          <t>C</t>
        </is>
      </c>
      <c r="C1215" t="n">
        <v>3506</v>
      </c>
      <c r="D1215" t="inlineStr">
        <is>
          <t>Marketing Management Association</t>
        </is>
      </c>
    </row>
    <row r="1216">
      <c r="A1216" t="inlineStr">
        <is>
          <t>Journal for Quality and Participation</t>
        </is>
      </c>
      <c r="B1216" t="inlineStr">
        <is>
          <t>C</t>
        </is>
      </c>
      <c r="C1216" t="n">
        <v>3505</v>
      </c>
      <c r="D1216" t="inlineStr">
        <is>
          <t>American Society for Quality</t>
        </is>
      </c>
    </row>
    <row r="1217">
      <c r="A1217" t="inlineStr">
        <is>
          <t>Journal for Studies in Economics &amp; Econometrics</t>
        </is>
      </c>
      <c r="B1217" t="inlineStr">
        <is>
          <t>B</t>
        </is>
      </c>
      <c r="C1217" t="n">
        <v>3802</v>
      </c>
      <c r="D1217" t="inlineStr">
        <is>
          <t>University of Stellenbosch, Bureau for Economic Research</t>
        </is>
      </c>
    </row>
    <row r="1218">
      <c r="A1218" t="inlineStr">
        <is>
          <t>Journal of Aboriginal Economic Development</t>
        </is>
      </c>
      <c r="B1218" t="inlineStr">
        <is>
          <t>C</t>
        </is>
      </c>
      <c r="C1218" t="n">
        <v>3801</v>
      </c>
      <c r="D1218" t="inlineStr">
        <is>
          <t>Council for the Advancement of Native Development Officers (CANDO) and Captus Press Inc.</t>
        </is>
      </c>
    </row>
    <row r="1219">
      <c r="A1219" t="inlineStr">
        <is>
          <t>Journal of Academy of Business and Economics</t>
        </is>
      </c>
      <c r="B1219" t="inlineStr">
        <is>
          <t>C</t>
        </is>
      </c>
      <c r="C1219" t="n">
        <v>3801</v>
      </c>
      <c r="D1219" t="inlineStr">
        <is>
          <t>International Academy of Business and Economics</t>
        </is>
      </c>
    </row>
    <row r="1220">
      <c r="A1220" t="inlineStr">
        <is>
          <t>Journal of Accountancy</t>
        </is>
      </c>
      <c r="B1220" t="inlineStr">
        <is>
          <t>C</t>
        </is>
      </c>
      <c r="C1220" t="n">
        <v>3501</v>
      </c>
      <c r="D1220" t="inlineStr">
        <is>
          <t>Association of International Certified Professional Accountants</t>
        </is>
      </c>
    </row>
    <row r="1221">
      <c r="A1221" t="inlineStr">
        <is>
          <t>Journal of Accounting &amp; Organizational Change</t>
        </is>
      </c>
      <c r="B1221" t="inlineStr">
        <is>
          <t>B</t>
        </is>
      </c>
      <c r="C1221" t="n">
        <v>3501</v>
      </c>
      <c r="D1221" t="inlineStr">
        <is>
          <t>Emerald Group Publishing</t>
        </is>
      </c>
    </row>
    <row r="1222">
      <c r="A1222" t="inlineStr">
        <is>
          <t>Journal of Accounting and Economics</t>
        </is>
      </c>
      <c r="B1222" t="inlineStr">
        <is>
          <t>A*</t>
        </is>
      </c>
      <c r="C1222" t="n">
        <v>3501</v>
      </c>
      <c r="D1222" t="inlineStr">
        <is>
          <t>Elsevier</t>
        </is>
      </c>
    </row>
    <row r="1223">
      <c r="A1223" t="inlineStr">
        <is>
          <t>Journal of Accounting and Finance in Emerging Economies</t>
        </is>
      </c>
      <c r="B1223" t="inlineStr">
        <is>
          <t>C</t>
        </is>
      </c>
      <c r="C1223" t="n">
        <v>3501</v>
      </c>
      <c r="D1223" t="inlineStr">
        <is>
          <t>CSRC Publishing</t>
        </is>
      </c>
    </row>
    <row r="1224">
      <c r="A1224" t="inlineStr">
        <is>
          <t>Journal of Accounting and Management Information Systems (JAMIS)</t>
        </is>
      </c>
      <c r="B1224" t="inlineStr">
        <is>
          <t>C</t>
        </is>
      </c>
      <c r="C1224" t="n">
        <v>3501</v>
      </c>
      <c r="D1224" t="inlineStr">
        <is>
          <t>Bucharest University of Economic Studies</t>
        </is>
      </c>
    </row>
    <row r="1225">
      <c r="A1225" t="inlineStr">
        <is>
          <t>Journal of Accounting and Public Policy</t>
        </is>
      </c>
      <c r="B1225" t="inlineStr">
        <is>
          <t>A*</t>
        </is>
      </c>
      <c r="C1225" t="n">
        <v>3501</v>
      </c>
      <c r="D1225" t="inlineStr">
        <is>
          <t>Elsevier</t>
        </is>
      </c>
    </row>
    <row r="1226">
      <c r="A1226" t="inlineStr">
        <is>
          <t>Journal of Accounting Auditing and Finance</t>
        </is>
      </c>
      <c r="B1226" t="inlineStr">
        <is>
          <t>A</t>
        </is>
      </c>
      <c r="C1226" t="n">
        <v>3501</v>
      </c>
      <c r="D1226" t="inlineStr">
        <is>
          <t>Sage Publications</t>
        </is>
      </c>
    </row>
    <row r="1227">
      <c r="A1227" t="inlineStr">
        <is>
          <t>Journal of Accounting Education</t>
        </is>
      </c>
      <c r="B1227" t="inlineStr">
        <is>
          <t>B</t>
        </is>
      </c>
      <c r="C1227" t="n">
        <v>3501</v>
      </c>
      <c r="D1227" t="inlineStr">
        <is>
          <t>Elsevier</t>
        </is>
      </c>
    </row>
    <row r="1228">
      <c r="A1228" t="inlineStr">
        <is>
          <t>Journal of Accounting in Emerging Economies</t>
        </is>
      </c>
      <c r="B1228" t="inlineStr">
        <is>
          <t>B</t>
        </is>
      </c>
      <c r="C1228" t="n">
        <v>3501</v>
      </c>
      <c r="D1228" t="inlineStr">
        <is>
          <t>Emerald Group Publishing</t>
        </is>
      </c>
    </row>
    <row r="1229">
      <c r="A1229" t="inlineStr">
        <is>
          <t>Journal of Accounting Literature</t>
        </is>
      </c>
      <c r="B1229" t="inlineStr">
        <is>
          <t>A</t>
        </is>
      </c>
      <c r="C1229" t="n">
        <v>3501</v>
      </c>
      <c r="D1229" t="inlineStr">
        <is>
          <t>Emerald Group Publishing</t>
        </is>
      </c>
    </row>
    <row r="1230">
      <c r="A1230" t="inlineStr">
        <is>
          <t>Journal of Accounting Research</t>
        </is>
      </c>
      <c r="B1230" t="inlineStr">
        <is>
          <t>A*</t>
        </is>
      </c>
      <c r="C1230" t="n">
        <v>3501</v>
      </c>
      <c r="D1230" t="inlineStr">
        <is>
          <t>Wiley-Blackwell Publishing</t>
        </is>
      </c>
    </row>
    <row r="1231">
      <c r="A1231" t="inlineStr">
        <is>
          <t>Journal of Accounting Review</t>
        </is>
      </c>
      <c r="B1231" t="inlineStr">
        <is>
          <t>C</t>
        </is>
      </c>
      <c r="C1231" t="n">
        <v>3501</v>
      </c>
      <c r="D1231" t="inlineStr">
        <is>
          <t>National Chengchi University, Taiwan.</t>
        </is>
      </c>
    </row>
    <row r="1232">
      <c r="A1232" t="inlineStr">
        <is>
          <t>Journal of Accounting, Auditing and Business</t>
        </is>
      </c>
      <c r="B1232" t="inlineStr">
        <is>
          <t>C</t>
        </is>
      </c>
      <c r="C1232" t="n">
        <v>3501</v>
      </c>
      <c r="D1232" t="inlineStr">
        <is>
          <t>Universitas Padjadjaran, Indonesia</t>
        </is>
      </c>
    </row>
    <row r="1233">
      <c r="A1233" t="inlineStr">
        <is>
          <t>Journal of Accounting, Business and Management</t>
        </is>
      </c>
      <c r="B1233" t="inlineStr">
        <is>
          <t>C</t>
        </is>
      </c>
      <c r="C1233" t="n">
        <v>3501</v>
      </c>
      <c r="D1233" t="inlineStr">
        <is>
          <t>Malangkucecwara School of Economics</t>
        </is>
      </c>
    </row>
    <row r="1234">
      <c r="A1234" t="inlineStr">
        <is>
          <t>Journal of Accounting, Ethics and Public Policy</t>
        </is>
      </c>
      <c r="B1234" t="inlineStr">
        <is>
          <t>C</t>
        </is>
      </c>
      <c r="C1234" t="n">
        <v>3501</v>
      </c>
      <c r="D1234" t="inlineStr">
        <is>
          <t>Dumont Institute for Public Policy Research</t>
        </is>
      </c>
    </row>
    <row r="1235">
      <c r="A1235" t="inlineStr">
        <is>
          <t>Journal of Advanced Transportation</t>
        </is>
      </c>
      <c r="B1235" t="inlineStr">
        <is>
          <t>B</t>
        </is>
      </c>
      <c r="C1235" t="n">
        <v>3509</v>
      </c>
      <c r="D1235" t="inlineStr">
        <is>
          <t>Hindawi</t>
        </is>
      </c>
    </row>
    <row r="1236">
      <c r="A1236" t="inlineStr">
        <is>
          <t>Journal of Advertising</t>
        </is>
      </c>
      <c r="B1236" t="inlineStr">
        <is>
          <t>A</t>
        </is>
      </c>
      <c r="C1236" t="n">
        <v>3506</v>
      </c>
      <c r="D1236" t="inlineStr">
        <is>
          <t>Taylor &amp; Francis Online</t>
        </is>
      </c>
    </row>
    <row r="1237">
      <c r="A1237" t="inlineStr">
        <is>
          <t>Journal of Advertising Education</t>
        </is>
      </c>
      <c r="B1237" t="inlineStr">
        <is>
          <t>C</t>
        </is>
      </c>
      <c r="C1237" t="n">
        <v>3506</v>
      </c>
      <c r="D1237" t="inlineStr">
        <is>
          <t>Sage Publications</t>
        </is>
      </c>
    </row>
    <row r="1238">
      <c r="A1238" t="inlineStr">
        <is>
          <t>Journal of Advertising Research</t>
        </is>
      </c>
      <c r="B1238" t="inlineStr">
        <is>
          <t>A</t>
        </is>
      </c>
      <c r="C1238" t="n">
        <v>3506</v>
      </c>
      <c r="D1238" t="inlineStr">
        <is>
          <t>Taylor &amp; Francis Online</t>
        </is>
      </c>
    </row>
    <row r="1239">
      <c r="A1239" t="inlineStr">
        <is>
          <t>Journal of African Business</t>
        </is>
      </c>
      <c r="B1239" t="inlineStr">
        <is>
          <t>C</t>
        </is>
      </c>
      <c r="C1239" t="n">
        <v>3507</v>
      </c>
      <c r="D1239" t="inlineStr">
        <is>
          <t>Taylor &amp; Francis Online</t>
        </is>
      </c>
    </row>
    <row r="1240">
      <c r="A1240" t="inlineStr">
        <is>
          <t>Journal of African Development</t>
        </is>
      </c>
      <c r="B1240" t="inlineStr">
        <is>
          <t>C</t>
        </is>
      </c>
      <c r="C1240" t="n">
        <v>3801</v>
      </c>
      <c r="D1240" t="inlineStr">
        <is>
          <t>African Finance and Economic Assocation</t>
        </is>
      </c>
    </row>
    <row r="1241">
      <c r="A1241" t="inlineStr">
        <is>
          <t>Journal of African Economies</t>
        </is>
      </c>
      <c r="B1241" t="inlineStr">
        <is>
          <t>A</t>
        </is>
      </c>
      <c r="C1241" t="n">
        <v>3801</v>
      </c>
      <c r="D1241" t="inlineStr">
        <is>
          <t>Oxford University Press</t>
        </is>
      </c>
    </row>
    <row r="1242">
      <c r="A1242" t="inlineStr">
        <is>
          <t>Journal of Agribusiness in Developing and Emerging Economies</t>
        </is>
      </c>
      <c r="B1242" t="inlineStr">
        <is>
          <t>C</t>
        </is>
      </c>
      <c r="C1242" t="n">
        <v>3899</v>
      </c>
      <c r="D1242" t="inlineStr">
        <is>
          <t>Emerald Group Publishing</t>
        </is>
      </c>
    </row>
    <row r="1243">
      <c r="A1243" t="inlineStr">
        <is>
          <t>Journal of Agricultural &amp; Food Industrial Organization</t>
        </is>
      </c>
      <c r="B1243" t="inlineStr">
        <is>
          <t>C</t>
        </is>
      </c>
      <c r="C1243" t="n">
        <v>3801</v>
      </c>
      <c r="D1243" t="inlineStr">
        <is>
          <t>De Gruyter</t>
        </is>
      </c>
    </row>
    <row r="1244">
      <c r="A1244" t="inlineStr">
        <is>
          <t>Journal of Agricultural and Applied Economics</t>
        </is>
      </c>
      <c r="B1244" t="inlineStr">
        <is>
          <t>C</t>
        </is>
      </c>
      <c r="C1244" t="n">
        <v>3801</v>
      </c>
      <c r="D1244" t="inlineStr">
        <is>
          <t>Cambridge University Press</t>
        </is>
      </c>
    </row>
    <row r="1245">
      <c r="A1245" t="inlineStr">
        <is>
          <t>Journal of Agricultural and Resource Economics</t>
        </is>
      </c>
      <c r="B1245" t="inlineStr">
        <is>
          <t>A</t>
        </is>
      </c>
      <c r="C1245" t="n">
        <v>3899</v>
      </c>
      <c r="D1245" t="inlineStr">
        <is>
          <t>Western Agricultural Economics Association</t>
        </is>
      </c>
    </row>
    <row r="1246">
      <c r="A1246" t="inlineStr">
        <is>
          <t>Journal of Agricultural Economics</t>
        </is>
      </c>
      <c r="B1246" t="inlineStr">
        <is>
          <t>A</t>
        </is>
      </c>
      <c r="C1246" t="n">
        <v>3801</v>
      </c>
      <c r="D1246" t="inlineStr">
        <is>
          <t>Wiley-Blackwell Publishing</t>
        </is>
      </c>
    </row>
    <row r="1247">
      <c r="A1247" t="inlineStr">
        <is>
          <t>Journal of Agricultural, Biological and Environmental Statistics</t>
        </is>
      </c>
      <c r="B1247" t="inlineStr">
        <is>
          <t>B</t>
        </is>
      </c>
      <c r="C1247" t="n">
        <v>4905</v>
      </c>
      <c r="D1247" t="inlineStr">
        <is>
          <t>Springer International Publishing</t>
        </is>
      </c>
    </row>
    <row r="1248">
      <c r="A1248" t="inlineStr">
        <is>
          <t>Journal of Air Law and Commerce</t>
        </is>
      </c>
      <c r="B1248" t="inlineStr">
        <is>
          <t>A</t>
        </is>
      </c>
      <c r="C1248" t="n">
        <v>4801</v>
      </c>
      <c r="D1248" t="inlineStr">
        <is>
          <t>Southern Methodist University</t>
        </is>
      </c>
    </row>
    <row r="1249">
      <c r="A1249" t="inlineStr">
        <is>
          <t>Journal of Air Transport Management</t>
        </is>
      </c>
      <c r="B1249" t="inlineStr">
        <is>
          <t>B</t>
        </is>
      </c>
      <c r="C1249" t="n">
        <v>3509</v>
      </c>
      <c r="D1249" t="inlineStr">
        <is>
          <t>Elsevier</t>
        </is>
      </c>
    </row>
    <row r="1250">
      <c r="A1250" t="inlineStr">
        <is>
          <t>Journal of Applied Accounting Research</t>
        </is>
      </c>
      <c r="B1250" t="inlineStr">
        <is>
          <t>B</t>
        </is>
      </c>
      <c r="C1250" t="n">
        <v>3501</v>
      </c>
      <c r="D1250" t="inlineStr">
        <is>
          <t>Emerald Group Publishing</t>
        </is>
      </c>
    </row>
    <row r="1251">
      <c r="A1251" t="inlineStr">
        <is>
          <t>Journal of Applied Business and Economics</t>
        </is>
      </c>
      <c r="B1251" t="inlineStr">
        <is>
          <t>C</t>
        </is>
      </c>
      <c r="C1251" t="n">
        <v>3801</v>
      </c>
      <c r="D1251" t="inlineStr">
        <is>
          <t>North American Business Press</t>
        </is>
      </c>
    </row>
    <row r="1252">
      <c r="A1252" t="inlineStr">
        <is>
          <t>Journal of Applied Corporate Finance</t>
        </is>
      </c>
      <c r="B1252" t="inlineStr">
        <is>
          <t>A</t>
        </is>
      </c>
      <c r="C1252" t="n">
        <v>3502</v>
      </c>
      <c r="D1252" t="inlineStr">
        <is>
          <t>Wiley-Blackwell Publishing</t>
        </is>
      </c>
    </row>
    <row r="1253">
      <c r="A1253" t="inlineStr">
        <is>
          <t>Journal of Applied Econometrics</t>
        </is>
      </c>
      <c r="B1253" t="inlineStr">
        <is>
          <t>A*</t>
        </is>
      </c>
      <c r="C1253" t="n">
        <v>3802</v>
      </c>
      <c r="D1253" t="inlineStr">
        <is>
          <t>Wiley-Blackwell Publishing</t>
        </is>
      </c>
    </row>
    <row r="1254">
      <c r="A1254" t="inlineStr">
        <is>
          <t>Journal of Applied Economic Sciences</t>
        </is>
      </c>
      <c r="B1254" t="inlineStr">
        <is>
          <t>C</t>
        </is>
      </c>
      <c r="C1254" t="n">
        <v>3801</v>
      </c>
      <c r="D1254" t="inlineStr">
        <is>
          <t>ASERS Publishing</t>
        </is>
      </c>
    </row>
    <row r="1255">
      <c r="A1255" t="inlineStr">
        <is>
          <t>Journal of Applied Economics</t>
        </is>
      </c>
      <c r="B1255" t="inlineStr">
        <is>
          <t>B</t>
        </is>
      </c>
      <c r="C1255" t="n">
        <v>3801</v>
      </c>
      <c r="D1255" t="inlineStr">
        <is>
          <t>Taylor &amp; Francis Online</t>
        </is>
      </c>
    </row>
    <row r="1256">
      <c r="A1256" t="inlineStr">
        <is>
          <t>Journal of Applied Finance: theory, practice, education</t>
        </is>
      </c>
      <c r="B1256" t="inlineStr">
        <is>
          <t>C</t>
        </is>
      </c>
      <c r="C1256" t="n">
        <v>3502</v>
      </c>
      <c r="D1256" t="inlineStr">
        <is>
          <t>Financial Management Association International (FMA)</t>
        </is>
      </c>
    </row>
    <row r="1257">
      <c r="A1257" t="inlineStr">
        <is>
          <t>Journal of Applied Law and Policy</t>
        </is>
      </c>
      <c r="B1257" t="inlineStr">
        <is>
          <t>C</t>
        </is>
      </c>
      <c r="C1257" t="n">
        <v>4801</v>
      </c>
      <c r="D1257" t="inlineStr">
        <is>
          <t>Curtin University</t>
        </is>
      </c>
    </row>
    <row r="1258">
      <c r="A1258" t="inlineStr">
        <is>
          <t>Journal of Applied Management and Entrepreneurship</t>
        </is>
      </c>
      <c r="B1258" t="inlineStr">
        <is>
          <t>C</t>
        </is>
      </c>
      <c r="C1258" t="n">
        <v>3507</v>
      </c>
      <c r="D1258" t="inlineStr">
        <is>
          <t>Nova Southeastern University</t>
        </is>
      </c>
    </row>
    <row r="1259">
      <c r="A1259" t="inlineStr">
        <is>
          <t>Journal of Applied Probability</t>
        </is>
      </c>
      <c r="B1259" t="inlineStr">
        <is>
          <t>A</t>
        </is>
      </c>
      <c r="C1259" t="n">
        <v>4905</v>
      </c>
      <c r="D1259" t="inlineStr">
        <is>
          <t>Applied Probability Trust</t>
        </is>
      </c>
    </row>
    <row r="1260">
      <c r="A1260" t="inlineStr">
        <is>
          <t>Journal of Applied Psychology</t>
        </is>
      </c>
      <c r="B1260" t="inlineStr">
        <is>
          <t>A*</t>
        </is>
      </c>
      <c r="C1260" t="n">
        <v>3507</v>
      </c>
      <c r="D1260" t="inlineStr">
        <is>
          <t>American Psychological Association</t>
        </is>
      </c>
    </row>
    <row r="1261">
      <c r="A1261" t="inlineStr">
        <is>
          <t>Journal of Applied Social Psychology</t>
        </is>
      </c>
      <c r="B1261" t="inlineStr">
        <is>
          <t>B</t>
        </is>
      </c>
      <c r="C1261" t="n">
        <v>3507</v>
      </c>
      <c r="D1261" t="inlineStr">
        <is>
          <t>Wiley-Blackwell Publishing</t>
        </is>
      </c>
    </row>
    <row r="1262">
      <c r="A1262" t="inlineStr">
        <is>
          <t>Journal of Applied Sport Management</t>
        </is>
      </c>
      <c r="B1262" t="inlineStr">
        <is>
          <t>C</t>
        </is>
      </c>
      <c r="C1262" t="n">
        <v>3504</v>
      </c>
      <c r="D1262" t="inlineStr">
        <is>
          <t>Sagamore Publishing</t>
        </is>
      </c>
    </row>
    <row r="1263">
      <c r="A1263" t="inlineStr">
        <is>
          <t>Journal of Applied Sport Psychology</t>
        </is>
      </c>
      <c r="B1263" t="inlineStr">
        <is>
          <t>A</t>
        </is>
      </c>
      <c r="C1263" t="n">
        <v>3504</v>
      </c>
      <c r="D1263" t="inlineStr">
        <is>
          <t>Taylor &amp; Francis Online</t>
        </is>
      </c>
    </row>
    <row r="1264">
      <c r="A1264" t="inlineStr">
        <is>
          <t>Journal of Applied Statistical Science</t>
        </is>
      </c>
      <c r="B1264" t="inlineStr">
        <is>
          <t>C</t>
        </is>
      </c>
      <c r="C1264" t="n">
        <v>4905</v>
      </c>
      <c r="D1264" t="inlineStr">
        <is>
          <t>Nova Science Publishers</t>
        </is>
      </c>
    </row>
    <row r="1265">
      <c r="A1265" t="inlineStr">
        <is>
          <t>Journal of Applied Statistics</t>
        </is>
      </c>
      <c r="B1265" t="inlineStr">
        <is>
          <t>B</t>
        </is>
      </c>
      <c r="C1265" t="n">
        <v>4905</v>
      </c>
      <c r="D1265" t="inlineStr">
        <is>
          <t>Taylor &amp; Francis Online</t>
        </is>
      </c>
    </row>
    <row r="1266">
      <c r="A1266" t="inlineStr">
        <is>
          <t>Journal of Arts Management Law and Society</t>
        </is>
      </c>
      <c r="B1266" t="inlineStr">
        <is>
          <t>C</t>
        </is>
      </c>
      <c r="C1266" t="n">
        <v>3504</v>
      </c>
      <c r="D1266" t="inlineStr">
        <is>
          <t>Taylor &amp; Francis Online</t>
        </is>
      </c>
    </row>
    <row r="1267">
      <c r="A1267" t="inlineStr">
        <is>
          <t>Journal of Asia Business Studies</t>
        </is>
      </c>
      <c r="B1267" t="inlineStr">
        <is>
          <t>C</t>
        </is>
      </c>
      <c r="C1267" t="n">
        <v>3507</v>
      </c>
      <c r="D1267" t="inlineStr">
        <is>
          <t>Emerald Group Publishing Limited</t>
        </is>
      </c>
    </row>
    <row r="1268">
      <c r="A1268" t="inlineStr">
        <is>
          <t>Journal of Asia Entrepreneurship and Sustainability</t>
        </is>
      </c>
      <c r="B1268" t="inlineStr">
        <is>
          <t>C</t>
        </is>
      </c>
      <c r="C1268" t="n">
        <v>3507</v>
      </c>
      <c r="D1268" t="inlineStr">
        <is>
          <t>Asia Academic Press</t>
        </is>
      </c>
    </row>
    <row r="1269">
      <c r="A1269" t="inlineStr">
        <is>
          <t>Journal of Asia Pacific Business</t>
        </is>
      </c>
      <c r="B1269" t="inlineStr">
        <is>
          <t>C</t>
        </is>
      </c>
      <c r="C1269" t="n">
        <v>3507</v>
      </c>
      <c r="D1269" t="inlineStr">
        <is>
          <t>Taylor &amp; Francis Online</t>
        </is>
      </c>
    </row>
    <row r="1270">
      <c r="A1270" t="inlineStr">
        <is>
          <t>Journal of Asian Business and Economic Studies</t>
        </is>
      </c>
      <c r="B1270" t="inlineStr">
        <is>
          <t>B</t>
        </is>
      </c>
      <c r="C1270" t="n">
        <v>3801</v>
      </c>
      <c r="D1270" t="inlineStr">
        <is>
          <t>Emerald Publishing</t>
        </is>
      </c>
    </row>
    <row r="1271">
      <c r="A1271" t="inlineStr">
        <is>
          <t>Journal of Asian Economics</t>
        </is>
      </c>
      <c r="B1271" t="inlineStr">
        <is>
          <t>B</t>
        </is>
      </c>
      <c r="C1271" t="n">
        <v>3801</v>
      </c>
      <c r="D1271" t="inlineStr">
        <is>
          <t>Elsevier</t>
        </is>
      </c>
    </row>
    <row r="1272">
      <c r="A1272" t="inlineStr">
        <is>
          <t>Journal of Australian Political Economy</t>
        </is>
      </c>
      <c r="B1272" t="inlineStr">
        <is>
          <t>B</t>
        </is>
      </c>
      <c r="C1272" t="n">
        <v>3899</v>
      </c>
      <c r="D1272" t="inlineStr">
        <is>
          <t>Australian Political Economy Movement</t>
        </is>
      </c>
    </row>
    <row r="1273">
      <c r="A1273" t="inlineStr">
        <is>
          <t>Journal of Australian Taxation</t>
        </is>
      </c>
      <c r="B1273" t="inlineStr">
        <is>
          <t>A</t>
        </is>
      </c>
      <c r="C1273" t="n">
        <v>4801</v>
      </c>
      <c r="D1273" t="inlineStr">
        <is>
          <t>Monash University</t>
        </is>
      </c>
    </row>
    <row r="1274">
      <c r="A1274" t="inlineStr">
        <is>
          <t>Journal of Banking &amp; Finance</t>
        </is>
      </c>
      <c r="B1274" t="inlineStr">
        <is>
          <t>A*</t>
        </is>
      </c>
      <c r="C1274" t="n">
        <v>3502</v>
      </c>
      <c r="D1274" t="inlineStr">
        <is>
          <t>Elsevier</t>
        </is>
      </c>
    </row>
    <row r="1275">
      <c r="A1275" t="inlineStr">
        <is>
          <t>Journal of Banking and Finance - Law and Practice</t>
        </is>
      </c>
      <c r="B1275" t="inlineStr">
        <is>
          <t>A</t>
        </is>
      </c>
      <c r="C1275" t="n">
        <v>4801</v>
      </c>
      <c r="D1275" t="inlineStr">
        <is>
          <t>Thomson Reuters</t>
        </is>
      </c>
    </row>
    <row r="1276">
      <c r="A1276" t="inlineStr">
        <is>
          <t>Journal of Banking Regulation</t>
        </is>
      </c>
      <c r="B1276" t="inlineStr">
        <is>
          <t>C</t>
        </is>
      </c>
      <c r="C1276" t="n">
        <v>4801</v>
      </c>
      <c r="D1276" t="inlineStr">
        <is>
          <t>Springer International Publishing</t>
        </is>
      </c>
    </row>
    <row r="1277">
      <c r="A1277" t="inlineStr">
        <is>
          <t>Journal of Behavioral and Experimental Economics</t>
        </is>
      </c>
      <c r="B1277" t="inlineStr">
        <is>
          <t>A</t>
        </is>
      </c>
      <c r="C1277" t="n">
        <v>3801</v>
      </c>
      <c r="D1277" t="inlineStr">
        <is>
          <t>Elsevier</t>
        </is>
      </c>
    </row>
    <row r="1278">
      <c r="A1278" t="inlineStr">
        <is>
          <t>Journal of Behavioral and Experimental Finance</t>
        </is>
      </c>
      <c r="B1278" t="inlineStr">
        <is>
          <t>A</t>
        </is>
      </c>
      <c r="C1278" t="n">
        <v>3502</v>
      </c>
      <c r="D1278" t="inlineStr">
        <is>
          <t>Elsevier</t>
        </is>
      </c>
    </row>
    <row r="1279">
      <c r="A1279" t="inlineStr">
        <is>
          <t>Journal of Behavioral Decision Making</t>
        </is>
      </c>
      <c r="B1279" t="inlineStr">
        <is>
          <t>A</t>
        </is>
      </c>
      <c r="C1279" t="n">
        <v>3507</v>
      </c>
      <c r="D1279" t="inlineStr">
        <is>
          <t>Wiley-Blackwell Publishing</t>
        </is>
      </c>
    </row>
    <row r="1280">
      <c r="A1280" t="inlineStr">
        <is>
          <t>Journal of Behavioral Finance</t>
        </is>
      </c>
      <c r="B1280" t="inlineStr">
        <is>
          <t>A</t>
        </is>
      </c>
      <c r="C1280" t="n">
        <v>3502</v>
      </c>
      <c r="D1280" t="inlineStr">
        <is>
          <t>Taylor &amp; Francis Online</t>
        </is>
      </c>
    </row>
    <row r="1281">
      <c r="A1281" t="inlineStr">
        <is>
          <t>Journal of Benefit-Cost Analysis</t>
        </is>
      </c>
      <c r="B1281" t="inlineStr">
        <is>
          <t>C</t>
        </is>
      </c>
      <c r="C1281" t="n">
        <v>3899</v>
      </c>
      <c r="D1281" t="inlineStr">
        <is>
          <t>Cambridge University Press</t>
        </is>
      </c>
    </row>
    <row r="1282">
      <c r="A1282" t="inlineStr">
        <is>
          <t>Journal of Bioeconomics</t>
        </is>
      </c>
      <c r="B1282" t="inlineStr">
        <is>
          <t>C</t>
        </is>
      </c>
      <c r="C1282" t="n">
        <v>3899</v>
      </c>
      <c r="D1282" t="inlineStr">
        <is>
          <t>Springer International Publishing</t>
        </is>
      </c>
    </row>
    <row r="1283">
      <c r="A1283" t="inlineStr">
        <is>
          <t>Journal of Biopharmaceutical Statistics</t>
        </is>
      </c>
      <c r="B1283" t="inlineStr">
        <is>
          <t>C</t>
        </is>
      </c>
      <c r="C1283" t="n">
        <v>4905</v>
      </c>
      <c r="D1283" t="inlineStr">
        <is>
          <t>Taylor &amp; Francis Online</t>
        </is>
      </c>
    </row>
    <row r="1284">
      <c r="A1284" t="inlineStr">
        <is>
          <t>Journal of Brand Management</t>
        </is>
      </c>
      <c r="B1284" t="inlineStr">
        <is>
          <t>A</t>
        </is>
      </c>
      <c r="C1284" t="n">
        <v>3506</v>
      </c>
      <c r="D1284" t="inlineStr">
        <is>
          <t>Springer International Publishing</t>
        </is>
      </c>
    </row>
    <row r="1285">
      <c r="A1285" t="inlineStr">
        <is>
          <t>Journal of Business &amp; Economic Statistics</t>
        </is>
      </c>
      <c r="B1285" t="inlineStr">
        <is>
          <t>A*</t>
        </is>
      </c>
      <c r="C1285" t="n">
        <v>3802</v>
      </c>
      <c r="D1285" t="inlineStr">
        <is>
          <t>Taylor &amp; Francis Online</t>
        </is>
      </c>
    </row>
    <row r="1286">
      <c r="A1286" t="inlineStr">
        <is>
          <t>Journal of Business &amp; Economic Studies</t>
        </is>
      </c>
      <c r="B1286" t="inlineStr">
        <is>
          <t>C</t>
        </is>
      </c>
      <c r="C1286" t="n">
        <v>3801</v>
      </c>
      <c r="D1286" t="inlineStr">
        <is>
          <t>Northeast Business &amp; Economics Association (NBEA)</t>
        </is>
      </c>
    </row>
    <row r="1287">
      <c r="A1287" t="inlineStr">
        <is>
          <t>Journal of Business &amp; Industrial Marketing</t>
        </is>
      </c>
      <c r="B1287" t="inlineStr">
        <is>
          <t>A</t>
        </is>
      </c>
      <c r="C1287" t="n">
        <v>3506</v>
      </c>
      <c r="D1287" t="inlineStr">
        <is>
          <t>Emerald Group Publishing</t>
        </is>
      </c>
    </row>
    <row r="1288">
      <c r="A1288" t="inlineStr">
        <is>
          <t>Journal of Business Analytics</t>
        </is>
      </c>
      <c r="B1288" t="inlineStr">
        <is>
          <t>C</t>
        </is>
      </c>
      <c r="C1288" t="n">
        <v>4609</v>
      </c>
      <c r="D1288" t="inlineStr">
        <is>
          <t>Taylor &amp; Francis Online</t>
        </is>
      </c>
    </row>
    <row r="1289">
      <c r="A1289" t="inlineStr">
        <is>
          <t>Journal of Business and Economic Perspectives</t>
        </is>
      </c>
      <c r="B1289" t="inlineStr">
        <is>
          <t>C</t>
        </is>
      </c>
      <c r="C1289" t="n">
        <v>3801</v>
      </c>
      <c r="D1289" t="inlineStr">
        <is>
          <t>The University of Tennessee at Martin</t>
        </is>
      </c>
    </row>
    <row r="1290">
      <c r="A1290" t="inlineStr">
        <is>
          <t>Journal of Business and Economics Research</t>
        </is>
      </c>
      <c r="B1290" t="inlineStr">
        <is>
          <t>C</t>
        </is>
      </c>
      <c r="C1290" t="n">
        <v>3801</v>
      </c>
      <c r="D1290" t="inlineStr">
        <is>
          <t>The Clute Institute</t>
        </is>
      </c>
    </row>
    <row r="1291">
      <c r="A1291" t="inlineStr">
        <is>
          <t>Journal of Business and Management</t>
        </is>
      </c>
      <c r="B1291" t="inlineStr">
        <is>
          <t>C</t>
        </is>
      </c>
      <c r="C1291" t="n">
        <v>3507</v>
      </c>
      <c r="D1291" t="inlineStr">
        <is>
          <t>Department of Management Information Systems at College of Commerce, National Chengchi University</t>
        </is>
      </c>
    </row>
    <row r="1292">
      <c r="A1292" t="inlineStr">
        <is>
          <t>Journal of Business and Psychology</t>
        </is>
      </c>
      <c r="B1292" t="inlineStr">
        <is>
          <t>A</t>
        </is>
      </c>
      <c r="C1292" t="n">
        <v>3507</v>
      </c>
      <c r="D1292" t="inlineStr">
        <is>
          <t>Springer International Publishing</t>
        </is>
      </c>
    </row>
    <row r="1293">
      <c r="A1293" t="inlineStr">
        <is>
          <t>Journal of Business and Technical Communication</t>
        </is>
      </c>
      <c r="B1293" t="inlineStr">
        <is>
          <t>C</t>
        </is>
      </c>
      <c r="C1293" t="n">
        <v>3507</v>
      </c>
      <c r="D1293" t="inlineStr">
        <is>
          <t>Sage Publications</t>
        </is>
      </c>
    </row>
    <row r="1294">
      <c r="A1294" t="inlineStr">
        <is>
          <t>Journal of Business Chemistry</t>
        </is>
      </c>
      <c r="B1294" t="inlineStr">
        <is>
          <t>C</t>
        </is>
      </c>
      <c r="C1294" t="n">
        <v>3507</v>
      </c>
      <c r="D1294" t="inlineStr">
        <is>
          <t>Institute of Business Administration</t>
        </is>
      </c>
    </row>
    <row r="1295">
      <c r="A1295" t="inlineStr">
        <is>
          <t>Journal of Business Cycle Research</t>
        </is>
      </c>
      <c r="B1295" t="inlineStr">
        <is>
          <t>B</t>
        </is>
      </c>
      <c r="C1295" t="n">
        <v>3801</v>
      </c>
      <c r="D1295" t="inlineStr">
        <is>
          <t>Springer International Publishing</t>
        </is>
      </c>
    </row>
    <row r="1296">
      <c r="A1296" t="inlineStr">
        <is>
          <t>Journal of Business Economics</t>
        </is>
      </c>
      <c r="B1296" t="inlineStr">
        <is>
          <t>B</t>
        </is>
      </c>
      <c r="C1296" t="n">
        <v>3507</v>
      </c>
      <c r="D1296" t="inlineStr">
        <is>
          <t>Springer Nature</t>
        </is>
      </c>
    </row>
    <row r="1297">
      <c r="A1297" t="inlineStr">
        <is>
          <t>Journal of Business Economics and Management</t>
        </is>
      </c>
      <c r="B1297" t="inlineStr">
        <is>
          <t>B</t>
        </is>
      </c>
      <c r="C1297" t="n">
        <v>3801</v>
      </c>
      <c r="D1297" t="inlineStr">
        <is>
          <t>Taylor &amp; Francis Online</t>
        </is>
      </c>
    </row>
    <row r="1298">
      <c r="A1298" t="inlineStr">
        <is>
          <t>Journal of Business Ethics</t>
        </is>
      </c>
      <c r="B1298" t="inlineStr">
        <is>
          <t>A</t>
        </is>
      </c>
      <c r="C1298" t="n">
        <v>3507</v>
      </c>
      <c r="D1298" t="inlineStr">
        <is>
          <t>Springer International Publishing</t>
        </is>
      </c>
    </row>
    <row r="1299">
      <c r="A1299" t="inlineStr">
        <is>
          <t>Journal of Business Finance &amp; Accounting</t>
        </is>
      </c>
      <c r="B1299" t="inlineStr">
        <is>
          <t>A*</t>
        </is>
      </c>
      <c r="C1299" t="n">
        <v>3501</v>
      </c>
      <c r="D1299" t="inlineStr">
        <is>
          <t>Wiley-Blackwell Publishing</t>
        </is>
      </c>
    </row>
    <row r="1300">
      <c r="A1300" t="inlineStr">
        <is>
          <t>Journal of Business Law</t>
        </is>
      </c>
      <c r="B1300" t="inlineStr">
        <is>
          <t>A</t>
        </is>
      </c>
      <c r="C1300" t="n">
        <v>4801</v>
      </c>
      <c r="D1300" t="inlineStr">
        <is>
          <t>Sweet &amp; Maxwell</t>
        </is>
      </c>
    </row>
    <row r="1301">
      <c r="A1301" t="inlineStr">
        <is>
          <t>Journal of Business Logistics</t>
        </is>
      </c>
      <c r="B1301" t="inlineStr">
        <is>
          <t>A</t>
        </is>
      </c>
      <c r="C1301" t="n">
        <v>3509</v>
      </c>
      <c r="D1301" t="inlineStr">
        <is>
          <t>Wiley-Blackwell Publishing</t>
        </is>
      </c>
    </row>
    <row r="1302">
      <c r="A1302" t="inlineStr">
        <is>
          <t>Journal of Business Market Management</t>
        </is>
      </c>
      <c r="B1302" t="inlineStr">
        <is>
          <t>B</t>
        </is>
      </c>
      <c r="C1302" t="n">
        <v>3506</v>
      </c>
      <c r="D1302" t="inlineStr">
        <is>
          <t>Springer International Publishing</t>
        </is>
      </c>
    </row>
    <row r="1303">
      <c r="A1303" t="inlineStr">
        <is>
          <t>Journal of Business Models</t>
        </is>
      </c>
      <c r="B1303" t="inlineStr">
        <is>
          <t>C</t>
        </is>
      </c>
      <c r="C1303" t="n">
        <v>3507</v>
      </c>
      <c r="D1303" t="inlineStr">
        <is>
          <t>Emerald Publishing</t>
        </is>
      </c>
    </row>
    <row r="1304">
      <c r="A1304" t="inlineStr">
        <is>
          <t>Journal of Business Research</t>
        </is>
      </c>
      <c r="B1304" t="inlineStr">
        <is>
          <t>A</t>
        </is>
      </c>
      <c r="C1304" t="n">
        <v>3506</v>
      </c>
      <c r="D1304" t="inlineStr">
        <is>
          <t>Elsevier</t>
        </is>
      </c>
    </row>
    <row r="1305">
      <c r="A1305" t="inlineStr">
        <is>
          <t>Journal of Business Strategy</t>
        </is>
      </c>
      <c r="B1305" t="inlineStr">
        <is>
          <t>B</t>
        </is>
      </c>
      <c r="C1305" t="n">
        <v>3507</v>
      </c>
      <c r="D1305" t="inlineStr">
        <is>
          <t>Emerald Group Publishing</t>
        </is>
      </c>
    </row>
    <row r="1306">
      <c r="A1306" t="inlineStr">
        <is>
          <t>Journal of Business Studies</t>
        </is>
      </c>
      <c r="B1306" t="inlineStr">
        <is>
          <t>C</t>
        </is>
      </c>
      <c r="C1306" t="n">
        <v>3507</v>
      </c>
      <c r="D1306" t="inlineStr">
        <is>
          <t>Faculty of Management Studies &amp; Commerce University of Jaffna - Sri Lanka</t>
        </is>
      </c>
    </row>
    <row r="1307">
      <c r="A1307" t="inlineStr">
        <is>
          <t>Journal of Business Thought</t>
        </is>
      </c>
      <c r="B1307" t="inlineStr">
        <is>
          <t>C</t>
        </is>
      </c>
      <c r="C1307" t="n">
        <v>3801</v>
      </c>
      <c r="D1307" t="inlineStr">
        <is>
          <t>Sri Guru Gobind Singh College of Commerce</t>
        </is>
      </c>
    </row>
    <row r="1308">
      <c r="A1308" t="inlineStr">
        <is>
          <t>Journal of Business Venturing</t>
        </is>
      </c>
      <c r="B1308" t="inlineStr">
        <is>
          <t>A*</t>
        </is>
      </c>
      <c r="C1308" t="n">
        <v>3507</v>
      </c>
      <c r="D1308" t="inlineStr">
        <is>
          <t>Elsevier</t>
        </is>
      </c>
    </row>
    <row r="1309">
      <c r="A1309" t="inlineStr">
        <is>
          <t>Journal of Business Venturing Insights</t>
        </is>
      </c>
      <c r="B1309" t="inlineStr">
        <is>
          <t>A</t>
        </is>
      </c>
      <c r="C1309" t="n">
        <v>3507</v>
      </c>
      <c r="D1309" t="inlineStr">
        <is>
          <t>Elsevier</t>
        </is>
      </c>
    </row>
    <row r="1310">
      <c r="A1310" t="inlineStr">
        <is>
          <t>Journal of Business-to-Business Marketing</t>
        </is>
      </c>
      <c r="B1310" t="inlineStr">
        <is>
          <t>B</t>
        </is>
      </c>
      <c r="C1310" t="n">
        <v>3506</v>
      </c>
      <c r="D1310" t="inlineStr">
        <is>
          <t>Taylor &amp; Francis Online</t>
        </is>
      </c>
    </row>
    <row r="1311">
      <c r="A1311" t="inlineStr">
        <is>
          <t>Journal of Career Assessment</t>
        </is>
      </c>
      <c r="B1311" t="inlineStr">
        <is>
          <t>A</t>
        </is>
      </c>
      <c r="C1311" t="n">
        <v>3505</v>
      </c>
      <c r="D1311" t="inlineStr">
        <is>
          <t>Sage Publications</t>
        </is>
      </c>
    </row>
    <row r="1312">
      <c r="A1312" t="inlineStr">
        <is>
          <t>Journal of Career Development</t>
        </is>
      </c>
      <c r="B1312" t="inlineStr">
        <is>
          <t>B</t>
        </is>
      </c>
      <c r="C1312" t="n">
        <v>3505</v>
      </c>
      <c r="D1312" t="inlineStr">
        <is>
          <t>Sage Publications</t>
        </is>
      </c>
    </row>
    <row r="1313">
      <c r="A1313" t="inlineStr">
        <is>
          <t>Journal of Case Studies</t>
        </is>
      </c>
      <c r="B1313" t="inlineStr">
        <is>
          <t>C</t>
        </is>
      </c>
      <c r="C1313" t="n">
        <v>3599</v>
      </c>
      <c r="D1313" t="inlineStr">
        <is>
          <t>Society for Case Research</t>
        </is>
      </c>
    </row>
    <row r="1314">
      <c r="A1314" t="inlineStr">
        <is>
          <t>Journal of Cases on Information Technology</t>
        </is>
      </c>
      <c r="B1314" t="inlineStr">
        <is>
          <t>C</t>
        </is>
      </c>
      <c r="C1314" t="n">
        <v>4609</v>
      </c>
      <c r="D1314" t="inlineStr">
        <is>
          <t>IGI Global</t>
        </is>
      </c>
    </row>
    <row r="1315">
      <c r="A1315" t="inlineStr">
        <is>
          <t>Journal of Change Management</t>
        </is>
      </c>
      <c r="B1315" t="inlineStr">
        <is>
          <t>C</t>
        </is>
      </c>
      <c r="C1315" t="n">
        <v>3507</v>
      </c>
      <c r="D1315" t="inlineStr">
        <is>
          <t>Taylor &amp; Francis Online</t>
        </is>
      </c>
    </row>
    <row r="1316">
      <c r="A1316" t="inlineStr">
        <is>
          <t>Journal of China Tourism Research</t>
        </is>
      </c>
      <c r="B1316" t="inlineStr">
        <is>
          <t>B</t>
        </is>
      </c>
      <c r="C1316" t="n">
        <v>3508</v>
      </c>
      <c r="D1316" t="inlineStr">
        <is>
          <t>Taylor &amp; Francis Online</t>
        </is>
      </c>
    </row>
    <row r="1317">
      <c r="A1317" t="inlineStr">
        <is>
          <t>Journal of Chinese Economic and Foreign Trade Studies</t>
        </is>
      </c>
      <c r="B1317" t="inlineStr">
        <is>
          <t>C</t>
        </is>
      </c>
      <c r="C1317" t="n">
        <v>3899</v>
      </c>
      <c r="D1317" t="inlineStr">
        <is>
          <t>Emerald Group Publishing</t>
        </is>
      </c>
    </row>
    <row r="1318">
      <c r="A1318" t="inlineStr">
        <is>
          <t>Journal of Chinese Economics and Business Studies</t>
        </is>
      </c>
      <c r="B1318" t="inlineStr">
        <is>
          <t>C</t>
        </is>
      </c>
      <c r="C1318" t="n">
        <v>3801</v>
      </c>
      <c r="D1318" t="inlineStr">
        <is>
          <t>Taylor &amp; Francis Online</t>
        </is>
      </c>
    </row>
    <row r="1319">
      <c r="A1319" t="inlineStr">
        <is>
          <t>Journal of Chinese Tax and Policy</t>
        </is>
      </c>
      <c r="B1319" t="inlineStr">
        <is>
          <t>C</t>
        </is>
      </c>
      <c r="C1319" t="n">
        <v>4801</v>
      </c>
      <c r="D1319" t="inlineStr">
        <is>
          <t>The University of Sydney</t>
        </is>
      </c>
    </row>
    <row r="1320">
      <c r="A1320" t="inlineStr">
        <is>
          <t>Journal of Choice Modelling</t>
        </is>
      </c>
      <c r="B1320" t="inlineStr">
        <is>
          <t>A</t>
        </is>
      </c>
      <c r="C1320" t="n">
        <v>3803</v>
      </c>
      <c r="D1320" t="inlineStr">
        <is>
          <t>Elsevier</t>
        </is>
      </c>
    </row>
    <row r="1321">
      <c r="A1321" t="inlineStr">
        <is>
          <t>Journal of Cleaner Production</t>
        </is>
      </c>
      <c r="B1321" t="inlineStr">
        <is>
          <t>C</t>
        </is>
      </c>
      <c r="C1321" t="n">
        <v>3507</v>
      </c>
      <c r="D1321" t="inlineStr">
        <is>
          <t>Elsevier</t>
        </is>
      </c>
    </row>
    <row r="1322">
      <c r="A1322" t="inlineStr">
        <is>
          <t>Journal of Co-operative Studies</t>
        </is>
      </c>
      <c r="B1322" t="inlineStr">
        <is>
          <t>C</t>
        </is>
      </c>
      <c r="C1322" t="n">
        <v>3507</v>
      </c>
      <c r="D1322" t="inlineStr">
        <is>
          <t>UK Society for Co-operative Studies</t>
        </is>
      </c>
    </row>
    <row r="1323">
      <c r="A1323" t="inlineStr">
        <is>
          <t>Journal of Commerce and Accounting Research</t>
        </is>
      </c>
      <c r="B1323" t="inlineStr">
        <is>
          <t>C</t>
        </is>
      </c>
      <c r="C1323" t="n">
        <v>3501</v>
      </c>
      <c r="D1323" t="inlineStr">
        <is>
          <t>Publishing India Group</t>
        </is>
      </c>
    </row>
    <row r="1324">
      <c r="A1324" t="inlineStr">
        <is>
          <t>Journal of Commodity Markets</t>
        </is>
      </c>
      <c r="B1324" t="inlineStr">
        <is>
          <t>A</t>
        </is>
      </c>
      <c r="C1324" t="n">
        <v>3502</v>
      </c>
      <c r="D1324" t="inlineStr">
        <is>
          <t>Elsevier</t>
        </is>
      </c>
    </row>
    <row r="1325">
      <c r="A1325" t="inlineStr">
        <is>
          <t>Journal of Common Market Studies</t>
        </is>
      </c>
      <c r="B1325" t="inlineStr">
        <is>
          <t>B</t>
        </is>
      </c>
      <c r="C1325" t="n">
        <v>3801</v>
      </c>
      <c r="D1325" t="inlineStr">
        <is>
          <t>Wiley-Blackwell Publishing</t>
        </is>
      </c>
    </row>
    <row r="1326">
      <c r="A1326" t="inlineStr">
        <is>
          <t>Journal of Communication</t>
        </is>
      </c>
      <c r="B1326" t="inlineStr">
        <is>
          <t>A</t>
        </is>
      </c>
      <c r="C1326" t="n">
        <v>3599</v>
      </c>
      <c r="D1326" t="inlineStr">
        <is>
          <t>Oxford University Press</t>
        </is>
      </c>
    </row>
    <row r="1327">
      <c r="A1327" t="inlineStr">
        <is>
          <t>Journal of Communication Management</t>
        </is>
      </c>
      <c r="B1327" t="inlineStr">
        <is>
          <t>B</t>
        </is>
      </c>
      <c r="C1327" t="n">
        <v>3506</v>
      </c>
      <c r="D1327" t="inlineStr">
        <is>
          <t>Emerald Group Publishing</t>
        </is>
      </c>
    </row>
    <row r="1328">
      <c r="A1328" t="inlineStr">
        <is>
          <t>Journal of Community Informatics</t>
        </is>
      </c>
      <c r="B1328" t="inlineStr">
        <is>
          <t>C</t>
        </is>
      </c>
      <c r="C1328" t="n">
        <v>4609</v>
      </c>
      <c r="D1328" t="inlineStr">
        <is>
          <t>Community Informatics Research Network</t>
        </is>
      </c>
    </row>
    <row r="1329">
      <c r="A1329" t="inlineStr">
        <is>
          <t>Journal of Comparative Economics</t>
        </is>
      </c>
      <c r="B1329" t="inlineStr">
        <is>
          <t>A</t>
        </is>
      </c>
      <c r="C1329" t="n">
        <v>3899</v>
      </c>
      <c r="D1329" t="inlineStr">
        <is>
          <t>Elsevier</t>
        </is>
      </c>
    </row>
    <row r="1330">
      <c r="A1330" t="inlineStr">
        <is>
          <t>Journal of Comparative International Management</t>
        </is>
      </c>
      <c r="B1330" t="inlineStr">
        <is>
          <t>C</t>
        </is>
      </c>
      <c r="C1330" t="n">
        <v>3507</v>
      </c>
      <c r="D1330" t="inlineStr">
        <is>
          <t>Array</t>
        </is>
      </c>
    </row>
    <row r="1331">
      <c r="A1331" t="inlineStr">
        <is>
          <t>Journal of Comparative Policy Analysis: research and practice</t>
        </is>
      </c>
      <c r="B1331" t="inlineStr">
        <is>
          <t>B</t>
        </is>
      </c>
      <c r="C1331" t="n">
        <v>3599</v>
      </c>
      <c r="D1331" t="inlineStr">
        <is>
          <t>Taylor &amp; Francis Online</t>
        </is>
      </c>
    </row>
    <row r="1332">
      <c r="A1332" t="inlineStr">
        <is>
          <t>Journal of Competition Law and Economics</t>
        </is>
      </c>
      <c r="B1332" t="inlineStr">
        <is>
          <t>B</t>
        </is>
      </c>
      <c r="C1332" t="n">
        <v>3801</v>
      </c>
      <c r="D1332" t="inlineStr">
        <is>
          <t>Oxford University Press</t>
        </is>
      </c>
    </row>
    <row r="1333">
      <c r="A1333" t="inlineStr">
        <is>
          <t>Journal of Computational and Graphical Statistics</t>
        </is>
      </c>
      <c r="B1333" t="inlineStr">
        <is>
          <t>A*</t>
        </is>
      </c>
      <c r="C1333" t="n">
        <v>4905</v>
      </c>
      <c r="D1333" t="inlineStr">
        <is>
          <t>Taylor &amp; Francis Online</t>
        </is>
      </c>
    </row>
    <row r="1334">
      <c r="A1334" t="inlineStr">
        <is>
          <t>Journal of Computational Finance</t>
        </is>
      </c>
      <c r="B1334" t="inlineStr">
        <is>
          <t>C</t>
        </is>
      </c>
      <c r="C1334" t="n">
        <v>3502</v>
      </c>
      <c r="D1334" t="inlineStr">
        <is>
          <t>Incisive Risk Information Limited</t>
        </is>
      </c>
    </row>
    <row r="1335">
      <c r="A1335" t="inlineStr">
        <is>
          <t>Journal of Computer Information Systems</t>
        </is>
      </c>
      <c r="B1335" t="inlineStr">
        <is>
          <t>A</t>
        </is>
      </c>
      <c r="C1335" t="n">
        <v>4609</v>
      </c>
      <c r="D1335" t="inlineStr">
        <is>
          <t>Taylor &amp; Francis Online</t>
        </is>
      </c>
    </row>
    <row r="1336">
      <c r="A1336" t="inlineStr">
        <is>
          <t>Journal of Conflict Resolution</t>
        </is>
      </c>
      <c r="B1336" t="inlineStr">
        <is>
          <t>A*</t>
        </is>
      </c>
      <c r="C1336" t="n">
        <v>3801</v>
      </c>
      <c r="D1336" t="inlineStr">
        <is>
          <t>Sage Publications</t>
        </is>
      </c>
    </row>
    <row r="1337">
      <c r="A1337" t="inlineStr">
        <is>
          <t>Journal of Construction Accounting and Taxation</t>
        </is>
      </c>
      <c r="B1337" t="inlineStr">
        <is>
          <t>C</t>
        </is>
      </c>
      <c r="C1337" t="n">
        <v>4801</v>
      </c>
      <c r="D1337" t="inlineStr">
        <is>
          <t>Warren, Gorham &amp; Lamont, Inc.: Thomson Reuters</t>
        </is>
      </c>
    </row>
    <row r="1338">
      <c r="A1338" t="inlineStr">
        <is>
          <t>Journal of Construction Engineering and Management</t>
        </is>
      </c>
      <c r="B1338" t="inlineStr">
        <is>
          <t>A*</t>
        </is>
      </c>
      <c r="C1338" t="n">
        <v>3504</v>
      </c>
      <c r="D1338" t="inlineStr">
        <is>
          <t>American Society of Civil Engineers</t>
        </is>
      </c>
    </row>
    <row r="1339">
      <c r="A1339" t="inlineStr">
        <is>
          <t>Journal of Constructivist Psychology</t>
        </is>
      </c>
      <c r="B1339" t="inlineStr">
        <is>
          <t>B</t>
        </is>
      </c>
      <c r="C1339" t="n">
        <v>3507</v>
      </c>
      <c r="D1339" t="inlineStr">
        <is>
          <t>Taylor &amp; Francis Online</t>
        </is>
      </c>
    </row>
    <row r="1340">
      <c r="A1340" t="inlineStr">
        <is>
          <t>Journal of Consumer Affairs</t>
        </is>
      </c>
      <c r="B1340" t="inlineStr">
        <is>
          <t>A</t>
        </is>
      </c>
      <c r="C1340" t="n">
        <v>3506</v>
      </c>
      <c r="D1340" t="inlineStr">
        <is>
          <t>Wiley-Blackwell Publishing</t>
        </is>
      </c>
    </row>
    <row r="1341">
      <c r="A1341" t="inlineStr">
        <is>
          <t>Journal of Consumer Behaviour</t>
        </is>
      </c>
      <c r="B1341" t="inlineStr">
        <is>
          <t>A</t>
        </is>
      </c>
      <c r="C1341" t="n">
        <v>3506</v>
      </c>
      <c r="D1341" t="inlineStr">
        <is>
          <t>Wiley-Blackwell Publishing</t>
        </is>
      </c>
    </row>
    <row r="1342">
      <c r="A1342" t="inlineStr">
        <is>
          <t>Journal of Consumer Marketing</t>
        </is>
      </c>
      <c r="B1342" t="inlineStr">
        <is>
          <t>A</t>
        </is>
      </c>
      <c r="C1342" t="n">
        <v>3506</v>
      </c>
      <c r="D1342" t="inlineStr">
        <is>
          <t>Emerald Group Publishing</t>
        </is>
      </c>
    </row>
    <row r="1343">
      <c r="A1343" t="inlineStr">
        <is>
          <t>Journal of Consumer Policy</t>
        </is>
      </c>
      <c r="B1343" t="inlineStr">
        <is>
          <t>C</t>
        </is>
      </c>
      <c r="C1343" t="n">
        <v>3801</v>
      </c>
      <c r="D1343" t="inlineStr">
        <is>
          <t>Springer International Publishing</t>
        </is>
      </c>
    </row>
    <row r="1344">
      <c r="A1344" t="inlineStr">
        <is>
          <t>Journal of Consumer Psychology</t>
        </is>
      </c>
      <c r="B1344" t="inlineStr">
        <is>
          <t>A*</t>
        </is>
      </c>
      <c r="C1344" t="n">
        <v>3506</v>
      </c>
      <c r="D1344" t="inlineStr">
        <is>
          <t>Wiley-Blackwell Publishing</t>
        </is>
      </c>
    </row>
    <row r="1345">
      <c r="A1345" t="inlineStr">
        <is>
          <t>Journal of Consumer Research</t>
        </is>
      </c>
      <c r="B1345" t="inlineStr">
        <is>
          <t>A*</t>
        </is>
      </c>
      <c r="C1345" t="n">
        <v>3506</v>
      </c>
      <c r="D1345" t="inlineStr">
        <is>
          <t>Oxford University Press</t>
        </is>
      </c>
    </row>
    <row r="1346">
      <c r="A1346" t="inlineStr">
        <is>
          <t>Journal of Consumer Satisfaction, Dissatisfaction and Complaining Behavior</t>
        </is>
      </c>
      <c r="B1346" t="inlineStr">
        <is>
          <t>C</t>
        </is>
      </c>
      <c r="C1346" t="n">
        <v>3506</v>
      </c>
      <c r="D1346" t="inlineStr">
        <is>
          <t>Consumer Satisfaction, Dissatisfaction, and Complaining Behavior, Inc</t>
        </is>
      </c>
    </row>
    <row r="1347">
      <c r="A1347" t="inlineStr">
        <is>
          <t>Journal of Contemporary Accounting and Economics</t>
        </is>
      </c>
      <c r="B1347" t="inlineStr">
        <is>
          <t>A</t>
        </is>
      </c>
      <c r="C1347" t="n">
        <v>3501</v>
      </c>
      <c r="D1347" t="inlineStr">
        <is>
          <t>Elsevier</t>
        </is>
      </c>
    </row>
    <row r="1348">
      <c r="A1348" t="inlineStr">
        <is>
          <t>Journal of Contemporary Business Issues</t>
        </is>
      </c>
      <c r="B1348" t="inlineStr">
        <is>
          <t>C</t>
        </is>
      </c>
      <c r="C1348" t="n">
        <v>3507</v>
      </c>
      <c r="D1348" t="inlineStr">
        <is>
          <t>Western Illinois University</t>
        </is>
      </c>
    </row>
    <row r="1349">
      <c r="A1349" t="inlineStr">
        <is>
          <t>Journal of Contract Law</t>
        </is>
      </c>
      <c r="B1349" t="inlineStr">
        <is>
          <t>A</t>
        </is>
      </c>
      <c r="C1349" t="n">
        <v>4801</v>
      </c>
      <c r="D1349" t="inlineStr">
        <is>
          <t>LexisNexis</t>
        </is>
      </c>
    </row>
    <row r="1350">
      <c r="A1350" t="inlineStr">
        <is>
          <t>Journal of Convention &amp; Event Tourism</t>
        </is>
      </c>
      <c r="B1350" t="inlineStr">
        <is>
          <t>B</t>
        </is>
      </c>
      <c r="C1350" t="n">
        <v>3508</v>
      </c>
      <c r="D1350" t="inlineStr">
        <is>
          <t>Taylor &amp; Francis Online</t>
        </is>
      </c>
    </row>
    <row r="1351">
      <c r="A1351" t="inlineStr">
        <is>
          <t>Journal of Corporate Accounting and Finance</t>
        </is>
      </c>
      <c r="B1351" t="inlineStr">
        <is>
          <t>B</t>
        </is>
      </c>
      <c r="C1351" t="n">
        <v>3501</v>
      </c>
      <c r="D1351" t="inlineStr">
        <is>
          <t>Wiley-Blackwell Publishing</t>
        </is>
      </c>
    </row>
    <row r="1352">
      <c r="A1352" t="inlineStr">
        <is>
          <t>Journal of Corporate Finance</t>
        </is>
      </c>
      <c r="B1352" t="inlineStr">
        <is>
          <t>A*</t>
        </is>
      </c>
      <c r="C1352" t="n">
        <v>3502</v>
      </c>
      <c r="D1352" t="inlineStr">
        <is>
          <t>Elsevier</t>
        </is>
      </c>
    </row>
    <row r="1353">
      <c r="A1353" t="inlineStr">
        <is>
          <t>Journal of Corporate Law Studies</t>
        </is>
      </c>
      <c r="B1353" t="inlineStr">
        <is>
          <t>A</t>
        </is>
      </c>
      <c r="C1353" t="n">
        <v>4801</v>
      </c>
      <c r="D1353" t="inlineStr">
        <is>
          <t>Taylor &amp; Francis Online</t>
        </is>
      </c>
    </row>
    <row r="1354">
      <c r="A1354" t="inlineStr">
        <is>
          <t>Journal of Corporate Real Estate</t>
        </is>
      </c>
      <c r="B1354" t="inlineStr">
        <is>
          <t>C</t>
        </is>
      </c>
      <c r="C1354" t="n">
        <v>3504</v>
      </c>
      <c r="D1354" t="inlineStr">
        <is>
          <t>Emerald Group Publishing</t>
        </is>
      </c>
    </row>
    <row r="1355">
      <c r="A1355" t="inlineStr">
        <is>
          <t>Journal of Corporation Law</t>
        </is>
      </c>
      <c r="B1355" t="inlineStr">
        <is>
          <t>A</t>
        </is>
      </c>
      <c r="C1355" t="n">
        <v>4801</v>
      </c>
      <c r="D1355" t="inlineStr">
        <is>
          <t>University of Iowa College of Law</t>
        </is>
      </c>
    </row>
    <row r="1356">
      <c r="A1356" t="inlineStr">
        <is>
          <t>Journal of Cost &amp; Management</t>
        </is>
      </c>
      <c r="B1356" t="inlineStr">
        <is>
          <t>C</t>
        </is>
      </c>
      <c r="C1356" t="n">
        <v>3501</v>
      </c>
      <c r="D1356" t="inlineStr">
        <is>
          <t>Croatian Accountant</t>
        </is>
      </c>
    </row>
    <row r="1357">
      <c r="A1357" t="inlineStr">
        <is>
          <t>Journal of Creating Value</t>
        </is>
      </c>
      <c r="B1357" t="inlineStr">
        <is>
          <t>C</t>
        </is>
      </c>
      <c r="C1357" t="n">
        <v>3506</v>
      </c>
      <c r="D1357" t="inlineStr">
        <is>
          <t>Sage Publications</t>
        </is>
      </c>
    </row>
    <row r="1358">
      <c r="A1358" t="inlineStr">
        <is>
          <t>Journal of Creative Communications</t>
        </is>
      </c>
      <c r="B1358" t="inlineStr">
        <is>
          <t>C</t>
        </is>
      </c>
      <c r="C1358" t="n">
        <v>3506</v>
      </c>
      <c r="D1358" t="inlineStr">
        <is>
          <t>Sage Publications</t>
        </is>
      </c>
    </row>
    <row r="1359">
      <c r="A1359" t="inlineStr">
        <is>
          <t>Journal of Credit Risk</t>
        </is>
      </c>
      <c r="B1359" t="inlineStr">
        <is>
          <t>C</t>
        </is>
      </c>
      <c r="C1359" t="n">
        <v>3502</v>
      </c>
      <c r="D1359" t="inlineStr">
        <is>
          <t>Incisive Risk Information Ltd.</t>
        </is>
      </c>
    </row>
    <row r="1360">
      <c r="A1360" t="inlineStr">
        <is>
          <t>Journal of Cross-Cultural Psychology</t>
        </is>
      </c>
      <c r="B1360" t="inlineStr">
        <is>
          <t>A</t>
        </is>
      </c>
      <c r="C1360" t="n">
        <v>3507</v>
      </c>
      <c r="D1360" t="inlineStr">
        <is>
          <t>Sage Publications</t>
        </is>
      </c>
    </row>
    <row r="1361">
      <c r="A1361" t="inlineStr">
        <is>
          <t>Journal of Culinary Science and Technology</t>
        </is>
      </c>
      <c r="B1361" t="inlineStr">
        <is>
          <t>C</t>
        </is>
      </c>
      <c r="C1361" t="n">
        <v>3504</v>
      </c>
      <c r="D1361" t="inlineStr">
        <is>
          <t>Taylor &amp; Francis Online</t>
        </is>
      </c>
    </row>
    <row r="1362">
      <c r="A1362" t="inlineStr">
        <is>
          <t>Journal of Cultural Economics</t>
        </is>
      </c>
      <c r="B1362" t="inlineStr">
        <is>
          <t>A</t>
        </is>
      </c>
      <c r="C1362" t="n">
        <v>3801</v>
      </c>
      <c r="D1362" t="inlineStr">
        <is>
          <t>Springer International Publishing</t>
        </is>
      </c>
    </row>
    <row r="1363">
      <c r="A1363" t="inlineStr">
        <is>
          <t>Journal of Cultural Heritage Management and Sustainable Development</t>
        </is>
      </c>
      <c r="B1363" t="inlineStr">
        <is>
          <t>C</t>
        </is>
      </c>
      <c r="C1363" t="n">
        <v>3508</v>
      </c>
      <c r="D1363" t="inlineStr">
        <is>
          <t>Emerald Group Publishing</t>
        </is>
      </c>
    </row>
    <row r="1364">
      <c r="A1364" t="inlineStr">
        <is>
          <t>Journal of Current Issues and Research in Advertising</t>
        </is>
      </c>
      <c r="B1364" t="inlineStr">
        <is>
          <t>B</t>
        </is>
      </c>
      <c r="C1364" t="n">
        <v>3506</v>
      </c>
      <c r="D1364" t="inlineStr">
        <is>
          <t>Taylor &amp; Francis Online</t>
        </is>
      </c>
    </row>
    <row r="1365">
      <c r="A1365" t="inlineStr">
        <is>
          <t>Journal of Customer Behavior</t>
        </is>
      </c>
      <c r="B1365" t="inlineStr">
        <is>
          <t>C</t>
        </is>
      </c>
      <c r="C1365" t="n">
        <v>3506</v>
      </c>
      <c r="D1365" t="inlineStr">
        <is>
          <t>Westburn Publishers Ltd</t>
        </is>
      </c>
    </row>
    <row r="1366">
      <c r="A1366" t="inlineStr">
        <is>
          <t>Journal of Database Management</t>
        </is>
      </c>
      <c r="B1366" t="inlineStr">
        <is>
          <t>A</t>
        </is>
      </c>
      <c r="C1366" t="n">
        <v>4609</v>
      </c>
      <c r="D1366" t="inlineStr">
        <is>
          <t>IGI Global</t>
        </is>
      </c>
    </row>
    <row r="1367">
      <c r="A1367" t="inlineStr">
        <is>
          <t>Journal of Database Marketing &amp; Customer Strategy Management</t>
        </is>
      </c>
      <c r="B1367" t="inlineStr">
        <is>
          <t>C</t>
        </is>
      </c>
      <c r="C1367" t="n">
        <v>3506</v>
      </c>
      <c r="D1367" t="inlineStr">
        <is>
          <t>Springer Nature</t>
        </is>
      </c>
    </row>
    <row r="1368">
      <c r="A1368" t="inlineStr">
        <is>
          <t>Journal of Decision Systems</t>
        </is>
      </c>
      <c r="B1368" t="inlineStr">
        <is>
          <t>B</t>
        </is>
      </c>
      <c r="C1368" t="n">
        <v>4609</v>
      </c>
      <c r="D1368" t="inlineStr">
        <is>
          <t>Taylor &amp; Francis Online</t>
        </is>
      </c>
    </row>
    <row r="1369">
      <c r="A1369" t="inlineStr">
        <is>
          <t>Journal of Demographic Economics</t>
        </is>
      </c>
      <c r="B1369" t="inlineStr">
        <is>
          <t>B</t>
        </is>
      </c>
      <c r="C1369" t="n">
        <v>3801</v>
      </c>
      <c r="D1369" t="inlineStr">
        <is>
          <t>Cambridge University Press</t>
        </is>
      </c>
    </row>
    <row r="1370">
      <c r="A1370" t="inlineStr">
        <is>
          <t>Journal of Derivatives and Hedge Funds</t>
        </is>
      </c>
      <c r="B1370" t="inlineStr">
        <is>
          <t>C</t>
        </is>
      </c>
      <c r="C1370" t="n">
        <v>3502</v>
      </c>
      <c r="D1370" t="inlineStr">
        <is>
          <t>Macmillan Publishers Limited</t>
        </is>
      </c>
    </row>
    <row r="1371">
      <c r="A1371" t="inlineStr">
        <is>
          <t>Journal of Destination Marketing &amp; Management</t>
        </is>
      </c>
      <c r="B1371" t="inlineStr">
        <is>
          <t>A</t>
        </is>
      </c>
      <c r="C1371" t="n">
        <v>3508</v>
      </c>
      <c r="D1371" t="inlineStr">
        <is>
          <t>Elsevier</t>
        </is>
      </c>
    </row>
    <row r="1372">
      <c r="A1372" t="inlineStr">
        <is>
          <t>Journal of Development Economics</t>
        </is>
      </c>
      <c r="B1372" t="inlineStr">
        <is>
          <t>A*</t>
        </is>
      </c>
      <c r="C1372" t="n">
        <v>3801</v>
      </c>
      <c r="D1372" t="inlineStr">
        <is>
          <t>Elsevier</t>
        </is>
      </c>
    </row>
    <row r="1373">
      <c r="A1373" t="inlineStr">
        <is>
          <t>Journal of Development Studies</t>
        </is>
      </c>
      <c r="B1373" t="inlineStr">
        <is>
          <t>A</t>
        </is>
      </c>
      <c r="C1373" t="n">
        <v>3801</v>
      </c>
      <c r="D1373" t="inlineStr">
        <is>
          <t>Taylor &amp; Francis Online</t>
        </is>
      </c>
    </row>
    <row r="1374">
      <c r="A1374" t="inlineStr">
        <is>
          <t>Journal of Digital &amp; Social Media Marketing</t>
        </is>
      </c>
      <c r="B1374" t="inlineStr">
        <is>
          <t>C</t>
        </is>
      </c>
      <c r="C1374" t="n">
        <v>3506</v>
      </c>
      <c r="D1374" t="inlineStr">
        <is>
          <t>Henry Stewart Publications</t>
        </is>
      </c>
    </row>
    <row r="1375">
      <c r="A1375" t="inlineStr">
        <is>
          <t>Journal of Digital Economy</t>
        </is>
      </c>
      <c r="B1375" t="inlineStr">
        <is>
          <t>B</t>
        </is>
      </c>
      <c r="C1375" t="n">
        <v>3507</v>
      </c>
      <c r="D1375" t="inlineStr">
        <is>
          <t>KeAi Communications Co., Ltd.</t>
        </is>
      </c>
    </row>
    <row r="1376">
      <c r="A1376" t="inlineStr">
        <is>
          <t>Journal of Documentation</t>
        </is>
      </c>
      <c r="B1376" t="inlineStr">
        <is>
          <t>B</t>
        </is>
      </c>
      <c r="C1376" t="n">
        <v>4609</v>
      </c>
      <c r="D1376" t="inlineStr">
        <is>
          <t>Emerald Group Publishing</t>
        </is>
      </c>
    </row>
    <row r="1377">
      <c r="A1377" t="inlineStr">
        <is>
          <t>Journal of East European Management Studies</t>
        </is>
      </c>
      <c r="B1377" t="inlineStr">
        <is>
          <t>C</t>
        </is>
      </c>
      <c r="C1377" t="n">
        <v>3507</v>
      </c>
      <c r="D1377" t="inlineStr">
        <is>
          <t>Nomos</t>
        </is>
      </c>
    </row>
    <row r="1378">
      <c r="A1378" t="inlineStr">
        <is>
          <t>Journal of East-West Business</t>
        </is>
      </c>
      <c r="B1378" t="inlineStr">
        <is>
          <t>C</t>
        </is>
      </c>
      <c r="C1378" t="n">
        <v>3507</v>
      </c>
      <c r="D1378" t="inlineStr">
        <is>
          <t>Taylor &amp; Francis Online</t>
        </is>
      </c>
    </row>
    <row r="1379">
      <c r="A1379" t="inlineStr">
        <is>
          <t>Journal of Eastern Asia Society for Transportation Studies</t>
        </is>
      </c>
      <c r="B1379" t="inlineStr">
        <is>
          <t>C</t>
        </is>
      </c>
      <c r="C1379" t="n">
        <v>3509</v>
      </c>
      <c r="D1379" t="inlineStr">
        <is>
          <t>Eastern Asia Society for Transportation Studies</t>
        </is>
      </c>
    </row>
    <row r="1380">
      <c r="A1380" t="inlineStr">
        <is>
          <t>Journal of Econometric Methods</t>
        </is>
      </c>
      <c r="B1380" t="inlineStr">
        <is>
          <t>B</t>
        </is>
      </c>
      <c r="C1380" t="n">
        <v>3802</v>
      </c>
      <c r="D1380" t="inlineStr">
        <is>
          <t>De Gruyter</t>
        </is>
      </c>
    </row>
    <row r="1381">
      <c r="A1381" t="inlineStr">
        <is>
          <t>Journal of Econometrics</t>
        </is>
      </c>
      <c r="B1381" t="inlineStr">
        <is>
          <t>A*</t>
        </is>
      </c>
      <c r="C1381" t="n">
        <v>3802</v>
      </c>
      <c r="D1381" t="inlineStr">
        <is>
          <t>Elsevier</t>
        </is>
      </c>
    </row>
    <row r="1382">
      <c r="A1382" t="inlineStr">
        <is>
          <t>Journal of Economic and Administrative Sciences</t>
        </is>
      </c>
      <c r="B1382" t="inlineStr">
        <is>
          <t>C</t>
        </is>
      </c>
      <c r="C1382" t="n">
        <v>3899</v>
      </c>
      <c r="D1382" t="inlineStr">
        <is>
          <t>Emerald Group Publishing</t>
        </is>
      </c>
    </row>
    <row r="1383">
      <c r="A1383" t="inlineStr">
        <is>
          <t>Journal of Economic and Social Measurement</t>
        </is>
      </c>
      <c r="B1383" t="inlineStr">
        <is>
          <t>C</t>
        </is>
      </c>
      <c r="C1383" t="n">
        <v>3802</v>
      </c>
      <c r="D1383" t="inlineStr">
        <is>
          <t>Sage Publications</t>
        </is>
      </c>
    </row>
    <row r="1384">
      <c r="A1384" t="inlineStr">
        <is>
          <t>Journal of Economic and Social Policy</t>
        </is>
      </c>
      <c r="B1384" t="inlineStr">
        <is>
          <t>C</t>
        </is>
      </c>
      <c r="C1384" t="n">
        <v>3801</v>
      </c>
      <c r="D1384" t="inlineStr">
        <is>
          <t>Southern Cross University Division of Business</t>
        </is>
      </c>
    </row>
    <row r="1385">
      <c r="A1385" t="inlineStr">
        <is>
          <t>Journal of Economic Behavior and Organization</t>
        </is>
      </c>
      <c r="B1385" t="inlineStr">
        <is>
          <t>A*</t>
        </is>
      </c>
      <c r="C1385" t="n">
        <v>3801</v>
      </c>
      <c r="D1385" t="inlineStr">
        <is>
          <t>Elsevier</t>
        </is>
      </c>
    </row>
    <row r="1386">
      <c r="A1386" t="inlineStr">
        <is>
          <t>Journal of Economic Development</t>
        </is>
      </c>
      <c r="B1386" t="inlineStr">
        <is>
          <t>C</t>
        </is>
      </c>
      <c r="C1386" t="n">
        <v>3801</v>
      </c>
      <c r="D1386" t="inlineStr">
        <is>
          <t>Economic Research Institute of Chung-Ang University</t>
        </is>
      </c>
    </row>
    <row r="1387">
      <c r="A1387" t="inlineStr">
        <is>
          <t>Journal of Economic Dynamics and Control</t>
        </is>
      </c>
      <c r="B1387" t="inlineStr">
        <is>
          <t>A*</t>
        </is>
      </c>
      <c r="C1387" t="n">
        <v>3801</v>
      </c>
      <c r="D1387" t="inlineStr">
        <is>
          <t>Elsevier</t>
        </is>
      </c>
    </row>
    <row r="1388">
      <c r="A1388" t="inlineStr">
        <is>
          <t>Journal of Economic Geography</t>
        </is>
      </c>
      <c r="B1388" t="inlineStr">
        <is>
          <t>A</t>
        </is>
      </c>
      <c r="C1388" t="n">
        <v>3899</v>
      </c>
      <c r="D1388" t="inlineStr">
        <is>
          <t>Oxford University Press</t>
        </is>
      </c>
    </row>
    <row r="1389">
      <c r="A1389" t="inlineStr">
        <is>
          <t>Journal of Economic Growth</t>
        </is>
      </c>
      <c r="B1389" t="inlineStr">
        <is>
          <t>A*</t>
        </is>
      </c>
      <c r="C1389" t="n">
        <v>3801</v>
      </c>
      <c r="D1389" t="inlineStr">
        <is>
          <t>Springer International Publishing</t>
        </is>
      </c>
    </row>
    <row r="1390">
      <c r="A1390" t="inlineStr">
        <is>
          <t>Journal of Economic Insight</t>
        </is>
      </c>
      <c r="B1390" t="inlineStr">
        <is>
          <t>C</t>
        </is>
      </c>
      <c r="C1390" t="n">
        <v>3801</v>
      </c>
      <c r="D1390" t="inlineStr">
        <is>
          <t>Missouri Valley Economic Association</t>
        </is>
      </c>
    </row>
    <row r="1391">
      <c r="A1391" t="inlineStr">
        <is>
          <t>Journal of Economic Integration</t>
        </is>
      </c>
      <c r="B1391" t="inlineStr">
        <is>
          <t>C</t>
        </is>
      </c>
      <c r="C1391" t="n">
        <v>3801</v>
      </c>
      <c r="D1391" t="inlineStr">
        <is>
          <t>Sejong University</t>
        </is>
      </c>
    </row>
    <row r="1392">
      <c r="A1392" t="inlineStr">
        <is>
          <t>Journal of Economic Interaction and Coordination</t>
        </is>
      </c>
      <c r="B1392" t="inlineStr">
        <is>
          <t>B</t>
        </is>
      </c>
      <c r="C1392" t="n">
        <v>3801</v>
      </c>
      <c r="D1392" t="inlineStr">
        <is>
          <t>Springer International Publishing</t>
        </is>
      </c>
    </row>
    <row r="1393">
      <c r="A1393" t="inlineStr">
        <is>
          <t>Journal of Economic Issues</t>
        </is>
      </c>
      <c r="B1393" t="inlineStr">
        <is>
          <t>B</t>
        </is>
      </c>
      <c r="C1393" t="n">
        <v>3801</v>
      </c>
      <c r="D1393" t="inlineStr">
        <is>
          <t>Taylor &amp; Francis Online</t>
        </is>
      </c>
    </row>
    <row r="1394">
      <c r="A1394" t="inlineStr">
        <is>
          <t>Journal of Economic Literature</t>
        </is>
      </c>
      <c r="B1394" t="inlineStr">
        <is>
          <t>A*</t>
        </is>
      </c>
      <c r="C1394" t="n">
        <v>3801</v>
      </c>
      <c r="D1394" t="inlineStr">
        <is>
          <t>American Economic Association</t>
        </is>
      </c>
    </row>
    <row r="1395">
      <c r="A1395" t="inlineStr">
        <is>
          <t>Journal of Economic Methodology</t>
        </is>
      </c>
      <c r="B1395" t="inlineStr">
        <is>
          <t>B</t>
        </is>
      </c>
      <c r="C1395" t="n">
        <v>3899</v>
      </c>
      <c r="D1395" t="inlineStr">
        <is>
          <t>Taylor &amp; Francis Online</t>
        </is>
      </c>
    </row>
    <row r="1396">
      <c r="A1396" t="inlineStr">
        <is>
          <t>Journal of Economic Perspectives</t>
        </is>
      </c>
      <c r="B1396" t="inlineStr">
        <is>
          <t>A*</t>
        </is>
      </c>
      <c r="C1396" t="n">
        <v>3801</v>
      </c>
      <c r="D1396" t="inlineStr">
        <is>
          <t>American Economic Association</t>
        </is>
      </c>
    </row>
    <row r="1397">
      <c r="A1397" t="inlineStr">
        <is>
          <t>Journal of Economic Policy Reform</t>
        </is>
      </c>
      <c r="B1397" t="inlineStr">
        <is>
          <t>B</t>
        </is>
      </c>
      <c r="C1397" t="n">
        <v>3801</v>
      </c>
      <c r="D1397" t="inlineStr">
        <is>
          <t>Taylor &amp; Francis Online</t>
        </is>
      </c>
    </row>
    <row r="1398">
      <c r="A1398" t="inlineStr">
        <is>
          <t>Journal of Economic Psychology</t>
        </is>
      </c>
      <c r="B1398" t="inlineStr">
        <is>
          <t>A</t>
        </is>
      </c>
      <c r="C1398" t="n">
        <v>3801</v>
      </c>
      <c r="D1398" t="inlineStr">
        <is>
          <t>Elsevier</t>
        </is>
      </c>
    </row>
    <row r="1399">
      <c r="A1399" t="inlineStr">
        <is>
          <t>Journal of Economic Research</t>
        </is>
      </c>
      <c r="B1399" t="inlineStr">
        <is>
          <t>B</t>
        </is>
      </c>
      <c r="C1399" t="n">
        <v>3801</v>
      </c>
      <c r="D1399" t="inlineStr">
        <is>
          <t>Hanyang University Seoul</t>
        </is>
      </c>
    </row>
    <row r="1400">
      <c r="A1400" t="inlineStr">
        <is>
          <t>Journal of Economic Science Association</t>
        </is>
      </c>
      <c r="B1400" t="inlineStr">
        <is>
          <t>A</t>
        </is>
      </c>
      <c r="C1400" t="n">
        <v>3801</v>
      </c>
      <c r="D1400" t="inlineStr">
        <is>
          <t>Springer International Publishing</t>
        </is>
      </c>
    </row>
    <row r="1401">
      <c r="A1401" t="inlineStr">
        <is>
          <t>Journal of Economic Studies</t>
        </is>
      </c>
      <c r="B1401" t="inlineStr">
        <is>
          <t>B</t>
        </is>
      </c>
      <c r="C1401" t="n">
        <v>3801</v>
      </c>
      <c r="D1401" t="inlineStr">
        <is>
          <t>Emerald Group Publishing</t>
        </is>
      </c>
    </row>
    <row r="1402">
      <c r="A1402" t="inlineStr">
        <is>
          <t>Journal of Economic Surveys</t>
        </is>
      </c>
      <c r="B1402" t="inlineStr">
        <is>
          <t>A</t>
        </is>
      </c>
      <c r="C1402" t="n">
        <v>3801</v>
      </c>
      <c r="D1402" t="inlineStr">
        <is>
          <t>Wiley-Blackwell Publishing</t>
        </is>
      </c>
    </row>
    <row r="1403">
      <c r="A1403" t="inlineStr">
        <is>
          <t>Journal of Economic Theory</t>
        </is>
      </c>
      <c r="B1403" t="inlineStr">
        <is>
          <t>A*</t>
        </is>
      </c>
      <c r="C1403" t="n">
        <v>3803</v>
      </c>
      <c r="D1403" t="inlineStr">
        <is>
          <t>Elsevier</t>
        </is>
      </c>
    </row>
    <row r="1404">
      <c r="A1404" t="inlineStr">
        <is>
          <t>Journal of Economics</t>
        </is>
      </c>
      <c r="B1404" t="inlineStr">
        <is>
          <t>B</t>
        </is>
      </c>
      <c r="C1404" t="n">
        <v>3803</v>
      </c>
      <c r="D1404" t="inlineStr">
        <is>
          <t>Springer International Publishing</t>
        </is>
      </c>
    </row>
    <row r="1405">
      <c r="A1405" t="inlineStr">
        <is>
          <t>Journal of Economics / Ekonomicky casopis</t>
        </is>
      </c>
      <c r="B1405" t="inlineStr">
        <is>
          <t>B</t>
        </is>
      </c>
      <c r="C1405" t="n">
        <v>3801</v>
      </c>
      <c r="D1405" t="inlineStr">
        <is>
          <t>Institute of Economic Research Slovak Academy of Science</t>
        </is>
      </c>
    </row>
    <row r="1406">
      <c r="A1406" t="inlineStr">
        <is>
          <t>Journal of Economics &amp; Management Strategy</t>
        </is>
      </c>
      <c r="B1406" t="inlineStr">
        <is>
          <t>A</t>
        </is>
      </c>
      <c r="C1406" t="n">
        <v>3801</v>
      </c>
      <c r="D1406" t="inlineStr">
        <is>
          <t>Wiley-Blackwell Publishing</t>
        </is>
      </c>
    </row>
    <row r="1407">
      <c r="A1407" t="inlineStr">
        <is>
          <t>Journal of Economics and Business</t>
        </is>
      </c>
      <c r="B1407" t="inlineStr">
        <is>
          <t>B</t>
        </is>
      </c>
      <c r="C1407" t="n">
        <v>3801</v>
      </c>
      <c r="D1407" t="inlineStr">
        <is>
          <t>Elsevier</t>
        </is>
      </c>
    </row>
    <row r="1408">
      <c r="A1408" t="inlineStr">
        <is>
          <t>Journal of Economics and Development</t>
        </is>
      </c>
      <c r="B1408" t="inlineStr">
        <is>
          <t>C</t>
        </is>
      </c>
      <c r="C1408" t="n">
        <v>3899</v>
      </c>
      <c r="D1408" t="inlineStr">
        <is>
          <t>Emerald Publishing</t>
        </is>
      </c>
    </row>
    <row r="1409">
      <c r="A1409" t="inlineStr">
        <is>
          <t>Journal of Economics and Finance</t>
        </is>
      </c>
      <c r="B1409" t="inlineStr">
        <is>
          <t>B</t>
        </is>
      </c>
      <c r="C1409" t="n">
        <v>3801</v>
      </c>
      <c r="D1409" t="inlineStr">
        <is>
          <t>Springer International Publishing</t>
        </is>
      </c>
    </row>
    <row r="1410">
      <c r="A1410" t="inlineStr">
        <is>
          <t>Journal of Economics and Finance Education</t>
        </is>
      </c>
      <c r="B1410" t="inlineStr">
        <is>
          <t>C</t>
        </is>
      </c>
      <c r="C1410" t="n">
        <v>3899</v>
      </c>
      <c r="D1410" t="inlineStr">
        <is>
          <t>Academy of Economics and Finance (AEF)</t>
        </is>
      </c>
    </row>
    <row r="1411">
      <c r="A1411" t="inlineStr">
        <is>
          <t>Journal of Economics and Statistics</t>
        </is>
      </c>
      <c r="B1411" t="inlineStr">
        <is>
          <t>B</t>
        </is>
      </c>
      <c r="C1411" t="n">
        <v>3802</v>
      </c>
      <c r="D1411" t="inlineStr">
        <is>
          <t>De Gruyter</t>
        </is>
      </c>
    </row>
    <row r="1412">
      <c r="A1412" t="inlineStr">
        <is>
          <t>Journal of Economics, Theology and Religion</t>
        </is>
      </c>
      <c r="B1412" t="inlineStr">
        <is>
          <t>B</t>
        </is>
      </c>
      <c r="C1412" t="n">
        <v>3801</v>
      </c>
      <c r="D1412" t="inlineStr">
        <is>
          <t>Erasmus University Rotterdam</t>
        </is>
      </c>
    </row>
    <row r="1413">
      <c r="A1413" t="inlineStr">
        <is>
          <t>Journal of Ecotourism</t>
        </is>
      </c>
      <c r="B1413" t="inlineStr">
        <is>
          <t>B</t>
        </is>
      </c>
      <c r="C1413" t="n">
        <v>3508</v>
      </c>
      <c r="D1413" t="inlineStr">
        <is>
          <t>Taylor &amp; Francis Online</t>
        </is>
      </c>
    </row>
    <row r="1414">
      <c r="A1414" t="inlineStr">
        <is>
          <t>Journal of Education and Work</t>
        </is>
      </c>
      <c r="B1414" t="inlineStr">
        <is>
          <t>B</t>
        </is>
      </c>
      <c r="C1414" t="n">
        <v>3505</v>
      </c>
      <c r="D1414" t="inlineStr">
        <is>
          <t>Taylor &amp; Francis Online</t>
        </is>
      </c>
    </row>
    <row r="1415">
      <c r="A1415" t="inlineStr">
        <is>
          <t>Journal of Education Finance</t>
        </is>
      </c>
      <c r="B1415" t="inlineStr">
        <is>
          <t>C</t>
        </is>
      </c>
      <c r="C1415" t="n">
        <v>3502</v>
      </c>
      <c r="D1415" t="inlineStr">
        <is>
          <t>University of Illinois Press</t>
        </is>
      </c>
    </row>
    <row r="1416">
      <c r="A1416" t="inlineStr">
        <is>
          <t>Journal of Education for Business</t>
        </is>
      </c>
      <c r="B1416" t="inlineStr">
        <is>
          <t>C</t>
        </is>
      </c>
      <c r="C1416" t="n">
        <v>3507</v>
      </c>
      <c r="D1416" t="inlineStr">
        <is>
          <t>Taylor &amp; Francis Online</t>
        </is>
      </c>
    </row>
    <row r="1417">
      <c r="A1417" t="inlineStr">
        <is>
          <t>Journal of Educational Administration</t>
        </is>
      </c>
      <c r="B1417" t="inlineStr">
        <is>
          <t>B</t>
        </is>
      </c>
      <c r="C1417" t="n">
        <v>3505</v>
      </c>
      <c r="D1417" t="inlineStr">
        <is>
          <t>Emerald Group Publishing</t>
        </is>
      </c>
    </row>
    <row r="1418">
      <c r="A1418" t="inlineStr">
        <is>
          <t>Journal of Electronic Business &amp; Digital Economics</t>
        </is>
      </c>
      <c r="B1418" t="inlineStr">
        <is>
          <t>C</t>
        </is>
      </c>
      <c r="C1418" t="n">
        <v>3501</v>
      </c>
      <c r="D1418" t="inlineStr">
        <is>
          <t>Emerald Publishing</t>
        </is>
      </c>
    </row>
    <row r="1419">
      <c r="A1419" t="inlineStr">
        <is>
          <t>Journal of Electronic Commerce in Organizations</t>
        </is>
      </c>
      <c r="B1419" t="inlineStr">
        <is>
          <t>B</t>
        </is>
      </c>
      <c r="C1419" t="n">
        <v>4609</v>
      </c>
      <c r="D1419" t="inlineStr">
        <is>
          <t>IGI Global</t>
        </is>
      </c>
    </row>
    <row r="1420">
      <c r="A1420" t="inlineStr">
        <is>
          <t>Journal of Electronic Commerce Research</t>
        </is>
      </c>
      <c r="B1420" t="inlineStr">
        <is>
          <t>B</t>
        </is>
      </c>
      <c r="C1420" t="n">
        <v>4609</v>
      </c>
      <c r="D1420" t="inlineStr">
        <is>
          <t>California State University Press</t>
        </is>
      </c>
    </row>
    <row r="1421">
      <c r="A1421" t="inlineStr">
        <is>
          <t>Journal of Emerging Market Finance</t>
        </is>
      </c>
      <c r="B1421" t="inlineStr">
        <is>
          <t>B</t>
        </is>
      </c>
      <c r="C1421" t="n">
        <v>3502</v>
      </c>
      <c r="D1421" t="inlineStr">
        <is>
          <t>Sage Publications</t>
        </is>
      </c>
    </row>
    <row r="1422">
      <c r="A1422" t="inlineStr">
        <is>
          <t>Journal of Emerging Technologies in Accounting</t>
        </is>
      </c>
      <c r="B1422" t="inlineStr">
        <is>
          <t>B</t>
        </is>
      </c>
      <c r="C1422" t="n">
        <v>3501</v>
      </c>
      <c r="D1422" t="inlineStr">
        <is>
          <t>American Accounting Association</t>
        </is>
      </c>
    </row>
    <row r="1423">
      <c r="A1423" t="inlineStr">
        <is>
          <t>Journal of Empirical Finance</t>
        </is>
      </c>
      <c r="B1423" t="inlineStr">
        <is>
          <t>A</t>
        </is>
      </c>
      <c r="C1423" t="n">
        <v>3502</v>
      </c>
      <c r="D1423" t="inlineStr">
        <is>
          <t>Elsevier</t>
        </is>
      </c>
    </row>
    <row r="1424">
      <c r="A1424" t="inlineStr">
        <is>
          <t>Journal of Empirical Generalisations in Marketing Science</t>
        </is>
      </c>
      <c r="B1424" t="inlineStr">
        <is>
          <t>C</t>
        </is>
      </c>
      <c r="C1424" t="n">
        <v>3506</v>
      </c>
      <c r="D1424" t="inlineStr">
        <is>
          <t>Ehrenberg-Bass Institute for Marketing Science</t>
        </is>
      </c>
    </row>
    <row r="1425">
      <c r="A1425" t="inlineStr">
        <is>
          <t>Journal of Empirical Legal Studies</t>
        </is>
      </c>
      <c r="B1425" t="inlineStr">
        <is>
          <t>A*</t>
        </is>
      </c>
      <c r="C1425" t="n">
        <v>4801</v>
      </c>
      <c r="D1425" t="inlineStr">
        <is>
          <t>Wiley-Blackwell Publishing</t>
        </is>
      </c>
    </row>
    <row r="1426">
      <c r="A1426" t="inlineStr">
        <is>
          <t>Journal of Employment Counseling</t>
        </is>
      </c>
      <c r="B1426" t="inlineStr">
        <is>
          <t>A</t>
        </is>
      </c>
      <c r="C1426" t="n">
        <v>3505</v>
      </c>
      <c r="D1426" t="inlineStr">
        <is>
          <t>Wiley-Blackwell Publishing</t>
        </is>
      </c>
    </row>
    <row r="1427">
      <c r="A1427" t="inlineStr">
        <is>
          <t>Journal of Energy and Development</t>
        </is>
      </c>
      <c r="B1427" t="inlineStr">
        <is>
          <t>C</t>
        </is>
      </c>
      <c r="C1427" t="n">
        <v>3599</v>
      </c>
      <c r="D1427" t="inlineStr">
        <is>
          <t>International Research Center for Energy and Economic Development</t>
        </is>
      </c>
    </row>
    <row r="1428">
      <c r="A1428" t="inlineStr">
        <is>
          <t>Journal of Engineering and Technology Management</t>
        </is>
      </c>
      <c r="B1428" t="inlineStr">
        <is>
          <t>B</t>
        </is>
      </c>
      <c r="C1428" t="n">
        <v>3507</v>
      </c>
      <c r="D1428" t="inlineStr">
        <is>
          <t>Elsevier</t>
        </is>
      </c>
    </row>
    <row r="1429">
      <c r="A1429" t="inlineStr">
        <is>
          <t>Journal of Engineering, Design and Technology</t>
        </is>
      </c>
      <c r="B1429" t="inlineStr">
        <is>
          <t>C</t>
        </is>
      </c>
      <c r="C1429" t="n">
        <v>3599</v>
      </c>
      <c r="D1429" t="inlineStr">
        <is>
          <t>Emerald Group Publishing</t>
        </is>
      </c>
    </row>
    <row r="1430">
      <c r="A1430" t="inlineStr">
        <is>
          <t>Journal of Enterprise Information Management</t>
        </is>
      </c>
      <c r="B1430" t="inlineStr">
        <is>
          <t>A</t>
        </is>
      </c>
      <c r="C1430" t="n">
        <v>4609</v>
      </c>
      <c r="D1430" t="inlineStr">
        <is>
          <t>Emerald Group Publishing</t>
        </is>
      </c>
    </row>
    <row r="1431">
      <c r="A1431" t="inlineStr">
        <is>
          <t>Journal of Enterprising Communities: People and Places in the Global Community</t>
        </is>
      </c>
      <c r="B1431" t="inlineStr">
        <is>
          <t>C</t>
        </is>
      </c>
      <c r="C1431" t="n">
        <v>3801</v>
      </c>
      <c r="D1431" t="inlineStr">
        <is>
          <t>Emerald Group Publishing</t>
        </is>
      </c>
    </row>
    <row r="1432">
      <c r="A1432" t="inlineStr">
        <is>
          <t>Journal of Entrepreneurship</t>
        </is>
      </c>
      <c r="B1432" t="inlineStr">
        <is>
          <t>C</t>
        </is>
      </c>
      <c r="C1432" t="n">
        <v>3507</v>
      </c>
      <c r="D1432" t="inlineStr">
        <is>
          <t>Sage Publications</t>
        </is>
      </c>
    </row>
    <row r="1433">
      <c r="A1433" t="inlineStr">
        <is>
          <t>Journal of Entrepreneurship in Emerging Economies</t>
        </is>
      </c>
      <c r="B1433" t="inlineStr">
        <is>
          <t>B</t>
        </is>
      </c>
      <c r="C1433" t="n">
        <v>3507</v>
      </c>
      <c r="D1433" t="inlineStr">
        <is>
          <t>Emerald Group Publishing</t>
        </is>
      </c>
    </row>
    <row r="1434">
      <c r="A1434" t="inlineStr">
        <is>
          <t>Journal of Environment and Development</t>
        </is>
      </c>
      <c r="B1434" t="inlineStr">
        <is>
          <t>B</t>
        </is>
      </c>
      <c r="C1434" t="n">
        <v>3801</v>
      </c>
      <c r="D1434" t="inlineStr">
        <is>
          <t>Sage Publications</t>
        </is>
      </c>
    </row>
    <row r="1435">
      <c r="A1435" t="inlineStr">
        <is>
          <t>Journal of Environmental Economics and Management</t>
        </is>
      </c>
      <c r="B1435" t="inlineStr">
        <is>
          <t>A*</t>
        </is>
      </c>
      <c r="C1435" t="n">
        <v>3801</v>
      </c>
      <c r="D1435" t="inlineStr">
        <is>
          <t>Elsevier</t>
        </is>
      </c>
    </row>
    <row r="1436">
      <c r="A1436" t="inlineStr">
        <is>
          <t>Journal of Environmental Law</t>
        </is>
      </c>
      <c r="B1436" t="inlineStr">
        <is>
          <t>B</t>
        </is>
      </c>
      <c r="C1436" t="n">
        <v>4801</v>
      </c>
      <c r="D1436" t="inlineStr">
        <is>
          <t>Oxford University Press</t>
        </is>
      </c>
    </row>
    <row r="1437">
      <c r="A1437" t="inlineStr">
        <is>
          <t>Journal of Environmental Planning and Management</t>
        </is>
      </c>
      <c r="B1437" t="inlineStr">
        <is>
          <t>B</t>
        </is>
      </c>
      <c r="C1437" t="n">
        <v>3507</v>
      </c>
      <c r="D1437" t="inlineStr">
        <is>
          <t>Taylor &amp; Francis Online</t>
        </is>
      </c>
    </row>
    <row r="1438">
      <c r="A1438" t="inlineStr">
        <is>
          <t>Journal of Environmental Psychology</t>
        </is>
      </c>
      <c r="B1438" t="inlineStr">
        <is>
          <t>A</t>
        </is>
      </c>
      <c r="C1438" t="n">
        <v>3599</v>
      </c>
      <c r="D1438" t="inlineStr">
        <is>
          <t>Elsevier</t>
        </is>
      </c>
    </row>
    <row r="1439">
      <c r="A1439" t="inlineStr">
        <is>
          <t>Journal of Euromarketing</t>
        </is>
      </c>
      <c r="B1439" t="inlineStr">
        <is>
          <t>C</t>
        </is>
      </c>
      <c r="C1439" t="n">
        <v>3506</v>
      </c>
      <c r="D1439" t="inlineStr">
        <is>
          <t>IMDA</t>
        </is>
      </c>
    </row>
    <row r="1440">
      <c r="A1440" t="inlineStr">
        <is>
          <t>Journal of European Economic History</t>
        </is>
      </c>
      <c r="B1440" t="inlineStr">
        <is>
          <t>B</t>
        </is>
      </c>
      <c r="C1440" t="n">
        <v>3801</v>
      </c>
      <c r="D1440" t="inlineStr">
        <is>
          <t>Banco di Roma</t>
        </is>
      </c>
    </row>
    <row r="1441">
      <c r="A1441" t="inlineStr">
        <is>
          <t>Journal of European Public Policy</t>
        </is>
      </c>
      <c r="B1441" t="inlineStr">
        <is>
          <t>A</t>
        </is>
      </c>
      <c r="C1441" t="n">
        <v>3599</v>
      </c>
      <c r="D1441" t="inlineStr">
        <is>
          <t>Taylor &amp; Francis Online</t>
        </is>
      </c>
    </row>
    <row r="1442">
      <c r="A1442" t="inlineStr">
        <is>
          <t>Journal of European Real Estate Research</t>
        </is>
      </c>
      <c r="B1442" t="inlineStr">
        <is>
          <t>C</t>
        </is>
      </c>
      <c r="C1442" t="n">
        <v>3504</v>
      </c>
      <c r="D1442" t="inlineStr">
        <is>
          <t>Emerald Group Publishing</t>
        </is>
      </c>
    </row>
    <row r="1443">
      <c r="A1443" t="inlineStr">
        <is>
          <t>Journal of Evolutionary Economics</t>
        </is>
      </c>
      <c r="B1443" t="inlineStr">
        <is>
          <t>A</t>
        </is>
      </c>
      <c r="C1443" t="n">
        <v>3801</v>
      </c>
      <c r="D1443" t="inlineStr">
        <is>
          <t>Springer International Publishing</t>
        </is>
      </c>
    </row>
    <row r="1444">
      <c r="A1444" t="inlineStr">
        <is>
          <t>Journal of Experimental Psychology: Applied</t>
        </is>
      </c>
      <c r="B1444" t="inlineStr">
        <is>
          <t>A</t>
        </is>
      </c>
      <c r="C1444" t="n">
        <v>3507</v>
      </c>
      <c r="D1444" t="inlineStr">
        <is>
          <t>American Psychological Association</t>
        </is>
      </c>
    </row>
    <row r="1445">
      <c r="A1445" t="inlineStr">
        <is>
          <t>Journal of Experimental Psychology: general</t>
        </is>
      </c>
      <c r="B1445" t="inlineStr">
        <is>
          <t>A*</t>
        </is>
      </c>
      <c r="C1445" t="n">
        <v>3507</v>
      </c>
      <c r="D1445" t="inlineStr">
        <is>
          <t>American Psychological Association</t>
        </is>
      </c>
    </row>
    <row r="1446">
      <c r="A1446" t="inlineStr">
        <is>
          <t>Journal of Experimental Psychology: learning, memory, and cognition</t>
        </is>
      </c>
      <c r="B1446" t="inlineStr">
        <is>
          <t>A</t>
        </is>
      </c>
      <c r="C1446" t="n">
        <v>3507</v>
      </c>
      <c r="D1446" t="inlineStr">
        <is>
          <t>American Psychological Association</t>
        </is>
      </c>
    </row>
    <row r="1447">
      <c r="A1447" t="inlineStr">
        <is>
          <t>Journal of Experimental Social Psychology</t>
        </is>
      </c>
      <c r="B1447" t="inlineStr">
        <is>
          <t>A</t>
        </is>
      </c>
      <c r="C1447" t="n">
        <v>3507</v>
      </c>
      <c r="D1447" t="inlineStr">
        <is>
          <t>Elsevier</t>
        </is>
      </c>
    </row>
    <row r="1448">
      <c r="A1448" t="inlineStr">
        <is>
          <t>Journal of Facilities Management</t>
        </is>
      </c>
      <c r="B1448" t="inlineStr">
        <is>
          <t>C</t>
        </is>
      </c>
      <c r="C1448" t="n">
        <v>3504</v>
      </c>
      <c r="D1448" t="inlineStr">
        <is>
          <t>Emerald Group Publishing</t>
        </is>
      </c>
    </row>
    <row r="1449">
      <c r="A1449" t="inlineStr">
        <is>
          <t>Journal of Family and Economic Issues</t>
        </is>
      </c>
      <c r="B1449" t="inlineStr">
        <is>
          <t>B</t>
        </is>
      </c>
      <c r="C1449" t="n">
        <v>3899</v>
      </c>
      <c r="D1449" t="inlineStr">
        <is>
          <t>Springer International Publishing</t>
        </is>
      </c>
    </row>
    <row r="1450">
      <c r="A1450" t="inlineStr">
        <is>
          <t>Journal of Family Business Strategy</t>
        </is>
      </c>
      <c r="B1450" t="inlineStr">
        <is>
          <t>B</t>
        </is>
      </c>
      <c r="C1450" t="n">
        <v>3507</v>
      </c>
      <c r="D1450" t="inlineStr">
        <is>
          <t>Elsevier</t>
        </is>
      </c>
    </row>
    <row r="1451">
      <c r="A1451" t="inlineStr">
        <is>
          <t>Journal of Fashion Marketing and Management</t>
        </is>
      </c>
      <c r="B1451" t="inlineStr">
        <is>
          <t>B</t>
        </is>
      </c>
      <c r="C1451" t="n">
        <v>3506</v>
      </c>
      <c r="D1451" t="inlineStr">
        <is>
          <t>Emerald Group Publishing</t>
        </is>
      </c>
    </row>
    <row r="1452">
      <c r="A1452" t="inlineStr">
        <is>
          <t>Journal of Finance Case Research</t>
        </is>
      </c>
      <c r="B1452" t="inlineStr">
        <is>
          <t>C</t>
        </is>
      </c>
      <c r="C1452" t="n">
        <v>3502</v>
      </c>
      <c r="D1452" t="inlineStr">
        <is>
          <t>Institute of Finance Case Research</t>
        </is>
      </c>
    </row>
    <row r="1453">
      <c r="A1453" t="inlineStr">
        <is>
          <t>Journal of Financial and Quantitative Analysis</t>
        </is>
      </c>
      <c r="B1453" t="inlineStr">
        <is>
          <t>A*</t>
        </is>
      </c>
      <c r="C1453" t="n">
        <v>3502</v>
      </c>
      <c r="D1453" t="inlineStr">
        <is>
          <t>Cambridge University Press</t>
        </is>
      </c>
    </row>
    <row r="1454">
      <c r="A1454" t="inlineStr">
        <is>
          <t>Journal of Financial Counseling and Planning</t>
        </is>
      </c>
      <c r="B1454" t="inlineStr">
        <is>
          <t>B</t>
        </is>
      </c>
      <c r="C1454" t="n">
        <v>3502</v>
      </c>
      <c r="D1454" t="inlineStr">
        <is>
          <t>Springer Publishing Company</t>
        </is>
      </c>
    </row>
    <row r="1455">
      <c r="A1455" t="inlineStr">
        <is>
          <t>Journal of Financial Crime</t>
        </is>
      </c>
      <c r="B1455" t="inlineStr">
        <is>
          <t>B</t>
        </is>
      </c>
      <c r="C1455" t="n">
        <v>4801</v>
      </c>
      <c r="D1455" t="inlineStr">
        <is>
          <t>Emerald Group Publishing</t>
        </is>
      </c>
    </row>
    <row r="1456">
      <c r="A1456" t="inlineStr">
        <is>
          <t>Journal of Financial Econometrics</t>
        </is>
      </c>
      <c r="B1456" t="inlineStr">
        <is>
          <t>A*</t>
        </is>
      </c>
      <c r="C1456" t="n">
        <v>3802</v>
      </c>
      <c r="D1456" t="inlineStr">
        <is>
          <t>Oxford University Press</t>
        </is>
      </c>
    </row>
    <row r="1457">
      <c r="A1457" t="inlineStr">
        <is>
          <t>Journal of Financial Economic Policy</t>
        </is>
      </c>
      <c r="B1457" t="inlineStr">
        <is>
          <t>B</t>
        </is>
      </c>
      <c r="C1457" t="n">
        <v>3899</v>
      </c>
      <c r="D1457" t="inlineStr">
        <is>
          <t>Emerald Group Publishing</t>
        </is>
      </c>
    </row>
    <row r="1458">
      <c r="A1458" t="inlineStr">
        <is>
          <t>Journal of Financial Economics</t>
        </is>
      </c>
      <c r="B1458" t="inlineStr">
        <is>
          <t>A*</t>
        </is>
      </c>
      <c r="C1458" t="n">
        <v>3502</v>
      </c>
      <c r="D1458" t="inlineStr">
        <is>
          <t>Elsevier</t>
        </is>
      </c>
    </row>
    <row r="1459">
      <c r="A1459" t="inlineStr">
        <is>
          <t>Journal of Financial Education</t>
        </is>
      </c>
      <c r="B1459" t="inlineStr">
        <is>
          <t>B</t>
        </is>
      </c>
      <c r="C1459" t="n">
        <v>3502</v>
      </c>
      <c r="D1459" t="inlineStr">
        <is>
          <t>DePaul University College of Commerce</t>
        </is>
      </c>
    </row>
    <row r="1460">
      <c r="A1460" t="inlineStr">
        <is>
          <t>Journal of Financial Intermediation</t>
        </is>
      </c>
      <c r="B1460" t="inlineStr">
        <is>
          <t>A*</t>
        </is>
      </c>
      <c r="C1460" t="n">
        <v>3502</v>
      </c>
      <c r="D1460" t="inlineStr">
        <is>
          <t>Elsevier</t>
        </is>
      </c>
    </row>
    <row r="1461">
      <c r="A1461" t="inlineStr">
        <is>
          <t>Journal of Financial Management and Analysis</t>
        </is>
      </c>
      <c r="B1461" t="inlineStr">
        <is>
          <t>C</t>
        </is>
      </c>
      <c r="C1461" t="n">
        <v>3502</v>
      </c>
      <c r="D1461" t="inlineStr">
        <is>
          <t>Om Sai Ram Centre for Financial Management Research and Training, Bombay, India</t>
        </is>
      </c>
    </row>
    <row r="1462">
      <c r="A1462" t="inlineStr">
        <is>
          <t>Journal of Financial Management of Property and Construction</t>
        </is>
      </c>
      <c r="B1462" t="inlineStr">
        <is>
          <t>C</t>
        </is>
      </c>
      <c r="C1462" t="n">
        <v>3504</v>
      </c>
      <c r="D1462" t="inlineStr">
        <is>
          <t>Emerald Group Publishing</t>
        </is>
      </c>
    </row>
    <row r="1463">
      <c r="A1463" t="inlineStr">
        <is>
          <t>Journal of Financial Management, Markets and Institutions</t>
        </is>
      </c>
      <c r="B1463" t="inlineStr">
        <is>
          <t>C</t>
        </is>
      </c>
      <c r="C1463" t="n">
        <v>3502</v>
      </c>
      <c r="D1463" t="inlineStr">
        <is>
          <t>World Scientific Publishing</t>
        </is>
      </c>
    </row>
    <row r="1464">
      <c r="A1464" t="inlineStr">
        <is>
          <t>Journal of Financial Markets</t>
        </is>
      </c>
      <c r="B1464" t="inlineStr">
        <is>
          <t>A*</t>
        </is>
      </c>
      <c r="C1464" t="n">
        <v>3502</v>
      </c>
      <c r="D1464" t="inlineStr">
        <is>
          <t>Elsevier</t>
        </is>
      </c>
    </row>
    <row r="1465">
      <c r="A1465" t="inlineStr">
        <is>
          <t>Journal of Financial Regulation</t>
        </is>
      </c>
      <c r="B1465" t="inlineStr">
        <is>
          <t>B</t>
        </is>
      </c>
      <c r="C1465" t="n">
        <v>4801</v>
      </c>
      <c r="D1465" t="inlineStr">
        <is>
          <t>Oxford University Press</t>
        </is>
      </c>
    </row>
    <row r="1466">
      <c r="A1466" t="inlineStr">
        <is>
          <t>Journal of Financial Regulation and Compliance</t>
        </is>
      </c>
      <c r="B1466" t="inlineStr">
        <is>
          <t>B</t>
        </is>
      </c>
      <c r="C1466" t="n">
        <v>4801</v>
      </c>
      <c r="D1466" t="inlineStr">
        <is>
          <t>Emerald Group Publishing</t>
        </is>
      </c>
    </row>
    <row r="1467">
      <c r="A1467" t="inlineStr">
        <is>
          <t>Journal of Financial Reporting</t>
        </is>
      </c>
      <c r="B1467" t="inlineStr">
        <is>
          <t>A</t>
        </is>
      </c>
      <c r="C1467" t="n">
        <v>3501</v>
      </c>
      <c r="D1467" t="inlineStr">
        <is>
          <t>American Accounting Association</t>
        </is>
      </c>
    </row>
    <row r="1468">
      <c r="A1468" t="inlineStr">
        <is>
          <t>Journal of Financial Reporting and Accounting</t>
        </is>
      </c>
      <c r="B1468" t="inlineStr">
        <is>
          <t>C</t>
        </is>
      </c>
      <c r="C1468" t="n">
        <v>3501</v>
      </c>
      <c r="D1468" t="inlineStr">
        <is>
          <t>Emerald Group Publishing</t>
        </is>
      </c>
    </row>
    <row r="1469">
      <c r="A1469" t="inlineStr">
        <is>
          <t>Journal of Financial Research</t>
        </is>
      </c>
      <c r="B1469" t="inlineStr">
        <is>
          <t>A</t>
        </is>
      </c>
      <c r="C1469" t="n">
        <v>3502</v>
      </c>
      <c r="D1469" t="inlineStr">
        <is>
          <t>Wiley-Blackwell Publishing</t>
        </is>
      </c>
    </row>
    <row r="1470">
      <c r="A1470" t="inlineStr">
        <is>
          <t>Journal of Financial Services Marketing</t>
        </is>
      </c>
      <c r="B1470" t="inlineStr">
        <is>
          <t>B</t>
        </is>
      </c>
      <c r="C1470" t="n">
        <v>3506</v>
      </c>
      <c r="D1470" t="inlineStr">
        <is>
          <t>Springer Nature</t>
        </is>
      </c>
    </row>
    <row r="1471">
      <c r="A1471" t="inlineStr">
        <is>
          <t>Journal of Financial Services Research</t>
        </is>
      </c>
      <c r="B1471" t="inlineStr">
        <is>
          <t>A</t>
        </is>
      </c>
      <c r="C1471" t="n">
        <v>3502</v>
      </c>
      <c r="D1471" t="inlineStr">
        <is>
          <t>Springer International Publishing</t>
        </is>
      </c>
    </row>
    <row r="1472">
      <c r="A1472" t="inlineStr">
        <is>
          <t>Journal of Financial Stability</t>
        </is>
      </c>
      <c r="B1472" t="inlineStr">
        <is>
          <t>A*</t>
        </is>
      </c>
      <c r="C1472" t="n">
        <v>3502</v>
      </c>
      <c r="D1472" t="inlineStr">
        <is>
          <t>Elsevier</t>
        </is>
      </c>
    </row>
    <row r="1473">
      <c r="A1473" t="inlineStr">
        <is>
          <t>Journal of Food Distribution Research</t>
        </is>
      </c>
      <c r="B1473" t="inlineStr">
        <is>
          <t>C</t>
        </is>
      </c>
      <c r="C1473" t="n">
        <v>3506</v>
      </c>
      <c r="D1473" t="inlineStr">
        <is>
          <t>Food Distribution Research Society</t>
        </is>
      </c>
    </row>
    <row r="1474">
      <c r="A1474" t="inlineStr">
        <is>
          <t>Journal of Food Products Marketing</t>
        </is>
      </c>
      <c r="B1474" t="inlineStr">
        <is>
          <t>B</t>
        </is>
      </c>
      <c r="C1474" t="n">
        <v>3506</v>
      </c>
      <c r="D1474" t="inlineStr">
        <is>
          <t>Taylor &amp; Francis Online</t>
        </is>
      </c>
    </row>
    <row r="1475">
      <c r="A1475" t="inlineStr">
        <is>
          <t>Journal of Foodservice Business Research</t>
        </is>
      </c>
      <c r="B1475" t="inlineStr">
        <is>
          <t>C</t>
        </is>
      </c>
      <c r="C1475" t="n">
        <v>3504</v>
      </c>
      <c r="D1475" t="inlineStr">
        <is>
          <t>Taylor &amp; Francis Online</t>
        </is>
      </c>
    </row>
    <row r="1476">
      <c r="A1476" t="inlineStr">
        <is>
          <t>Journal of Forecasting</t>
        </is>
      </c>
      <c r="B1476" t="inlineStr">
        <is>
          <t>A</t>
        </is>
      </c>
      <c r="C1476" t="n">
        <v>3802</v>
      </c>
      <c r="D1476" t="inlineStr">
        <is>
          <t>Wiley-Blackwell Publishing</t>
        </is>
      </c>
    </row>
    <row r="1477">
      <c r="A1477" t="inlineStr">
        <is>
          <t>Journal of Forensic &amp; Investigative Accounting</t>
        </is>
      </c>
      <c r="B1477" t="inlineStr">
        <is>
          <t>B</t>
        </is>
      </c>
      <c r="C1477" t="n">
        <v>3501</v>
      </c>
      <c r="D1477" t="inlineStr">
        <is>
          <t>Louisiana State University</t>
        </is>
      </c>
    </row>
    <row r="1478">
      <c r="A1478" t="inlineStr">
        <is>
          <t>Journal of Forensic Accounting Research</t>
        </is>
      </c>
      <c r="B1478" t="inlineStr">
        <is>
          <t>B</t>
        </is>
      </c>
      <c r="C1478" t="n">
        <v>3501</v>
      </c>
      <c r="D1478" t="inlineStr">
        <is>
          <t>American Accounting Association</t>
        </is>
      </c>
    </row>
    <row r="1479">
      <c r="A1479" t="inlineStr">
        <is>
          <t>Journal of Forensic Economics</t>
        </is>
      </c>
      <c r="B1479" t="inlineStr">
        <is>
          <t>C</t>
        </is>
      </c>
      <c r="C1479" t="n">
        <v>3899</v>
      </c>
      <c r="D1479" t="inlineStr">
        <is>
          <t>National Association of Forensic Economics</t>
        </is>
      </c>
    </row>
    <row r="1480">
      <c r="A1480" t="inlineStr">
        <is>
          <t>Journal of Forest Economics</t>
        </is>
      </c>
      <c r="B1480" t="inlineStr">
        <is>
          <t>B</t>
        </is>
      </c>
      <c r="C1480" t="n">
        <v>3801</v>
      </c>
      <c r="D1480" t="inlineStr">
        <is>
          <t>Elsevier</t>
        </is>
      </c>
    </row>
    <row r="1481">
      <c r="A1481" t="inlineStr">
        <is>
          <t>Journal of Gambling Studies</t>
        </is>
      </c>
      <c r="B1481" t="inlineStr">
        <is>
          <t>A</t>
        </is>
      </c>
      <c r="C1481" t="n">
        <v>3504</v>
      </c>
      <c r="D1481" t="inlineStr">
        <is>
          <t>Springer International Publishing</t>
        </is>
      </c>
    </row>
    <row r="1482">
      <c r="A1482" t="inlineStr">
        <is>
          <t>Journal of General Management</t>
        </is>
      </c>
      <c r="B1482" t="inlineStr">
        <is>
          <t>C</t>
        </is>
      </c>
      <c r="C1482" t="n">
        <v>3507</v>
      </c>
      <c r="D1482" t="inlineStr">
        <is>
          <t>Sage Publications</t>
        </is>
      </c>
    </row>
    <row r="1483">
      <c r="A1483" t="inlineStr">
        <is>
          <t>Journal of Global Business and Economics</t>
        </is>
      </c>
      <c r="B1483" t="inlineStr">
        <is>
          <t>C</t>
        </is>
      </c>
      <c r="C1483" t="n">
        <v>3899</v>
      </c>
      <c r="D1483" t="inlineStr">
        <is>
          <t>Global Institute of Flexible Systems Management</t>
        </is>
      </c>
    </row>
    <row r="1484">
      <c r="A1484" t="inlineStr">
        <is>
          <t>Journal of Global Economic Analysis</t>
        </is>
      </c>
      <c r="B1484" t="inlineStr">
        <is>
          <t>B</t>
        </is>
      </c>
      <c r="C1484" t="n">
        <v>3801</v>
      </c>
      <c r="D1484" t="inlineStr">
        <is>
          <t>Center for Global Trade Analysis, Purdue University</t>
        </is>
      </c>
    </row>
    <row r="1485">
      <c r="A1485" t="inlineStr">
        <is>
          <t>Journal of Global Fashion Marketing</t>
        </is>
      </c>
      <c r="B1485" t="inlineStr">
        <is>
          <t>B</t>
        </is>
      </c>
      <c r="C1485" t="n">
        <v>3506</v>
      </c>
      <c r="D1485" t="inlineStr">
        <is>
          <t>Taylor &amp; Francis Online</t>
        </is>
      </c>
    </row>
    <row r="1486">
      <c r="A1486" t="inlineStr">
        <is>
          <t>Journal of Global Information Management</t>
        </is>
      </c>
      <c r="B1486" t="inlineStr">
        <is>
          <t>A</t>
        </is>
      </c>
      <c r="C1486" t="n">
        <v>4609</v>
      </c>
      <c r="D1486" t="inlineStr">
        <is>
          <t>IGI Global</t>
        </is>
      </c>
    </row>
    <row r="1487">
      <c r="A1487" t="inlineStr">
        <is>
          <t>Journal of Global Information Technology Management</t>
        </is>
      </c>
      <c r="B1487" t="inlineStr">
        <is>
          <t>B</t>
        </is>
      </c>
      <c r="C1487" t="n">
        <v>4609</v>
      </c>
      <c r="D1487" t="inlineStr">
        <is>
          <t>Taylor &amp; Francis Online</t>
        </is>
      </c>
    </row>
    <row r="1488">
      <c r="A1488" t="inlineStr">
        <is>
          <t>Journal of Global Marketing</t>
        </is>
      </c>
      <c r="B1488" t="inlineStr">
        <is>
          <t>B</t>
        </is>
      </c>
      <c r="C1488" t="n">
        <v>3506</v>
      </c>
      <c r="D1488" t="inlineStr">
        <is>
          <t>Taylor &amp; Francis Online</t>
        </is>
      </c>
    </row>
    <row r="1489">
      <c r="A1489" t="inlineStr">
        <is>
          <t>Journal of Global Mobility</t>
        </is>
      </c>
      <c r="B1489" t="inlineStr">
        <is>
          <t>B</t>
        </is>
      </c>
      <c r="C1489" t="n">
        <v>3505</v>
      </c>
      <c r="D1489" t="inlineStr">
        <is>
          <t>Emerald Group Publishing</t>
        </is>
      </c>
    </row>
    <row r="1490">
      <c r="A1490" t="inlineStr">
        <is>
          <t>Journal of Global Operations and Strategic Sourcing</t>
        </is>
      </c>
      <c r="B1490" t="inlineStr">
        <is>
          <t>C</t>
        </is>
      </c>
      <c r="C1490" t="n">
        <v>3507</v>
      </c>
      <c r="D1490" t="inlineStr">
        <is>
          <t>Emerald Group Publishing</t>
        </is>
      </c>
    </row>
    <row r="1491">
      <c r="A1491" t="inlineStr">
        <is>
          <t>Journal of Global Responsibility</t>
        </is>
      </c>
      <c r="B1491" t="inlineStr">
        <is>
          <t>C</t>
        </is>
      </c>
      <c r="C1491" t="n">
        <v>3507</v>
      </c>
      <c r="D1491" t="inlineStr">
        <is>
          <t>Emerald Group Publishing</t>
        </is>
      </c>
    </row>
    <row r="1492">
      <c r="A1492" t="inlineStr">
        <is>
          <t>Journal of Global Scholars of Marketing Science</t>
        </is>
      </c>
      <c r="B1492" t="inlineStr">
        <is>
          <t>B</t>
        </is>
      </c>
      <c r="C1492" t="n">
        <v>3506</v>
      </c>
      <c r="D1492" t="inlineStr">
        <is>
          <t>Taylor &amp; Francis Online</t>
        </is>
      </c>
    </row>
    <row r="1493">
      <c r="A1493" t="inlineStr">
        <is>
          <t>Journal of Global Sport Management</t>
        </is>
      </c>
      <c r="B1493" t="inlineStr">
        <is>
          <t>C</t>
        </is>
      </c>
      <c r="C1493" t="n">
        <v>3504</v>
      </c>
      <c r="D1493" t="inlineStr">
        <is>
          <t>Taylor &amp; Francis Online</t>
        </is>
      </c>
    </row>
    <row r="1494">
      <c r="A1494" t="inlineStr">
        <is>
          <t>Journal of Globalization and Development</t>
        </is>
      </c>
      <c r="B1494" t="inlineStr">
        <is>
          <t>B</t>
        </is>
      </c>
      <c r="C1494" t="n">
        <v>3899</v>
      </c>
      <c r="D1494" t="inlineStr">
        <is>
          <t>De Gruyter</t>
        </is>
      </c>
    </row>
    <row r="1495">
      <c r="A1495" t="inlineStr">
        <is>
          <t>Journal of Governmental &amp; Nonprofit Accounting</t>
        </is>
      </c>
      <c r="B1495" t="inlineStr">
        <is>
          <t>B</t>
        </is>
      </c>
      <c r="C1495" t="n">
        <v>3501</v>
      </c>
      <c r="D1495" t="inlineStr">
        <is>
          <t>American Accounting Association</t>
        </is>
      </c>
    </row>
    <row r="1496">
      <c r="A1496" t="inlineStr">
        <is>
          <t>Journal of Health Economics</t>
        </is>
      </c>
      <c r="B1496" t="inlineStr">
        <is>
          <t>A*</t>
        </is>
      </c>
      <c r="C1496" t="n">
        <v>3801</v>
      </c>
      <c r="D1496" t="inlineStr">
        <is>
          <t>Elsevier</t>
        </is>
      </c>
    </row>
    <row r="1497">
      <c r="A1497" t="inlineStr">
        <is>
          <t>Journal of Health Politics, Policy and Law</t>
        </is>
      </c>
      <c r="B1497" t="inlineStr">
        <is>
          <t>A</t>
        </is>
      </c>
      <c r="C1497" t="n">
        <v>3599</v>
      </c>
      <c r="D1497" t="inlineStr">
        <is>
          <t>Duke University Press</t>
        </is>
      </c>
    </row>
    <row r="1498">
      <c r="A1498" t="inlineStr">
        <is>
          <t>Journal of Health Services Research and Policy</t>
        </is>
      </c>
      <c r="B1498" t="inlineStr">
        <is>
          <t>B</t>
        </is>
      </c>
      <c r="C1498" t="n">
        <v>3599</v>
      </c>
      <c r="D1498" t="inlineStr">
        <is>
          <t>Sage Publications</t>
        </is>
      </c>
    </row>
    <row r="1499">
      <c r="A1499" t="inlineStr">
        <is>
          <t>Journal of Health, Organization and Management</t>
        </is>
      </c>
      <c r="B1499" t="inlineStr">
        <is>
          <t>B</t>
        </is>
      </c>
      <c r="C1499" t="n">
        <v>3507</v>
      </c>
      <c r="D1499" t="inlineStr">
        <is>
          <t>Emerald Group Publishing</t>
        </is>
      </c>
    </row>
    <row r="1500">
      <c r="A1500" t="inlineStr">
        <is>
          <t>Journal of Health, Safety and Environment</t>
        </is>
      </c>
      <c r="B1500" t="inlineStr">
        <is>
          <t>B</t>
        </is>
      </c>
      <c r="C1500" t="n">
        <v>3505</v>
      </c>
      <c r="D1500" t="inlineStr">
        <is>
          <t>Wolters Kluwer</t>
        </is>
      </c>
    </row>
    <row r="1501">
      <c r="A1501" t="inlineStr">
        <is>
          <t>Journal of Healthcare Management</t>
        </is>
      </c>
      <c r="B1501" t="inlineStr">
        <is>
          <t>C</t>
        </is>
      </c>
      <c r="C1501" t="n">
        <v>3507</v>
      </c>
      <c r="D1501" t="inlineStr">
        <is>
          <t>American College of Healthcare Executives</t>
        </is>
      </c>
    </row>
    <row r="1502">
      <c r="A1502" t="inlineStr">
        <is>
          <t>Journal of Heritage Tourism</t>
        </is>
      </c>
      <c r="B1502" t="inlineStr">
        <is>
          <t>B</t>
        </is>
      </c>
      <c r="C1502" t="n">
        <v>3508</v>
      </c>
      <c r="D1502" t="inlineStr">
        <is>
          <t>Taylor &amp; Francis Online</t>
        </is>
      </c>
    </row>
    <row r="1503">
      <c r="A1503" t="inlineStr">
        <is>
          <t>Journal of Higher Education Policy and Management</t>
        </is>
      </c>
      <c r="B1503" t="inlineStr">
        <is>
          <t>B</t>
        </is>
      </c>
      <c r="C1503" t="n">
        <v>3505</v>
      </c>
      <c r="D1503" t="inlineStr">
        <is>
          <t>Routledge, Taylor &amp; Francis</t>
        </is>
      </c>
    </row>
    <row r="1504">
      <c r="A1504" t="inlineStr">
        <is>
          <t>Journal of Historical Research in Marketing</t>
        </is>
      </c>
      <c r="B1504" t="inlineStr">
        <is>
          <t>B</t>
        </is>
      </c>
      <c r="C1504" t="n">
        <v>3506</v>
      </c>
      <c r="D1504" t="inlineStr">
        <is>
          <t>Emerald Group Publishing</t>
        </is>
      </c>
    </row>
    <row r="1505">
      <c r="A1505" t="inlineStr">
        <is>
          <t>Journal of Hospitality and Tourism Education</t>
        </is>
      </c>
      <c r="B1505" t="inlineStr">
        <is>
          <t>B</t>
        </is>
      </c>
      <c r="C1505" t="n">
        <v>3508</v>
      </c>
      <c r="D1505" t="inlineStr">
        <is>
          <t>Taylor &amp; Francis Online</t>
        </is>
      </c>
    </row>
    <row r="1506">
      <c r="A1506" t="inlineStr">
        <is>
          <t>Journal of Hospitality and Tourism Insights</t>
        </is>
      </c>
      <c r="B1506" t="inlineStr">
        <is>
          <t>B</t>
        </is>
      </c>
      <c r="C1506" t="n">
        <v>3508</v>
      </c>
      <c r="D1506" t="inlineStr">
        <is>
          <t>Emerald Group Publishing</t>
        </is>
      </c>
    </row>
    <row r="1507">
      <c r="A1507" t="inlineStr">
        <is>
          <t>Journal of Hospitality and Tourism Management</t>
        </is>
      </c>
      <c r="B1507" t="inlineStr">
        <is>
          <t>A*</t>
        </is>
      </c>
      <c r="C1507" t="n">
        <v>3508</v>
      </c>
      <c r="D1507" t="inlineStr">
        <is>
          <t>Elsevier</t>
        </is>
      </c>
    </row>
    <row r="1508">
      <c r="A1508" t="inlineStr">
        <is>
          <t>Journal of Hospitality and Tourism Research</t>
        </is>
      </c>
      <c r="B1508" t="inlineStr">
        <is>
          <t>A</t>
        </is>
      </c>
      <c r="C1508" t="n">
        <v>3508</v>
      </c>
      <c r="D1508" t="inlineStr">
        <is>
          <t>Sage Publications</t>
        </is>
      </c>
    </row>
    <row r="1509">
      <c r="A1509" t="inlineStr">
        <is>
          <t>Journal of Hospitality and Tourism Technology</t>
        </is>
      </c>
      <c r="B1509" t="inlineStr">
        <is>
          <t>B</t>
        </is>
      </c>
      <c r="C1509" t="n">
        <v>4609</v>
      </c>
      <c r="D1509" t="inlineStr">
        <is>
          <t>Emerald Group Publishing</t>
        </is>
      </c>
    </row>
    <row r="1510">
      <c r="A1510" t="inlineStr">
        <is>
          <t>Journal of Hospitality Marketing and Management</t>
        </is>
      </c>
      <c r="B1510" t="inlineStr">
        <is>
          <t>A</t>
        </is>
      </c>
      <c r="C1510" t="n">
        <v>3506</v>
      </c>
      <c r="D1510" t="inlineStr">
        <is>
          <t>Taylor &amp; Francis Online</t>
        </is>
      </c>
    </row>
    <row r="1511">
      <c r="A1511" t="inlineStr">
        <is>
          <t>Journal of Hospitality, Leisure, Sport &amp; Tourism Education</t>
        </is>
      </c>
      <c r="B1511" t="inlineStr">
        <is>
          <t>B</t>
        </is>
      </c>
      <c r="C1511" t="n">
        <v>3508</v>
      </c>
      <c r="D1511" t="inlineStr">
        <is>
          <t>Elsevier</t>
        </is>
      </c>
    </row>
    <row r="1512">
      <c r="A1512" t="inlineStr">
        <is>
          <t>Journal of Housing Economics</t>
        </is>
      </c>
      <c r="B1512" t="inlineStr">
        <is>
          <t>A</t>
        </is>
      </c>
      <c r="C1512" t="n">
        <v>3801</v>
      </c>
      <c r="D1512" t="inlineStr">
        <is>
          <t>Elsevier</t>
        </is>
      </c>
    </row>
    <row r="1513">
      <c r="A1513" t="inlineStr">
        <is>
          <t>Journal of Housing Research</t>
        </is>
      </c>
      <c r="B1513" t="inlineStr">
        <is>
          <t>B</t>
        </is>
      </c>
      <c r="C1513" t="n">
        <v>3504</v>
      </c>
      <c r="D1513" t="inlineStr">
        <is>
          <t>American Real Estate Society</t>
        </is>
      </c>
    </row>
    <row r="1514">
      <c r="A1514" t="inlineStr">
        <is>
          <t>Journal of Human Capital</t>
        </is>
      </c>
      <c r="B1514" t="inlineStr">
        <is>
          <t>A</t>
        </is>
      </c>
      <c r="C1514" t="n">
        <v>3801</v>
      </c>
      <c r="D1514" t="inlineStr">
        <is>
          <t>The University of Chicago Press</t>
        </is>
      </c>
    </row>
    <row r="1515">
      <c r="A1515" t="inlineStr">
        <is>
          <t>Journal of Human Development and Capabilities</t>
        </is>
      </c>
      <c r="B1515" t="inlineStr">
        <is>
          <t>B</t>
        </is>
      </c>
      <c r="C1515" t="n">
        <v>3505</v>
      </c>
      <c r="D1515" t="inlineStr">
        <is>
          <t>Taylor &amp; Francis Online</t>
        </is>
      </c>
    </row>
    <row r="1516">
      <c r="A1516" t="inlineStr">
        <is>
          <t>Journal of Human Resources</t>
        </is>
      </c>
      <c r="B1516" t="inlineStr">
        <is>
          <t>A*</t>
        </is>
      </c>
      <c r="C1516" t="n">
        <v>3801</v>
      </c>
      <c r="D1516" t="inlineStr">
        <is>
          <t>The University of Wisconsin Press</t>
        </is>
      </c>
    </row>
    <row r="1517">
      <c r="A1517" t="inlineStr">
        <is>
          <t>Journal of Human Resources in Hospitality and Tourism</t>
        </is>
      </c>
      <c r="B1517" t="inlineStr">
        <is>
          <t>B</t>
        </is>
      </c>
      <c r="C1517" t="n">
        <v>3508</v>
      </c>
      <c r="D1517" t="inlineStr">
        <is>
          <t>Taylor &amp; Francis Online</t>
        </is>
      </c>
    </row>
    <row r="1518">
      <c r="A1518" t="inlineStr">
        <is>
          <t>Journal of Humanitarian Logistics and Supply Chain Management</t>
        </is>
      </c>
      <c r="B1518" t="inlineStr">
        <is>
          <t>B</t>
        </is>
      </c>
      <c r="C1518" t="n">
        <v>3509</v>
      </c>
      <c r="D1518" t="inlineStr">
        <is>
          <t>Emerald Group Publishing Limited</t>
        </is>
      </c>
    </row>
    <row r="1519">
      <c r="A1519" t="inlineStr">
        <is>
          <t>Journal of Income Distribution</t>
        </is>
      </c>
      <c r="B1519" t="inlineStr">
        <is>
          <t>B</t>
        </is>
      </c>
      <c r="C1519" t="n">
        <v>3801</v>
      </c>
      <c r="D1519" t="inlineStr">
        <is>
          <t>Ad Libros Publications Inc</t>
        </is>
      </c>
    </row>
    <row r="1520">
      <c r="A1520" t="inlineStr">
        <is>
          <t>Journal of Index Investing</t>
        </is>
      </c>
      <c r="B1520" t="inlineStr">
        <is>
          <t>C</t>
        </is>
      </c>
      <c r="C1520" t="n">
        <v>3502</v>
      </c>
      <c r="D1520" t="inlineStr">
        <is>
          <t>S&amp;P Global</t>
        </is>
      </c>
    </row>
    <row r="1521">
      <c r="A1521" t="inlineStr">
        <is>
          <t>Journal of Indian Business Research</t>
        </is>
      </c>
      <c r="B1521" t="inlineStr">
        <is>
          <t>C</t>
        </is>
      </c>
      <c r="C1521" t="n">
        <v>3507</v>
      </c>
      <c r="D1521" t="inlineStr">
        <is>
          <t>Emerald Group Publishing</t>
        </is>
      </c>
    </row>
    <row r="1522">
      <c r="A1522" t="inlineStr">
        <is>
          <t>Journal of Indonesian Economy and Business</t>
        </is>
      </c>
      <c r="B1522" t="inlineStr">
        <is>
          <t>C</t>
        </is>
      </c>
      <c r="C1522" t="n">
        <v>3899</v>
      </c>
      <c r="D1522" t="inlineStr">
        <is>
          <t>Universitas Gadjah Mada</t>
        </is>
      </c>
    </row>
    <row r="1523">
      <c r="A1523" t="inlineStr">
        <is>
          <t>Journal of Industrial and Business Economics</t>
        </is>
      </c>
      <c r="B1523" t="inlineStr">
        <is>
          <t>B</t>
        </is>
      </c>
      <c r="C1523" t="n">
        <v>3801</v>
      </c>
      <c r="D1523" t="inlineStr">
        <is>
          <t>Springer Nature</t>
        </is>
      </c>
    </row>
    <row r="1524">
      <c r="A1524" t="inlineStr">
        <is>
          <t>Journal of Industrial and Management Optimization</t>
        </is>
      </c>
      <c r="B1524" t="inlineStr">
        <is>
          <t>B</t>
        </is>
      </c>
      <c r="C1524" t="n">
        <v>3503</v>
      </c>
      <c r="D1524" t="inlineStr">
        <is>
          <t>American Institute of Mathematical Sciences</t>
        </is>
      </c>
    </row>
    <row r="1525">
      <c r="A1525" t="inlineStr">
        <is>
          <t>Journal of Industrial Information Integration</t>
        </is>
      </c>
      <c r="B1525" t="inlineStr">
        <is>
          <t>C</t>
        </is>
      </c>
      <c r="C1525" t="n">
        <v>4609</v>
      </c>
      <c r="D1525" t="inlineStr">
        <is>
          <t>Elsevier</t>
        </is>
      </c>
    </row>
    <row r="1526">
      <c r="A1526" t="inlineStr">
        <is>
          <t>Journal of Industrial Relations</t>
        </is>
      </c>
      <c r="B1526" t="inlineStr">
        <is>
          <t>A</t>
        </is>
      </c>
      <c r="C1526" t="n">
        <v>3505</v>
      </c>
      <c r="D1526" t="inlineStr">
        <is>
          <t>Sage Publications</t>
        </is>
      </c>
    </row>
    <row r="1527">
      <c r="A1527" t="inlineStr">
        <is>
          <t>Journal of Industry, Competition and Trade</t>
        </is>
      </c>
      <c r="B1527" t="inlineStr">
        <is>
          <t>C</t>
        </is>
      </c>
      <c r="C1527" t="n">
        <v>3801</v>
      </c>
      <c r="D1527" t="inlineStr">
        <is>
          <t>Springer International Publishing</t>
        </is>
      </c>
    </row>
    <row r="1528">
      <c r="A1528" t="inlineStr">
        <is>
          <t>Journal of Information and Knowledge Management</t>
        </is>
      </c>
      <c r="B1528" t="inlineStr">
        <is>
          <t>C</t>
        </is>
      </c>
      <c r="C1528" t="n">
        <v>4609</v>
      </c>
      <c r="D1528" t="inlineStr">
        <is>
          <t>World Scientific Publishing</t>
        </is>
      </c>
    </row>
    <row r="1529">
      <c r="A1529" t="inlineStr">
        <is>
          <t>Journal of Information Communication and Ethics in Society</t>
        </is>
      </c>
      <c r="B1529" t="inlineStr">
        <is>
          <t>B</t>
        </is>
      </c>
      <c r="C1529" t="n">
        <v>4609</v>
      </c>
      <c r="D1529" t="inlineStr">
        <is>
          <t>Emerald Group Publishing Limited</t>
        </is>
      </c>
    </row>
    <row r="1530">
      <c r="A1530" t="inlineStr">
        <is>
          <t>Journal of Information Systems</t>
        </is>
      </c>
      <c r="B1530" t="inlineStr">
        <is>
          <t>A</t>
        </is>
      </c>
      <c r="C1530" t="n">
        <v>3501</v>
      </c>
      <c r="D1530" t="inlineStr">
        <is>
          <t>American Accounting Association</t>
        </is>
      </c>
    </row>
    <row r="1531">
      <c r="A1531" t="inlineStr">
        <is>
          <t>Journal of Information Systems and Technology Management</t>
        </is>
      </c>
      <c r="B1531" t="inlineStr">
        <is>
          <t>C</t>
        </is>
      </c>
      <c r="C1531" t="n">
        <v>4609</v>
      </c>
      <c r="D1531" t="inlineStr">
        <is>
          <t>University of São Paulo</t>
        </is>
      </c>
    </row>
    <row r="1532">
      <c r="A1532" t="inlineStr">
        <is>
          <t>Journal of Information Systems Education</t>
        </is>
      </c>
      <c r="B1532" t="inlineStr">
        <is>
          <t>B</t>
        </is>
      </c>
      <c r="C1532" t="n">
        <v>4609</v>
      </c>
      <c r="D1532" t="inlineStr">
        <is>
          <t>Association of Information Technology Professionals (ATIP)</t>
        </is>
      </c>
    </row>
    <row r="1533">
      <c r="A1533" t="inlineStr">
        <is>
          <t>Journal of Information Technology</t>
        </is>
      </c>
      <c r="B1533" t="inlineStr">
        <is>
          <t>A*</t>
        </is>
      </c>
      <c r="C1533" t="n">
        <v>4609</v>
      </c>
      <c r="D1533" t="inlineStr">
        <is>
          <t>Sage Publications</t>
        </is>
      </c>
    </row>
    <row r="1534">
      <c r="A1534" t="inlineStr">
        <is>
          <t>Journal of Information Technology Case and Application Research</t>
        </is>
      </c>
      <c r="B1534" t="inlineStr">
        <is>
          <t>C</t>
        </is>
      </c>
      <c r="C1534" t="n">
        <v>4609</v>
      </c>
      <c r="D1534" t="inlineStr">
        <is>
          <t>Taylor &amp; Francis Online</t>
        </is>
      </c>
    </row>
    <row r="1535">
      <c r="A1535" t="inlineStr">
        <is>
          <t>Journal of Information Technology Education: Research</t>
        </is>
      </c>
      <c r="B1535" t="inlineStr">
        <is>
          <t>C</t>
        </is>
      </c>
      <c r="C1535" t="n">
        <v>4609</v>
      </c>
      <c r="D1535" t="inlineStr">
        <is>
          <t>Informing Science Institute</t>
        </is>
      </c>
    </row>
    <row r="1536">
      <c r="A1536" t="inlineStr">
        <is>
          <t>Journal of Innovation &amp; Knowledge</t>
        </is>
      </c>
      <c r="B1536" t="inlineStr">
        <is>
          <t>C</t>
        </is>
      </c>
      <c r="C1536" t="n">
        <v>3507</v>
      </c>
      <c r="D1536" t="inlineStr">
        <is>
          <t>Elsevier</t>
        </is>
      </c>
    </row>
    <row r="1537">
      <c r="A1537" t="inlineStr">
        <is>
          <t>Journal of Innovation Economics</t>
        </is>
      </c>
      <c r="B1537" t="inlineStr">
        <is>
          <t>C</t>
        </is>
      </c>
      <c r="C1537" t="n">
        <v>3801</v>
      </c>
      <c r="D1537" t="inlineStr">
        <is>
          <t>De Boeck Superior</t>
        </is>
      </c>
    </row>
    <row r="1538">
      <c r="A1538" t="inlineStr">
        <is>
          <t>Journal of Innovation Management</t>
        </is>
      </c>
      <c r="B1538" t="inlineStr">
        <is>
          <t>C</t>
        </is>
      </c>
      <c r="C1538" t="n">
        <v>3507</v>
      </c>
      <c r="D1538" t="inlineStr">
        <is>
          <t>Association Journal of Innovation Management</t>
        </is>
      </c>
    </row>
    <row r="1539">
      <c r="A1539" t="inlineStr">
        <is>
          <t>Journal of Institutional and Theoretical Economics</t>
        </is>
      </c>
      <c r="B1539" t="inlineStr">
        <is>
          <t>B</t>
        </is>
      </c>
      <c r="C1539" t="n">
        <v>3803</v>
      </c>
      <c r="D1539" t="inlineStr">
        <is>
          <t>Mohr Siebeck GmbH &amp; Co. KG</t>
        </is>
      </c>
    </row>
    <row r="1540">
      <c r="A1540" t="inlineStr">
        <is>
          <t>Journal of Institutional Economics</t>
        </is>
      </c>
      <c r="B1540" t="inlineStr">
        <is>
          <t>B</t>
        </is>
      </c>
      <c r="C1540" t="n">
        <v>3801</v>
      </c>
      <c r="D1540" t="inlineStr">
        <is>
          <t>Cambridge University Press</t>
        </is>
      </c>
    </row>
    <row r="1541">
      <c r="A1541" t="inlineStr">
        <is>
          <t>Journal of Insurance Issues</t>
        </is>
      </c>
      <c r="B1541" t="inlineStr">
        <is>
          <t>B</t>
        </is>
      </c>
      <c r="C1541" t="n">
        <v>3502</v>
      </c>
      <c r="D1541" t="inlineStr">
        <is>
          <t>Western &amp; Southern Risk and Insurance Association</t>
        </is>
      </c>
    </row>
    <row r="1542">
      <c r="A1542" t="inlineStr">
        <is>
          <t>Journal of Intellectual Capital</t>
        </is>
      </c>
      <c r="B1542" t="inlineStr">
        <is>
          <t>B</t>
        </is>
      </c>
      <c r="C1542" t="n">
        <v>3501</v>
      </c>
      <c r="D1542" t="inlineStr">
        <is>
          <t>Emerald Group Publishing</t>
        </is>
      </c>
    </row>
    <row r="1543">
      <c r="A1543" t="inlineStr">
        <is>
          <t>Journal of Intellectual Property Law &amp; Practice</t>
        </is>
      </c>
      <c r="B1543" t="inlineStr">
        <is>
          <t>B</t>
        </is>
      </c>
      <c r="C1543" t="n">
        <v>4801</v>
      </c>
      <c r="D1543" t="inlineStr">
        <is>
          <t>Oxford University Press</t>
        </is>
      </c>
    </row>
    <row r="1544">
      <c r="A1544" t="inlineStr">
        <is>
          <t>Journal of Intelligent Information Systems</t>
        </is>
      </c>
      <c r="B1544" t="inlineStr">
        <is>
          <t>B</t>
        </is>
      </c>
      <c r="C1544" t="n">
        <v>4609</v>
      </c>
      <c r="D1544" t="inlineStr">
        <is>
          <t>Springer International Publishing</t>
        </is>
      </c>
    </row>
    <row r="1545">
      <c r="A1545" t="inlineStr">
        <is>
          <t>Journal of Intelligent Manufacturing</t>
        </is>
      </c>
      <c r="B1545" t="inlineStr">
        <is>
          <t>B</t>
        </is>
      </c>
      <c r="C1545" t="n">
        <v>3503</v>
      </c>
      <c r="D1545" t="inlineStr">
        <is>
          <t>Springer International Publishing</t>
        </is>
      </c>
    </row>
    <row r="1546">
      <c r="A1546" t="inlineStr">
        <is>
          <t>Journal of Intelligent Transportation Systems</t>
        </is>
      </c>
      <c r="B1546" t="inlineStr">
        <is>
          <t>B</t>
        </is>
      </c>
      <c r="C1546" t="n">
        <v>3509</v>
      </c>
      <c r="D1546" t="inlineStr">
        <is>
          <t>Taylor &amp; Francis Online</t>
        </is>
      </c>
    </row>
    <row r="1547">
      <c r="A1547" t="inlineStr">
        <is>
          <t>Journal of Interactive Advertising</t>
        </is>
      </c>
      <c r="B1547" t="inlineStr">
        <is>
          <t>B</t>
        </is>
      </c>
      <c r="C1547" t="n">
        <v>3506</v>
      </c>
      <c r="D1547" t="inlineStr">
        <is>
          <t>Taylor &amp; Francis Online</t>
        </is>
      </c>
    </row>
    <row r="1548">
      <c r="A1548" t="inlineStr">
        <is>
          <t>Journal of Interactive Marketing</t>
        </is>
      </c>
      <c r="B1548" t="inlineStr">
        <is>
          <t>A</t>
        </is>
      </c>
      <c r="C1548" t="n">
        <v>3506</v>
      </c>
      <c r="D1548" t="inlineStr">
        <is>
          <t>Sage Publications</t>
        </is>
      </c>
    </row>
    <row r="1549">
      <c r="A1549" t="inlineStr">
        <is>
          <t>Journal of Intercultural Communication</t>
        </is>
      </c>
      <c r="B1549" t="inlineStr">
        <is>
          <t>C</t>
        </is>
      </c>
      <c r="C1549" t="n">
        <v>3507</v>
      </c>
      <c r="D1549" t="inlineStr">
        <is>
          <t>ICR Publishing Group</t>
        </is>
      </c>
    </row>
    <row r="1550">
      <c r="A1550" t="inlineStr">
        <is>
          <t>Journal of Interdisciplinary Economics</t>
        </is>
      </c>
      <c r="B1550" t="inlineStr">
        <is>
          <t>C</t>
        </is>
      </c>
      <c r="C1550" t="n">
        <v>3801</v>
      </c>
      <c r="D1550" t="inlineStr">
        <is>
          <t>Sage Publications</t>
        </is>
      </c>
    </row>
    <row r="1551">
      <c r="A1551" t="inlineStr">
        <is>
          <t>Journal of International Accounting Research</t>
        </is>
      </c>
      <c r="B1551" t="inlineStr">
        <is>
          <t>A</t>
        </is>
      </c>
      <c r="C1551" t="n">
        <v>3501</v>
      </c>
      <c r="D1551" t="inlineStr">
        <is>
          <t>American Accounting Association</t>
        </is>
      </c>
    </row>
    <row r="1552">
      <c r="A1552" t="inlineStr">
        <is>
          <t>Journal of International Accounting, Auditing and Taxation</t>
        </is>
      </c>
      <c r="B1552" t="inlineStr">
        <is>
          <t>B</t>
        </is>
      </c>
      <c r="C1552" t="n">
        <v>3501</v>
      </c>
      <c r="D1552" t="inlineStr">
        <is>
          <t>Elsevier</t>
        </is>
      </c>
    </row>
    <row r="1553">
      <c r="A1553" t="inlineStr">
        <is>
          <t>Journal of International Agricultural Trade and Development</t>
        </is>
      </c>
      <c r="B1553" t="inlineStr">
        <is>
          <t>C</t>
        </is>
      </c>
      <c r="C1553" t="n">
        <v>3801</v>
      </c>
      <c r="D1553" t="inlineStr">
        <is>
          <t>Nova Science Publishers</t>
        </is>
      </c>
    </row>
    <row r="1554">
      <c r="A1554" t="inlineStr">
        <is>
          <t>Journal of International Banking Law and Regulation</t>
        </is>
      </c>
      <c r="B1554" t="inlineStr">
        <is>
          <t>C</t>
        </is>
      </c>
      <c r="C1554" t="n">
        <v>3502</v>
      </c>
      <c r="D1554" t="inlineStr">
        <is>
          <t>Sweet &amp; Maxwell</t>
        </is>
      </c>
    </row>
    <row r="1555">
      <c r="A1555" t="inlineStr">
        <is>
          <t>Journal of International Business and Economy</t>
        </is>
      </c>
      <c r="B1555" t="inlineStr">
        <is>
          <t>C</t>
        </is>
      </c>
      <c r="C1555" t="n">
        <v>3801</v>
      </c>
      <c r="D1555" t="inlineStr">
        <is>
          <t>San Francisco State University, College of Business and the Institute for Industrial Policy Studies</t>
        </is>
      </c>
    </row>
    <row r="1556">
      <c r="A1556" t="inlineStr">
        <is>
          <t>Journal of International Business Education</t>
        </is>
      </c>
      <c r="B1556" t="inlineStr">
        <is>
          <t>C</t>
        </is>
      </c>
      <c r="C1556" t="n">
        <v>3507</v>
      </c>
      <c r="D1556" t="inlineStr">
        <is>
          <t>NeilsonJournals Publishing</t>
        </is>
      </c>
    </row>
    <row r="1557">
      <c r="A1557" t="inlineStr">
        <is>
          <t>Journal of International Business Policy</t>
        </is>
      </c>
      <c r="B1557" t="inlineStr">
        <is>
          <t>B</t>
        </is>
      </c>
      <c r="C1557" t="n">
        <v>3507</v>
      </c>
      <c r="D1557" t="inlineStr">
        <is>
          <t>Springer Nature</t>
        </is>
      </c>
    </row>
    <row r="1558">
      <c r="A1558" t="inlineStr">
        <is>
          <t>Journal of International Business Studies</t>
        </is>
      </c>
      <c r="B1558" t="inlineStr">
        <is>
          <t>A*</t>
        </is>
      </c>
      <c r="C1558" t="n">
        <v>3507</v>
      </c>
      <c r="D1558" t="inlineStr">
        <is>
          <t>Springer International Publishing</t>
        </is>
      </c>
    </row>
    <row r="1559">
      <c r="A1559" t="inlineStr">
        <is>
          <t>Journal of International Commercial Law</t>
        </is>
      </c>
      <c r="B1559" t="inlineStr">
        <is>
          <t>C</t>
        </is>
      </c>
      <c r="C1559" t="n">
        <v>4801</v>
      </c>
      <c r="D1559" t="inlineStr">
        <is>
          <t>The University of Western Australia</t>
        </is>
      </c>
    </row>
    <row r="1560">
      <c r="A1560" t="inlineStr">
        <is>
          <t>Journal of International Consumer Marketing</t>
        </is>
      </c>
      <c r="B1560" t="inlineStr">
        <is>
          <t>B</t>
        </is>
      </c>
      <c r="C1560" t="n">
        <v>3506</v>
      </c>
      <c r="D1560" t="inlineStr">
        <is>
          <t>Taylor &amp; Francis Online</t>
        </is>
      </c>
    </row>
    <row r="1561">
      <c r="A1561" t="inlineStr">
        <is>
          <t>Journal of International Development</t>
        </is>
      </c>
      <c r="B1561" t="inlineStr">
        <is>
          <t>B</t>
        </is>
      </c>
      <c r="C1561" t="n">
        <v>3801</v>
      </c>
      <c r="D1561" t="inlineStr">
        <is>
          <t>Wiley-Blackwell Publishing</t>
        </is>
      </c>
    </row>
    <row r="1562">
      <c r="A1562" t="inlineStr">
        <is>
          <t>Journal of International Economic Law</t>
        </is>
      </c>
      <c r="B1562" t="inlineStr">
        <is>
          <t>A</t>
        </is>
      </c>
      <c r="C1562" t="n">
        <v>4801</v>
      </c>
      <c r="D1562" t="inlineStr">
        <is>
          <t>Oxford University Press</t>
        </is>
      </c>
    </row>
    <row r="1563">
      <c r="A1563" t="inlineStr">
        <is>
          <t>Journal of International Economic Studies</t>
        </is>
      </c>
      <c r="B1563" t="inlineStr">
        <is>
          <t>C</t>
        </is>
      </c>
      <c r="C1563" t="n">
        <v>3801</v>
      </c>
      <c r="D1563" t="inlineStr">
        <is>
          <t>Hosei Institute of Comparative Economic Studies</t>
        </is>
      </c>
    </row>
    <row r="1564">
      <c r="A1564" t="inlineStr">
        <is>
          <t>Journal of International Economics</t>
        </is>
      </c>
      <c r="B1564" t="inlineStr">
        <is>
          <t>A*</t>
        </is>
      </c>
      <c r="C1564" t="n">
        <v>3801</v>
      </c>
      <c r="D1564" t="inlineStr">
        <is>
          <t>Elsevier</t>
        </is>
      </c>
    </row>
    <row r="1565">
      <c r="A1565" t="inlineStr">
        <is>
          <t>Journal of International Education in Business</t>
        </is>
      </c>
      <c r="B1565" t="inlineStr">
        <is>
          <t>C</t>
        </is>
      </c>
      <c r="C1565" t="n">
        <v>3507</v>
      </c>
      <c r="D1565" t="inlineStr">
        <is>
          <t>Emerald Group Publishing Limited</t>
        </is>
      </c>
    </row>
    <row r="1566">
      <c r="A1566" t="inlineStr">
        <is>
          <t>Journal of International Finance and Economics</t>
        </is>
      </c>
      <c r="B1566" t="inlineStr">
        <is>
          <t>C</t>
        </is>
      </c>
      <c r="C1566" t="n">
        <v>3801</v>
      </c>
      <c r="D1566" t="inlineStr">
        <is>
          <t>International Academy of Business and Economics</t>
        </is>
      </c>
    </row>
    <row r="1567">
      <c r="A1567" t="inlineStr">
        <is>
          <t>Journal of International Financial Management and Accounting</t>
        </is>
      </c>
      <c r="B1567" t="inlineStr">
        <is>
          <t>A</t>
        </is>
      </c>
      <c r="C1567" t="n">
        <v>3502</v>
      </c>
      <c r="D1567" t="inlineStr">
        <is>
          <t>Wiley-Blackwell Publishing</t>
        </is>
      </c>
    </row>
    <row r="1568">
      <c r="A1568" t="inlineStr">
        <is>
          <t>Journal of International Financial Markets, Institutions and Money</t>
        </is>
      </c>
      <c r="B1568" t="inlineStr">
        <is>
          <t>A</t>
        </is>
      </c>
      <c r="C1568" t="n">
        <v>3502</v>
      </c>
      <c r="D1568" t="inlineStr">
        <is>
          <t>Elsevier</t>
        </is>
      </c>
    </row>
    <row r="1569">
      <c r="A1569" t="inlineStr">
        <is>
          <t>Journal of International Food and Agribusiness Marketing</t>
        </is>
      </c>
      <c r="B1569" t="inlineStr">
        <is>
          <t>B</t>
        </is>
      </c>
      <c r="C1569" t="n">
        <v>3506</v>
      </c>
      <c r="D1569" t="inlineStr">
        <is>
          <t>Taylor &amp; Francis Online</t>
        </is>
      </c>
    </row>
    <row r="1570">
      <c r="A1570" t="inlineStr">
        <is>
          <t>Journal of International Management</t>
        </is>
      </c>
      <c r="B1570" t="inlineStr">
        <is>
          <t>A</t>
        </is>
      </c>
      <c r="C1570" t="n">
        <v>3507</v>
      </c>
      <c r="D1570" t="inlineStr">
        <is>
          <t>Elsevier</t>
        </is>
      </c>
    </row>
    <row r="1571">
      <c r="A1571" t="inlineStr">
        <is>
          <t>Journal of International Marketing</t>
        </is>
      </c>
      <c r="B1571" t="inlineStr">
        <is>
          <t>A</t>
        </is>
      </c>
      <c r="C1571" t="n">
        <v>3506</v>
      </c>
      <c r="D1571" t="inlineStr">
        <is>
          <t>Sage Publications</t>
        </is>
      </c>
    </row>
    <row r="1572">
      <c r="A1572" t="inlineStr">
        <is>
          <t>Journal of International Marketing and Exporting</t>
        </is>
      </c>
      <c r="B1572" t="inlineStr">
        <is>
          <t>C</t>
        </is>
      </c>
      <c r="C1572" t="n">
        <v>3506</v>
      </c>
      <c r="D1572" t="inlineStr">
        <is>
          <t>Academy of World Business</t>
        </is>
      </c>
    </row>
    <row r="1573">
      <c r="A1573" t="inlineStr">
        <is>
          <t>Journal of International Marketing and Marketing Research</t>
        </is>
      </c>
      <c r="B1573" t="inlineStr">
        <is>
          <t>C</t>
        </is>
      </c>
      <c r="C1573" t="n">
        <v>3506</v>
      </c>
      <c r="D1573" t="inlineStr">
        <is>
          <t>European Marketing Association</t>
        </is>
      </c>
    </row>
    <row r="1574">
      <c r="A1574" t="inlineStr">
        <is>
          <t>Journal of International Migration and Integration</t>
        </is>
      </c>
      <c r="B1574" t="inlineStr">
        <is>
          <t>C</t>
        </is>
      </c>
      <c r="C1574" t="n">
        <v>3599</v>
      </c>
      <c r="D1574" t="inlineStr">
        <is>
          <t>Springer International Publishing</t>
        </is>
      </c>
    </row>
    <row r="1575">
      <c r="A1575" t="inlineStr">
        <is>
          <t>Journal of International Money and Finance</t>
        </is>
      </c>
      <c r="B1575" t="inlineStr">
        <is>
          <t>A</t>
        </is>
      </c>
      <c r="C1575" t="n">
        <v>3502</v>
      </c>
      <c r="D1575" t="inlineStr">
        <is>
          <t>Elsevier</t>
        </is>
      </c>
    </row>
    <row r="1576">
      <c r="A1576" t="inlineStr">
        <is>
          <t>Journal of International Relations and Development</t>
        </is>
      </c>
      <c r="B1576" t="inlineStr">
        <is>
          <t>C</t>
        </is>
      </c>
      <c r="C1576" t="n">
        <v>3599</v>
      </c>
      <c r="D1576" t="inlineStr">
        <is>
          <t>Springer Nature</t>
        </is>
      </c>
    </row>
    <row r="1577">
      <c r="A1577" t="inlineStr">
        <is>
          <t>Journal of International Taxation</t>
        </is>
      </c>
      <c r="B1577" t="inlineStr">
        <is>
          <t>C</t>
        </is>
      </c>
      <c r="C1577" t="n">
        <v>4801</v>
      </c>
      <c r="D1577" t="inlineStr">
        <is>
          <t>Thomson Reuters</t>
        </is>
      </c>
    </row>
    <row r="1578">
      <c r="A1578" t="inlineStr">
        <is>
          <t>Journal of International Technology and Information Management</t>
        </is>
      </c>
      <c r="B1578" t="inlineStr">
        <is>
          <t>C</t>
        </is>
      </c>
      <c r="C1578" t="n">
        <v>4609</v>
      </c>
      <c r="D1578" t="inlineStr">
        <is>
          <t>International Information Management Association (IIMA)</t>
        </is>
      </c>
    </row>
    <row r="1579">
      <c r="A1579" t="inlineStr">
        <is>
          <t>Journal of Internet Commerce</t>
        </is>
      </c>
      <c r="B1579" t="inlineStr">
        <is>
          <t>B</t>
        </is>
      </c>
      <c r="C1579" t="n">
        <v>3504</v>
      </c>
      <c r="D1579" t="inlineStr">
        <is>
          <t>Taylor &amp; Francis Online</t>
        </is>
      </c>
    </row>
    <row r="1580">
      <c r="A1580" t="inlineStr">
        <is>
          <t>Journal of Investing</t>
        </is>
      </c>
      <c r="B1580" t="inlineStr">
        <is>
          <t>B</t>
        </is>
      </c>
      <c r="C1580" t="n">
        <v>3502</v>
      </c>
      <c r="D1580" t="inlineStr">
        <is>
          <t>S&amp;P Global</t>
        </is>
      </c>
    </row>
    <row r="1581">
      <c r="A1581" t="inlineStr">
        <is>
          <t>Journal of Investment Compliance</t>
        </is>
      </c>
      <c r="B1581" t="inlineStr">
        <is>
          <t>C</t>
        </is>
      </c>
      <c r="C1581" t="n">
        <v>3502</v>
      </c>
      <c r="D1581" t="inlineStr">
        <is>
          <t>Emerald Group Publishing</t>
        </is>
      </c>
    </row>
    <row r="1582">
      <c r="A1582" t="inlineStr">
        <is>
          <t>Journal of Investment Consulting</t>
        </is>
      </c>
      <c r="B1582" t="inlineStr">
        <is>
          <t>C</t>
        </is>
      </c>
      <c r="C1582" t="n">
        <v>3502</v>
      </c>
      <c r="D1582" t="inlineStr">
        <is>
          <t>Investments &amp; Wealth Institute</t>
        </is>
      </c>
    </row>
    <row r="1583">
      <c r="A1583" t="inlineStr">
        <is>
          <t>Journal of Investment Management</t>
        </is>
      </c>
      <c r="B1583" t="inlineStr">
        <is>
          <t>C</t>
        </is>
      </c>
      <c r="C1583" t="n">
        <v>3502</v>
      </c>
      <c r="D1583" t="inlineStr">
        <is>
          <t>Gifford Fong Associates</t>
        </is>
      </c>
    </row>
    <row r="1584">
      <c r="A1584" t="inlineStr">
        <is>
          <t>Journal of Islamic Accounting and Business Research</t>
        </is>
      </c>
      <c r="B1584" t="inlineStr">
        <is>
          <t>C</t>
        </is>
      </c>
      <c r="C1584" t="n">
        <v>3501</v>
      </c>
      <c r="D1584" t="inlineStr">
        <is>
          <t>Emerald Group Publishing</t>
        </is>
      </c>
    </row>
    <row r="1585">
      <c r="A1585" t="inlineStr">
        <is>
          <t>Journal of Islamic Economics, Banking and Finance</t>
        </is>
      </c>
      <c r="B1585" t="inlineStr">
        <is>
          <t>C</t>
        </is>
      </c>
      <c r="C1585" t="n">
        <v>3502</v>
      </c>
      <c r="D1585" t="inlineStr">
        <is>
          <t>SyndiGate Media Inc.</t>
        </is>
      </c>
    </row>
    <row r="1586">
      <c r="A1586" t="inlineStr">
        <is>
          <t>Journal of Islamic Marketing</t>
        </is>
      </c>
      <c r="B1586" t="inlineStr">
        <is>
          <t>B</t>
        </is>
      </c>
      <c r="C1586" t="n">
        <v>3506</v>
      </c>
      <c r="D1586" t="inlineStr">
        <is>
          <t>Emerald Group Publishing Limited</t>
        </is>
      </c>
    </row>
    <row r="1587">
      <c r="A1587" t="inlineStr">
        <is>
          <t>Journal of Knowledge Management</t>
        </is>
      </c>
      <c r="B1587" t="inlineStr">
        <is>
          <t>A</t>
        </is>
      </c>
      <c r="C1587" t="n">
        <v>4609</v>
      </c>
      <c r="D1587" t="inlineStr">
        <is>
          <t>Emerald Group Publishing</t>
        </is>
      </c>
    </row>
    <row r="1588">
      <c r="A1588" t="inlineStr">
        <is>
          <t>Journal of Knowledge Management Practice</t>
        </is>
      </c>
      <c r="B1588" t="inlineStr">
        <is>
          <t>C</t>
        </is>
      </c>
      <c r="C1588" t="n">
        <v>4609</v>
      </c>
      <c r="D1588" t="inlineStr">
        <is>
          <t>Leadership Alliance Inc.</t>
        </is>
      </c>
    </row>
    <row r="1589">
      <c r="A1589" t="inlineStr">
        <is>
          <t>Journal of Korea Trade</t>
        </is>
      </c>
      <c r="B1589" t="inlineStr">
        <is>
          <t>C</t>
        </is>
      </c>
      <c r="C1589" t="n">
        <v>3801</v>
      </c>
      <c r="D1589" t="inlineStr">
        <is>
          <t>Emerald Group Publishing</t>
        </is>
      </c>
    </row>
    <row r="1590">
      <c r="A1590" t="inlineStr">
        <is>
          <t>Journal of Labor and Society</t>
        </is>
      </c>
      <c r="B1590" t="inlineStr">
        <is>
          <t>C</t>
        </is>
      </c>
      <c r="C1590" t="n">
        <v>3801</v>
      </c>
      <c r="D1590" t="inlineStr">
        <is>
          <t>Wiley-Blackwell Publishing</t>
        </is>
      </c>
    </row>
    <row r="1591">
      <c r="A1591" t="inlineStr">
        <is>
          <t>Journal of Labor Economics</t>
        </is>
      </c>
      <c r="B1591" t="inlineStr">
        <is>
          <t>A*</t>
        </is>
      </c>
      <c r="C1591" t="n">
        <v>3801</v>
      </c>
      <c r="D1591" t="inlineStr">
        <is>
          <t>University of Chicago Press</t>
        </is>
      </c>
    </row>
    <row r="1592">
      <c r="A1592" t="inlineStr">
        <is>
          <t>Journal of Labor Research</t>
        </is>
      </c>
      <c r="B1592" t="inlineStr">
        <is>
          <t>B</t>
        </is>
      </c>
      <c r="C1592" t="n">
        <v>3505</v>
      </c>
      <c r="D1592" t="inlineStr">
        <is>
          <t>Springer International Publishing</t>
        </is>
      </c>
    </row>
    <row r="1593">
      <c r="A1593" t="inlineStr">
        <is>
          <t>Journal of Law and Financial Management</t>
        </is>
      </c>
      <c r="B1593" t="inlineStr">
        <is>
          <t>C</t>
        </is>
      </c>
      <c r="C1593" t="n">
        <v>4801</v>
      </c>
      <c r="D1593" t="inlineStr">
        <is>
          <t>The University of Sydney</t>
        </is>
      </c>
    </row>
    <row r="1594">
      <c r="A1594" t="inlineStr">
        <is>
          <t>Journal of Law and Society</t>
        </is>
      </c>
      <c r="B1594" t="inlineStr">
        <is>
          <t>B</t>
        </is>
      </c>
      <c r="C1594" t="n">
        <v>4801</v>
      </c>
      <c r="D1594" t="inlineStr">
        <is>
          <t>Wiley-Blackwell Publishing</t>
        </is>
      </c>
    </row>
    <row r="1595">
      <c r="A1595" t="inlineStr">
        <is>
          <t>Journal of Law, Economics &amp; Policy</t>
        </is>
      </c>
      <c r="B1595" t="inlineStr">
        <is>
          <t>B</t>
        </is>
      </c>
      <c r="C1595" t="n">
        <v>4801</v>
      </c>
      <c r="D1595" t="inlineStr">
        <is>
          <t>George Mason University School of Law</t>
        </is>
      </c>
    </row>
    <row r="1596">
      <c r="A1596" t="inlineStr">
        <is>
          <t>Journal of Law, Economics and Organization</t>
        </is>
      </c>
      <c r="B1596" t="inlineStr">
        <is>
          <t>A</t>
        </is>
      </c>
      <c r="C1596" t="n">
        <v>3801</v>
      </c>
      <c r="D1596" t="inlineStr">
        <is>
          <t>Oxford University Press</t>
        </is>
      </c>
    </row>
    <row r="1597">
      <c r="A1597" t="inlineStr">
        <is>
          <t>Journal of Law, Information and Science</t>
        </is>
      </c>
      <c r="B1597" t="inlineStr">
        <is>
          <t>B</t>
        </is>
      </c>
      <c r="C1597" t="n">
        <v>4801</v>
      </c>
      <c r="D1597" t="inlineStr">
        <is>
          <t>University of Tasmania</t>
        </is>
      </c>
    </row>
    <row r="1598">
      <c r="A1598" t="inlineStr">
        <is>
          <t>Journal of Leadership and Organizational Studies</t>
        </is>
      </c>
      <c r="B1598" t="inlineStr">
        <is>
          <t>A</t>
        </is>
      </c>
      <c r="C1598" t="n">
        <v>3507</v>
      </c>
      <c r="D1598" t="inlineStr">
        <is>
          <t>Sage Publications</t>
        </is>
      </c>
    </row>
    <row r="1599">
      <c r="A1599" t="inlineStr">
        <is>
          <t>Journal of Legal Aspects of Sport</t>
        </is>
      </c>
      <c r="B1599" t="inlineStr">
        <is>
          <t>C</t>
        </is>
      </c>
      <c r="C1599" t="n">
        <v>3504</v>
      </c>
      <c r="D1599" t="inlineStr">
        <is>
          <t>Sport &amp; Recreation Law Association</t>
        </is>
      </c>
    </row>
    <row r="1600">
      <c r="A1600" t="inlineStr">
        <is>
          <t>Journal of Legal Economics</t>
        </is>
      </c>
      <c r="B1600" t="inlineStr">
        <is>
          <t>B</t>
        </is>
      </c>
      <c r="C1600" t="n">
        <v>3801</v>
      </c>
      <c r="D1600" t="inlineStr">
        <is>
          <t>Allen Press, Inc.</t>
        </is>
      </c>
    </row>
    <row r="1601">
      <c r="A1601" t="inlineStr">
        <is>
          <t>Journal of Legal Studies in Business</t>
        </is>
      </c>
      <c r="B1601" t="inlineStr">
        <is>
          <t>C</t>
        </is>
      </c>
      <c r="C1601" t="n">
        <v>4801</v>
      </c>
      <c r="D1601" t="inlineStr">
        <is>
          <t>Cengage Learning</t>
        </is>
      </c>
    </row>
    <row r="1602">
      <c r="A1602" t="inlineStr">
        <is>
          <t>Journal of Legal Technology Risk Management</t>
        </is>
      </c>
      <c r="B1602" t="inlineStr">
        <is>
          <t>C</t>
        </is>
      </c>
      <c r="C1602" t="n">
        <v>4801</v>
      </c>
      <c r="D1602" t="inlineStr">
        <is>
          <t>Taylor &amp; Francis Online</t>
        </is>
      </c>
    </row>
    <row r="1603">
      <c r="A1603" t="inlineStr">
        <is>
          <t>Journal of Leisure Research</t>
        </is>
      </c>
      <c r="B1603" t="inlineStr">
        <is>
          <t>A</t>
        </is>
      </c>
      <c r="C1603" t="n">
        <v>3504</v>
      </c>
      <c r="D1603" t="inlineStr">
        <is>
          <t>Taylor &amp; Francis Ltd.</t>
        </is>
      </c>
    </row>
    <row r="1604">
      <c r="A1604" t="inlineStr">
        <is>
          <t>Journal of Macroeconomics</t>
        </is>
      </c>
      <c r="B1604" t="inlineStr">
        <is>
          <t>A</t>
        </is>
      </c>
      <c r="C1604" t="n">
        <v>3801</v>
      </c>
      <c r="D1604" t="inlineStr">
        <is>
          <t>Elsevier</t>
        </is>
      </c>
    </row>
    <row r="1605">
      <c r="A1605" t="inlineStr">
        <is>
          <t>Journal of Macromarketing</t>
        </is>
      </c>
      <c r="B1605" t="inlineStr">
        <is>
          <t>A</t>
        </is>
      </c>
      <c r="C1605" t="n">
        <v>3506</v>
      </c>
      <c r="D1605" t="inlineStr">
        <is>
          <t>Sage Publications</t>
        </is>
      </c>
    </row>
    <row r="1606">
      <c r="A1606" t="inlineStr">
        <is>
          <t>Journal of Malaysian and Comparative Law</t>
        </is>
      </c>
      <c r="B1606" t="inlineStr">
        <is>
          <t>C</t>
        </is>
      </c>
      <c r="C1606" t="n">
        <v>4801</v>
      </c>
      <c r="D1606" t="inlineStr">
        <is>
          <t>University of Malaya</t>
        </is>
      </c>
    </row>
    <row r="1607">
      <c r="A1607" t="inlineStr">
        <is>
          <t>Journal of Management</t>
        </is>
      </c>
      <c r="B1607" t="inlineStr">
        <is>
          <t>A*</t>
        </is>
      </c>
      <c r="C1607" t="n">
        <v>3507</v>
      </c>
      <c r="D1607" t="inlineStr">
        <is>
          <t>Sage Publications</t>
        </is>
      </c>
    </row>
    <row r="1608">
      <c r="A1608" t="inlineStr">
        <is>
          <t>Journal of Management &amp; Organization</t>
        </is>
      </c>
      <c r="B1608" t="inlineStr">
        <is>
          <t>A</t>
        </is>
      </c>
      <c r="C1608" t="n">
        <v>3507</v>
      </c>
      <c r="D1608" t="inlineStr">
        <is>
          <t>Cambridge University Press</t>
        </is>
      </c>
    </row>
    <row r="1609">
      <c r="A1609" t="inlineStr">
        <is>
          <t>Journal of Management Accounting Research</t>
        </is>
      </c>
      <c r="B1609" t="inlineStr">
        <is>
          <t>A*</t>
        </is>
      </c>
      <c r="C1609" t="n">
        <v>3501</v>
      </c>
      <c r="D1609" t="inlineStr">
        <is>
          <t>American Accounting Association</t>
        </is>
      </c>
    </row>
    <row r="1610">
      <c r="A1610" t="inlineStr">
        <is>
          <t>Journal of Management Analytics</t>
        </is>
      </c>
      <c r="B1610" t="inlineStr">
        <is>
          <t>B</t>
        </is>
      </c>
      <c r="C1610" t="n">
        <v>3503</v>
      </c>
      <c r="D1610" t="inlineStr">
        <is>
          <t>Taylor &amp; Francis Ltd.</t>
        </is>
      </c>
    </row>
    <row r="1611">
      <c r="A1611" t="inlineStr">
        <is>
          <t>Journal of Management and Governance</t>
        </is>
      </c>
      <c r="B1611" t="inlineStr">
        <is>
          <t>C</t>
        </is>
      </c>
      <c r="C1611" t="n">
        <v>3507</v>
      </c>
      <c r="D1611" t="inlineStr">
        <is>
          <t>Springer International Publishing</t>
        </is>
      </c>
    </row>
    <row r="1612">
      <c r="A1612" t="inlineStr">
        <is>
          <t>Journal of Management Control</t>
        </is>
      </c>
      <c r="B1612" t="inlineStr">
        <is>
          <t>A</t>
        </is>
      </c>
      <c r="C1612" t="n">
        <v>3501</v>
      </c>
      <c r="D1612" t="inlineStr">
        <is>
          <t>Springer International Publishing</t>
        </is>
      </c>
    </row>
    <row r="1613">
      <c r="A1613" t="inlineStr">
        <is>
          <t>Journal of Management Development</t>
        </is>
      </c>
      <c r="B1613" t="inlineStr">
        <is>
          <t>C</t>
        </is>
      </c>
      <c r="C1613" t="n">
        <v>3507</v>
      </c>
      <c r="D1613" t="inlineStr">
        <is>
          <t>Emerald Group Publishing</t>
        </is>
      </c>
    </row>
    <row r="1614">
      <c r="A1614" t="inlineStr">
        <is>
          <t>Journal of Management Education</t>
        </is>
      </c>
      <c r="B1614" t="inlineStr">
        <is>
          <t>B</t>
        </is>
      </c>
      <c r="C1614" t="n">
        <v>3507</v>
      </c>
      <c r="D1614" t="inlineStr">
        <is>
          <t>Sage Publications</t>
        </is>
      </c>
    </row>
    <row r="1615">
      <c r="A1615" t="inlineStr">
        <is>
          <t>Journal of Management History</t>
        </is>
      </c>
      <c r="B1615" t="inlineStr">
        <is>
          <t>B</t>
        </is>
      </c>
      <c r="C1615" t="n">
        <v>3505</v>
      </c>
      <c r="D1615" t="inlineStr">
        <is>
          <t>Emerald Group Publishing</t>
        </is>
      </c>
    </row>
    <row r="1616">
      <c r="A1616" t="inlineStr">
        <is>
          <t>Journal of Management in Engineering</t>
        </is>
      </c>
      <c r="B1616" t="inlineStr">
        <is>
          <t>A</t>
        </is>
      </c>
      <c r="C1616" t="n">
        <v>3507</v>
      </c>
      <c r="D1616" t="inlineStr">
        <is>
          <t>American Society of Civil Engineers</t>
        </is>
      </c>
    </row>
    <row r="1617">
      <c r="A1617" t="inlineStr">
        <is>
          <t>Journal of Management Information Systems</t>
        </is>
      </c>
      <c r="B1617" t="inlineStr">
        <is>
          <t>A*</t>
        </is>
      </c>
      <c r="C1617" t="n">
        <v>4609</v>
      </c>
      <c r="D1617" t="inlineStr">
        <is>
          <t>Taylor &amp; Francis Online</t>
        </is>
      </c>
    </row>
    <row r="1618">
      <c r="A1618" t="inlineStr">
        <is>
          <t>Journal of Management Inquiry</t>
        </is>
      </c>
      <c r="B1618" t="inlineStr">
        <is>
          <t>A</t>
        </is>
      </c>
      <c r="C1618" t="n">
        <v>3507</v>
      </c>
      <c r="D1618" t="inlineStr">
        <is>
          <t>Sage Publications</t>
        </is>
      </c>
    </row>
    <row r="1619">
      <c r="A1619" t="inlineStr">
        <is>
          <t>Journal of Management Spirituality and Religion</t>
        </is>
      </c>
      <c r="B1619" t="inlineStr">
        <is>
          <t>C</t>
        </is>
      </c>
      <c r="C1619" t="n">
        <v>3507</v>
      </c>
      <c r="D1619" t="inlineStr">
        <is>
          <t>Taylor &amp; Francis Ltd.</t>
        </is>
      </c>
    </row>
    <row r="1620">
      <c r="A1620" t="inlineStr">
        <is>
          <t>Journal of Management Studies</t>
        </is>
      </c>
      <c r="B1620" t="inlineStr">
        <is>
          <t>A*</t>
        </is>
      </c>
      <c r="C1620" t="n">
        <v>3507</v>
      </c>
      <c r="D1620" t="inlineStr">
        <is>
          <t>Wiley-Blackwell Publishing</t>
        </is>
      </c>
    </row>
    <row r="1621">
      <c r="A1621" t="inlineStr">
        <is>
          <t>Journal of Managerial Issues</t>
        </is>
      </c>
      <c r="B1621" t="inlineStr">
        <is>
          <t>C</t>
        </is>
      </c>
      <c r="C1621" t="n">
        <v>3507</v>
      </c>
      <c r="D1621" t="inlineStr">
        <is>
          <t>Pittsburg State University</t>
        </is>
      </c>
    </row>
    <row r="1622">
      <c r="A1622" t="inlineStr">
        <is>
          <t>Journal of Managerial Psychology</t>
        </is>
      </c>
      <c r="B1622" t="inlineStr">
        <is>
          <t>B</t>
        </is>
      </c>
      <c r="C1622" t="n">
        <v>3507</v>
      </c>
      <c r="D1622" t="inlineStr">
        <is>
          <t>Emerald Group Publishing</t>
        </is>
      </c>
    </row>
    <row r="1623">
      <c r="A1623" t="inlineStr">
        <is>
          <t>Journal of Manufacturing Systems</t>
        </is>
      </c>
      <c r="B1623" t="inlineStr">
        <is>
          <t>B</t>
        </is>
      </c>
      <c r="C1623" t="n">
        <v>3507</v>
      </c>
      <c r="D1623" t="inlineStr">
        <is>
          <t>Elsevier</t>
        </is>
      </c>
    </row>
    <row r="1624">
      <c r="A1624" t="inlineStr">
        <is>
          <t>Journal of Manufacturing Technology Management</t>
        </is>
      </c>
      <c r="B1624" t="inlineStr">
        <is>
          <t>B</t>
        </is>
      </c>
      <c r="C1624" t="n">
        <v>3507</v>
      </c>
      <c r="D1624" t="inlineStr">
        <is>
          <t>Emerald Group Publishing</t>
        </is>
      </c>
    </row>
    <row r="1625">
      <c r="A1625" t="inlineStr">
        <is>
          <t>Journal of Maritime Law and Commerce</t>
        </is>
      </c>
      <c r="B1625" t="inlineStr">
        <is>
          <t>A</t>
        </is>
      </c>
      <c r="C1625" t="n">
        <v>4801</v>
      </c>
      <c r="D1625" t="inlineStr">
        <is>
          <t>Jefferson Law Book Company of Baltimore</t>
        </is>
      </c>
    </row>
    <row r="1626">
      <c r="A1626" t="inlineStr">
        <is>
          <t>Journal of Marketing</t>
        </is>
      </c>
      <c r="B1626" t="inlineStr">
        <is>
          <t>A*</t>
        </is>
      </c>
      <c r="C1626" t="n">
        <v>3506</v>
      </c>
      <c r="D1626" t="inlineStr">
        <is>
          <t>Sage Publications</t>
        </is>
      </c>
    </row>
    <row r="1627">
      <c r="A1627" t="inlineStr">
        <is>
          <t>Journal of Marketing Analytics</t>
        </is>
      </c>
      <c r="B1627" t="inlineStr">
        <is>
          <t>C</t>
        </is>
      </c>
      <c r="C1627" t="n">
        <v>3506</v>
      </c>
      <c r="D1627" t="inlineStr">
        <is>
          <t>Springer Nature</t>
        </is>
      </c>
    </row>
    <row r="1628">
      <c r="A1628" t="inlineStr">
        <is>
          <t>Journal of Marketing Communications</t>
        </is>
      </c>
      <c r="B1628" t="inlineStr">
        <is>
          <t>B</t>
        </is>
      </c>
      <c r="C1628" t="n">
        <v>3506</v>
      </c>
      <c r="D1628" t="inlineStr">
        <is>
          <t>Taylor &amp; Francis Online</t>
        </is>
      </c>
    </row>
    <row r="1629">
      <c r="A1629" t="inlineStr">
        <is>
          <t>Journal of Marketing Education</t>
        </is>
      </c>
      <c r="B1629" t="inlineStr">
        <is>
          <t>B</t>
        </is>
      </c>
      <c r="C1629" t="n">
        <v>3506</v>
      </c>
      <c r="D1629" t="inlineStr">
        <is>
          <t>Sage Publications</t>
        </is>
      </c>
    </row>
    <row r="1630">
      <c r="A1630" t="inlineStr">
        <is>
          <t>Journal of Marketing for Higher Education</t>
        </is>
      </c>
      <c r="B1630" t="inlineStr">
        <is>
          <t>B</t>
        </is>
      </c>
      <c r="C1630" t="n">
        <v>3506</v>
      </c>
      <c r="D1630" t="inlineStr">
        <is>
          <t>Taylor &amp; Francis Online</t>
        </is>
      </c>
    </row>
    <row r="1631">
      <c r="A1631" t="inlineStr">
        <is>
          <t>Journal of Marketing Management</t>
        </is>
      </c>
      <c r="B1631" t="inlineStr">
        <is>
          <t>A</t>
        </is>
      </c>
      <c r="C1631" t="n">
        <v>3506</v>
      </c>
      <c r="D1631" t="inlineStr">
        <is>
          <t>Taylor &amp; Francis Online</t>
        </is>
      </c>
    </row>
    <row r="1632">
      <c r="A1632" t="inlineStr">
        <is>
          <t>Journal of Marketing Research</t>
        </is>
      </c>
      <c r="B1632" t="inlineStr">
        <is>
          <t>A*</t>
        </is>
      </c>
      <c r="C1632" t="n">
        <v>3506</v>
      </c>
      <c r="D1632" t="inlineStr">
        <is>
          <t>Sage Publications</t>
        </is>
      </c>
    </row>
    <row r="1633">
      <c r="A1633" t="inlineStr">
        <is>
          <t>Journal of Marketing Theory and Practice</t>
        </is>
      </c>
      <c r="B1633" t="inlineStr">
        <is>
          <t>B</t>
        </is>
      </c>
      <c r="C1633" t="n">
        <v>3506</v>
      </c>
      <c r="D1633" t="inlineStr">
        <is>
          <t>Taylor &amp; Francis Online</t>
        </is>
      </c>
    </row>
    <row r="1634">
      <c r="A1634" t="inlineStr">
        <is>
          <t>Journal of Markets &amp; Morality</t>
        </is>
      </c>
      <c r="B1634" t="inlineStr">
        <is>
          <t>B</t>
        </is>
      </c>
      <c r="C1634" t="n">
        <v>3801</v>
      </c>
      <c r="D1634" t="inlineStr">
        <is>
          <t>Acton Institute for the Study of Religion and Liberty</t>
        </is>
      </c>
    </row>
    <row r="1635">
      <c r="A1635" t="inlineStr">
        <is>
          <t>Journal of Mathematical Economics</t>
        </is>
      </c>
      <c r="B1635" t="inlineStr">
        <is>
          <t>A</t>
        </is>
      </c>
      <c r="C1635" t="n">
        <v>3801</v>
      </c>
      <c r="D1635" t="inlineStr">
        <is>
          <t>Elsevier</t>
        </is>
      </c>
    </row>
    <row r="1636">
      <c r="A1636" t="inlineStr">
        <is>
          <t>Journal of Media Economics</t>
        </is>
      </c>
      <c r="B1636" t="inlineStr">
        <is>
          <t>B</t>
        </is>
      </c>
      <c r="C1636" t="n">
        <v>3801</v>
      </c>
      <c r="D1636" t="inlineStr">
        <is>
          <t>Taylor &amp; Francis Online</t>
        </is>
      </c>
    </row>
    <row r="1637">
      <c r="A1637" t="inlineStr">
        <is>
          <t>Journal of Medical Economics</t>
        </is>
      </c>
      <c r="B1637" t="inlineStr">
        <is>
          <t>C</t>
        </is>
      </c>
      <c r="C1637" t="n">
        <v>3801</v>
      </c>
      <c r="D1637" t="inlineStr">
        <is>
          <t>Taylor &amp; Francis Online</t>
        </is>
      </c>
    </row>
    <row r="1638">
      <c r="A1638" t="inlineStr">
        <is>
          <t>Journal of Medical Marketing</t>
        </is>
      </c>
      <c r="B1638" t="inlineStr">
        <is>
          <t>C</t>
        </is>
      </c>
      <c r="C1638" t="n">
        <v>3506</v>
      </c>
      <c r="D1638" t="inlineStr">
        <is>
          <t>Sage Publications</t>
        </is>
      </c>
    </row>
    <row r="1639">
      <c r="A1639" t="inlineStr">
        <is>
          <t>Journal of Modelling in Management</t>
        </is>
      </c>
      <c r="B1639" t="inlineStr">
        <is>
          <t>C</t>
        </is>
      </c>
      <c r="C1639" t="n">
        <v>3503</v>
      </c>
      <c r="D1639" t="inlineStr">
        <is>
          <t>Emerald Group Publishing</t>
        </is>
      </c>
    </row>
    <row r="1640">
      <c r="A1640" t="inlineStr">
        <is>
          <t>Journal of Modern Applied Statistical Methods</t>
        </is>
      </c>
      <c r="B1640" t="inlineStr">
        <is>
          <t>B</t>
        </is>
      </c>
      <c r="C1640" t="n">
        <v>4905</v>
      </c>
      <c r="D1640" t="inlineStr">
        <is>
          <t>Wayne State University Press</t>
        </is>
      </c>
    </row>
    <row r="1641">
      <c r="A1641" t="inlineStr">
        <is>
          <t>Journal of Monetary Economics</t>
        </is>
      </c>
      <c r="B1641" t="inlineStr">
        <is>
          <t>A*</t>
        </is>
      </c>
      <c r="C1641" t="n">
        <v>3801</v>
      </c>
      <c r="D1641" t="inlineStr">
        <is>
          <t>Elsevier</t>
        </is>
      </c>
    </row>
    <row r="1642">
      <c r="A1642" t="inlineStr">
        <is>
          <t>Journal of Money Laundering Control</t>
        </is>
      </c>
      <c r="B1642" t="inlineStr">
        <is>
          <t>C</t>
        </is>
      </c>
      <c r="C1642" t="n">
        <v>4801</v>
      </c>
      <c r="D1642" t="inlineStr">
        <is>
          <t>Emerald Group Publishing</t>
        </is>
      </c>
    </row>
    <row r="1643">
      <c r="A1643" t="inlineStr">
        <is>
          <t>Journal of Money, Credit and Banking</t>
        </is>
      </c>
      <c r="B1643" t="inlineStr">
        <is>
          <t>A*</t>
        </is>
      </c>
      <c r="C1643" t="n">
        <v>3801</v>
      </c>
      <c r="D1643" t="inlineStr">
        <is>
          <t>Wiley-Blackwell Publishing</t>
        </is>
      </c>
    </row>
    <row r="1644">
      <c r="A1644" t="inlineStr">
        <is>
          <t>Journal of Multi-Criteria Decision Analysis</t>
        </is>
      </c>
      <c r="B1644" t="inlineStr">
        <is>
          <t>B</t>
        </is>
      </c>
      <c r="C1644" t="n">
        <v>3503</v>
      </c>
      <c r="D1644" t="inlineStr">
        <is>
          <t>Wiley-Blackwell Publishing</t>
        </is>
      </c>
    </row>
    <row r="1645">
      <c r="A1645" t="inlineStr">
        <is>
          <t>Journal of Multinational Financial Management</t>
        </is>
      </c>
      <c r="B1645" t="inlineStr">
        <is>
          <t>B</t>
        </is>
      </c>
      <c r="C1645" t="n">
        <v>3502</v>
      </c>
      <c r="D1645" t="inlineStr">
        <is>
          <t>Elsevier</t>
        </is>
      </c>
    </row>
    <row r="1646">
      <c r="A1646" t="inlineStr">
        <is>
          <t>Journal of Multivariate Analysis</t>
        </is>
      </c>
      <c r="B1646" t="inlineStr">
        <is>
          <t>A</t>
        </is>
      </c>
      <c r="C1646" t="n">
        <v>4905</v>
      </c>
      <c r="D1646" t="inlineStr">
        <is>
          <t>Elsevier</t>
        </is>
      </c>
    </row>
    <row r="1647">
      <c r="A1647" t="inlineStr">
        <is>
          <t>Journal of New Business Ideas and Trends</t>
        </is>
      </c>
      <c r="B1647" t="inlineStr">
        <is>
          <t>C</t>
        </is>
      </c>
      <c r="C1647" t="n">
        <v>3507</v>
      </c>
      <c r="D1647" t="inlineStr">
        <is>
          <t>Australian Business Education Research Association</t>
        </is>
      </c>
    </row>
    <row r="1648">
      <c r="A1648" t="inlineStr">
        <is>
          <t>Journal of Nonparametric Statistics</t>
        </is>
      </c>
      <c r="B1648" t="inlineStr">
        <is>
          <t>B</t>
        </is>
      </c>
      <c r="C1648" t="n">
        <v>4905</v>
      </c>
      <c r="D1648" t="inlineStr">
        <is>
          <t>Taylor &amp; Francis Online</t>
        </is>
      </c>
    </row>
    <row r="1649">
      <c r="A1649" t="inlineStr">
        <is>
          <t>Journal of Nonprofit &amp; Public Sector Marketing</t>
        </is>
      </c>
      <c r="B1649" t="inlineStr">
        <is>
          <t>B</t>
        </is>
      </c>
      <c r="C1649" t="n">
        <v>3506</v>
      </c>
      <c r="D1649" t="inlineStr">
        <is>
          <t>Taylor &amp; Francis Online</t>
        </is>
      </c>
    </row>
    <row r="1650">
      <c r="A1650" t="inlineStr">
        <is>
          <t>Journal of Nursing Management</t>
        </is>
      </c>
      <c r="B1650" t="inlineStr">
        <is>
          <t>C</t>
        </is>
      </c>
      <c r="C1650" t="n">
        <v>3507</v>
      </c>
      <c r="D1650" t="inlineStr">
        <is>
          <t>John Wiley &amp; Sons</t>
        </is>
      </c>
    </row>
    <row r="1651">
      <c r="A1651" t="inlineStr">
        <is>
          <t>Journal of Occupational and Organizational Psychology</t>
        </is>
      </c>
      <c r="B1651" t="inlineStr">
        <is>
          <t>A*</t>
        </is>
      </c>
      <c r="C1651" t="n">
        <v>3507</v>
      </c>
      <c r="D1651" t="inlineStr">
        <is>
          <t>Wiley-Blackwell Publishing</t>
        </is>
      </c>
    </row>
    <row r="1652">
      <c r="A1652" t="inlineStr">
        <is>
          <t>Journal of Occupational Health Psychology</t>
        </is>
      </c>
      <c r="B1652" t="inlineStr">
        <is>
          <t>A</t>
        </is>
      </c>
      <c r="C1652" t="n">
        <v>3507</v>
      </c>
      <c r="D1652" t="inlineStr">
        <is>
          <t>American Psychological Association</t>
        </is>
      </c>
    </row>
    <row r="1653">
      <c r="A1653" t="inlineStr">
        <is>
          <t>Journal of Operational Risk</t>
        </is>
      </c>
      <c r="B1653" t="inlineStr">
        <is>
          <t>C</t>
        </is>
      </c>
      <c r="C1653" t="n">
        <v>3502</v>
      </c>
      <c r="D1653" t="inlineStr">
        <is>
          <t>Incisive Risk Information Ltd.</t>
        </is>
      </c>
    </row>
    <row r="1654">
      <c r="A1654" t="inlineStr">
        <is>
          <t>Journal of Operations Management</t>
        </is>
      </c>
      <c r="B1654" t="inlineStr">
        <is>
          <t>A*</t>
        </is>
      </c>
      <c r="C1654" t="n">
        <v>3507</v>
      </c>
      <c r="D1654" t="inlineStr">
        <is>
          <t>Wiley-Blackwell Publishing</t>
        </is>
      </c>
    </row>
    <row r="1655">
      <c r="A1655" t="inlineStr">
        <is>
          <t>Journal of Optimization Theory and Applications</t>
        </is>
      </c>
      <c r="B1655" t="inlineStr">
        <is>
          <t>A</t>
        </is>
      </c>
      <c r="C1655" t="n">
        <v>3507</v>
      </c>
      <c r="D1655" t="inlineStr">
        <is>
          <t>Springer International Publishing</t>
        </is>
      </c>
    </row>
    <row r="1656">
      <c r="A1656" t="inlineStr">
        <is>
          <t>Journal of Organizational and End User Computing</t>
        </is>
      </c>
      <c r="B1656" t="inlineStr">
        <is>
          <t>B</t>
        </is>
      </c>
      <c r="C1656" t="n">
        <v>4609</v>
      </c>
      <c r="D1656" t="inlineStr">
        <is>
          <t>IGI Global</t>
        </is>
      </c>
    </row>
    <row r="1657">
      <c r="A1657" t="inlineStr">
        <is>
          <t>Journal of Organizational Behavior</t>
        </is>
      </c>
      <c r="B1657" t="inlineStr">
        <is>
          <t>A*</t>
        </is>
      </c>
      <c r="C1657" t="n">
        <v>3507</v>
      </c>
      <c r="D1657" t="inlineStr">
        <is>
          <t>Wiley-Blackwell Publishing</t>
        </is>
      </c>
    </row>
    <row r="1658">
      <c r="A1658" t="inlineStr">
        <is>
          <t>Journal of Organizational Behavior Education</t>
        </is>
      </c>
      <c r="B1658" t="inlineStr">
        <is>
          <t>C</t>
        </is>
      </c>
      <c r="C1658" t="n">
        <v>3507</v>
      </c>
      <c r="D1658" t="inlineStr">
        <is>
          <t>Neilson Journals Publishing</t>
        </is>
      </c>
    </row>
    <row r="1659">
      <c r="A1659" t="inlineStr">
        <is>
          <t>Journal of Organizational Behavior Management</t>
        </is>
      </c>
      <c r="B1659" t="inlineStr">
        <is>
          <t>B</t>
        </is>
      </c>
      <c r="C1659" t="n">
        <v>3507</v>
      </c>
      <c r="D1659" t="inlineStr">
        <is>
          <t>Taylor &amp; Francis Online</t>
        </is>
      </c>
    </row>
    <row r="1660">
      <c r="A1660" t="inlineStr">
        <is>
          <t>Journal of Organizational Change Management</t>
        </is>
      </c>
      <c r="B1660" t="inlineStr">
        <is>
          <t>B</t>
        </is>
      </c>
      <c r="C1660" t="n">
        <v>3507</v>
      </c>
      <c r="D1660" t="inlineStr">
        <is>
          <t>Emerald Group Publishing</t>
        </is>
      </c>
    </row>
    <row r="1661">
      <c r="A1661" t="inlineStr">
        <is>
          <t>Journal of Organizational Computing and Electronic Commerce</t>
        </is>
      </c>
      <c r="B1661" t="inlineStr">
        <is>
          <t>A</t>
        </is>
      </c>
      <c r="C1661" t="n">
        <v>4609</v>
      </c>
      <c r="D1661" t="inlineStr">
        <is>
          <t>Taylor &amp; Francis Online</t>
        </is>
      </c>
    </row>
    <row r="1662">
      <c r="A1662" t="inlineStr">
        <is>
          <t>Journal of Organizational Effectiveness</t>
        </is>
      </c>
      <c r="B1662" t="inlineStr">
        <is>
          <t>B</t>
        </is>
      </c>
      <c r="C1662" t="n">
        <v>3505</v>
      </c>
      <c r="D1662" t="inlineStr">
        <is>
          <t>Emerald Group Publishing</t>
        </is>
      </c>
    </row>
    <row r="1663">
      <c r="A1663" t="inlineStr">
        <is>
          <t>Journal of Organizational Ethnography</t>
        </is>
      </c>
      <c r="B1663" t="inlineStr">
        <is>
          <t>C</t>
        </is>
      </c>
      <c r="C1663" t="n">
        <v>3507</v>
      </c>
      <c r="D1663" t="inlineStr">
        <is>
          <t>Emerald Publishing</t>
        </is>
      </c>
    </row>
    <row r="1664">
      <c r="A1664" t="inlineStr">
        <is>
          <t>Journal of Outdoor Recreation and Tourism</t>
        </is>
      </c>
      <c r="B1664" t="inlineStr">
        <is>
          <t>B</t>
        </is>
      </c>
      <c r="C1664" t="n">
        <v>3508</v>
      </c>
      <c r="D1664" t="inlineStr">
        <is>
          <t>Elsevier</t>
        </is>
      </c>
    </row>
    <row r="1665">
      <c r="A1665" t="inlineStr">
        <is>
          <t>Journal of Park and Recreation Administration</t>
        </is>
      </c>
      <c r="B1665" t="inlineStr">
        <is>
          <t>B</t>
        </is>
      </c>
      <c r="C1665" t="n">
        <v>3504</v>
      </c>
      <c r="D1665" t="inlineStr">
        <is>
          <t>Sagamore Publishing LLC</t>
        </is>
      </c>
    </row>
    <row r="1666">
      <c r="A1666" t="inlineStr">
        <is>
          <t>Journal of Pension Economics and Finance</t>
        </is>
      </c>
      <c r="B1666" t="inlineStr">
        <is>
          <t>B</t>
        </is>
      </c>
      <c r="C1666" t="n">
        <v>3801</v>
      </c>
      <c r="D1666" t="inlineStr">
        <is>
          <t>Cambridge University Press</t>
        </is>
      </c>
    </row>
    <row r="1667">
      <c r="A1667" t="inlineStr">
        <is>
          <t>Journal of Performance Management</t>
        </is>
      </c>
      <c r="B1667" t="inlineStr">
        <is>
          <t>C</t>
        </is>
      </c>
      <c r="C1667" t="n">
        <v>3502</v>
      </c>
      <c r="D1667" t="inlineStr">
        <is>
          <t>Association for Management Information in Financial Services (AMIfs)</t>
        </is>
      </c>
    </row>
    <row r="1668">
      <c r="A1668" t="inlineStr">
        <is>
          <t>Journal of Performance of Constructed Facilities</t>
        </is>
      </c>
      <c r="B1668" t="inlineStr">
        <is>
          <t>C</t>
        </is>
      </c>
      <c r="C1668" t="n">
        <v>3504</v>
      </c>
      <c r="D1668" t="inlineStr">
        <is>
          <t>American Society of Civil Engineers</t>
        </is>
      </c>
    </row>
    <row r="1669">
      <c r="A1669" t="inlineStr">
        <is>
          <t>Journal of Personal Selling &amp; Sales Management</t>
        </is>
      </c>
      <c r="B1669" t="inlineStr">
        <is>
          <t>A</t>
        </is>
      </c>
      <c r="C1669" t="n">
        <v>3506</v>
      </c>
      <c r="D1669" t="inlineStr">
        <is>
          <t>Taylor &amp; Francis Online</t>
        </is>
      </c>
    </row>
    <row r="1670">
      <c r="A1670" t="inlineStr">
        <is>
          <t>Journal of Personality</t>
        </is>
      </c>
      <c r="B1670" t="inlineStr">
        <is>
          <t>A</t>
        </is>
      </c>
      <c r="C1670" t="n">
        <v>3507</v>
      </c>
      <c r="D1670" t="inlineStr">
        <is>
          <t>Wiley-Blackwell Publishing</t>
        </is>
      </c>
    </row>
    <row r="1671">
      <c r="A1671" t="inlineStr">
        <is>
          <t>Journal of Personality and Social Psychology</t>
        </is>
      </c>
      <c r="B1671" t="inlineStr">
        <is>
          <t>A*</t>
        </is>
      </c>
      <c r="C1671" t="n">
        <v>3507</v>
      </c>
      <c r="D1671" t="inlineStr">
        <is>
          <t>American Psychological Association</t>
        </is>
      </c>
    </row>
    <row r="1672">
      <c r="A1672" t="inlineStr">
        <is>
          <t>Journal of Personnel Psychology</t>
        </is>
      </c>
      <c r="B1672" t="inlineStr">
        <is>
          <t>B</t>
        </is>
      </c>
      <c r="C1672" t="n">
        <v>3505</v>
      </c>
      <c r="D1672" t="inlineStr">
        <is>
          <t>American Psychological Association</t>
        </is>
      </c>
    </row>
    <row r="1673">
      <c r="A1673" t="inlineStr">
        <is>
          <t>Journal of Pharmaceutical Finance, Economics and Policy</t>
        </is>
      </c>
      <c r="B1673" t="inlineStr">
        <is>
          <t>C</t>
        </is>
      </c>
      <c r="C1673" t="n">
        <v>3801</v>
      </c>
      <c r="D1673" t="inlineStr">
        <is>
          <t>Haworth Press</t>
        </is>
      </c>
    </row>
    <row r="1674">
      <c r="A1674" t="inlineStr">
        <is>
          <t>Journal of Place Management and Development</t>
        </is>
      </c>
      <c r="B1674" t="inlineStr">
        <is>
          <t>C</t>
        </is>
      </c>
      <c r="C1674" t="n">
        <v>3504</v>
      </c>
      <c r="D1674" t="inlineStr">
        <is>
          <t>Emerald Group Publishing</t>
        </is>
      </c>
    </row>
    <row r="1675">
      <c r="A1675" t="inlineStr">
        <is>
          <t>Journal of Policy Analysis and Management</t>
        </is>
      </c>
      <c r="B1675" t="inlineStr">
        <is>
          <t>A</t>
        </is>
      </c>
      <c r="C1675" t="n">
        <v>3507</v>
      </c>
      <c r="D1675" t="inlineStr">
        <is>
          <t>Wiley-Blackwell Publishing</t>
        </is>
      </c>
    </row>
    <row r="1676">
      <c r="A1676" t="inlineStr">
        <is>
          <t>Journal of Policy Modeling</t>
        </is>
      </c>
      <c r="B1676" t="inlineStr">
        <is>
          <t>A</t>
        </is>
      </c>
      <c r="C1676" t="n">
        <v>3801</v>
      </c>
      <c r="D1676" t="inlineStr">
        <is>
          <t>Elsevier</t>
        </is>
      </c>
    </row>
    <row r="1677">
      <c r="A1677" t="inlineStr">
        <is>
          <t>Journal of Policy Research in Tourism, Leisure and Events</t>
        </is>
      </c>
      <c r="B1677" t="inlineStr">
        <is>
          <t>B</t>
        </is>
      </c>
      <c r="C1677" t="n">
        <v>3508</v>
      </c>
      <c r="D1677" t="inlineStr">
        <is>
          <t>Taylor &amp; Francis Online</t>
        </is>
      </c>
    </row>
    <row r="1678">
      <c r="A1678" t="inlineStr">
        <is>
          <t>Journal of Political Economy</t>
        </is>
      </c>
      <c r="B1678" t="inlineStr">
        <is>
          <t>A*</t>
        </is>
      </c>
      <c r="C1678" t="n">
        <v>3801</v>
      </c>
      <c r="D1678" t="inlineStr">
        <is>
          <t>The University of Chicago Press</t>
        </is>
      </c>
    </row>
    <row r="1679">
      <c r="A1679" t="inlineStr">
        <is>
          <t>Journal of Political Economy: Macroeconomics</t>
        </is>
      </c>
      <c r="B1679" t="inlineStr">
        <is>
          <t>A</t>
        </is>
      </c>
      <c r="C1679" t="n">
        <v>3801</v>
      </c>
      <c r="D1679" t="inlineStr">
        <is>
          <t>University of Chicago Press</t>
        </is>
      </c>
    </row>
    <row r="1680">
      <c r="A1680" t="inlineStr">
        <is>
          <t>Journal of Political Economy: Microeconomics</t>
        </is>
      </c>
      <c r="B1680" t="inlineStr">
        <is>
          <t>A</t>
        </is>
      </c>
      <c r="C1680" t="n">
        <v>3801</v>
      </c>
      <c r="D1680" t="inlineStr">
        <is>
          <t>University of Chicago Press</t>
        </is>
      </c>
    </row>
    <row r="1681">
      <c r="A1681" t="inlineStr">
        <is>
          <t>Journal of Political Marketing</t>
        </is>
      </c>
      <c r="B1681" t="inlineStr">
        <is>
          <t>B</t>
        </is>
      </c>
      <c r="C1681" t="n">
        <v>3506</v>
      </c>
      <c r="D1681" t="inlineStr">
        <is>
          <t>Taylor &amp; Francis Online</t>
        </is>
      </c>
    </row>
    <row r="1682">
      <c r="A1682" t="inlineStr">
        <is>
          <t>Journal of Political Power</t>
        </is>
      </c>
      <c r="B1682" t="inlineStr">
        <is>
          <t>C</t>
        </is>
      </c>
      <c r="C1682" t="n">
        <v>3599</v>
      </c>
      <c r="D1682" t="inlineStr">
        <is>
          <t>Taylor &amp; Francis Online</t>
        </is>
      </c>
    </row>
    <row r="1683">
      <c r="A1683" t="inlineStr">
        <is>
          <t>Journal of Population Economics</t>
        </is>
      </c>
      <c r="B1683" t="inlineStr">
        <is>
          <t>A*</t>
        </is>
      </c>
      <c r="C1683" t="n">
        <v>3801</v>
      </c>
      <c r="D1683" t="inlineStr">
        <is>
          <t>Springer International Publishing</t>
        </is>
      </c>
    </row>
    <row r="1684">
      <c r="A1684" t="inlineStr">
        <is>
          <t>Journal of Population Research</t>
        </is>
      </c>
      <c r="B1684" t="inlineStr">
        <is>
          <t>A</t>
        </is>
      </c>
      <c r="C1684" t="n">
        <v>3599</v>
      </c>
      <c r="D1684" t="inlineStr">
        <is>
          <t>Springer International Publishing</t>
        </is>
      </c>
    </row>
    <row r="1685">
      <c r="A1685" t="inlineStr">
        <is>
          <t>Journal of Post Keynesian Economics</t>
        </is>
      </c>
      <c r="B1685" t="inlineStr">
        <is>
          <t>B</t>
        </is>
      </c>
      <c r="C1685" t="n">
        <v>3899</v>
      </c>
      <c r="D1685" t="inlineStr">
        <is>
          <t>Taylor &amp; Francis Online</t>
        </is>
      </c>
    </row>
    <row r="1686">
      <c r="A1686" t="inlineStr">
        <is>
          <t>Journal of Product &amp; Brand Management</t>
        </is>
      </c>
      <c r="B1686" t="inlineStr">
        <is>
          <t>A</t>
        </is>
      </c>
      <c r="C1686" t="n">
        <v>3506</v>
      </c>
      <c r="D1686" t="inlineStr">
        <is>
          <t>Emerald Group Publishing</t>
        </is>
      </c>
    </row>
    <row r="1687">
      <c r="A1687" t="inlineStr">
        <is>
          <t>Journal of Product Innovation Management</t>
        </is>
      </c>
      <c r="B1687" t="inlineStr">
        <is>
          <t>A*</t>
        </is>
      </c>
      <c r="C1687" t="n">
        <v>3599</v>
      </c>
      <c r="D1687" t="inlineStr">
        <is>
          <t>Wiley-Blackwell Publishing</t>
        </is>
      </c>
    </row>
    <row r="1688">
      <c r="A1688" t="inlineStr">
        <is>
          <t>Journal of Productivity Analysis</t>
        </is>
      </c>
      <c r="B1688" t="inlineStr">
        <is>
          <t>A</t>
        </is>
      </c>
      <c r="C1688" t="n">
        <v>3801</v>
      </c>
      <c r="D1688" t="inlineStr">
        <is>
          <t>Springer International Publishing</t>
        </is>
      </c>
    </row>
    <row r="1689">
      <c r="A1689" t="inlineStr">
        <is>
          <t>Journal of Professional Issues in Engineering Education and Practice</t>
        </is>
      </c>
      <c r="B1689" t="inlineStr">
        <is>
          <t>B</t>
        </is>
      </c>
      <c r="C1689" t="n">
        <v>3505</v>
      </c>
      <c r="D1689" t="inlineStr">
        <is>
          <t>American Society of Civil Engineers</t>
        </is>
      </c>
    </row>
    <row r="1690">
      <c r="A1690" t="inlineStr">
        <is>
          <t>Journal of Professions and Organization</t>
        </is>
      </c>
      <c r="B1690" t="inlineStr">
        <is>
          <t>A</t>
        </is>
      </c>
      <c r="C1690" t="n">
        <v>3505</v>
      </c>
      <c r="D1690" t="inlineStr">
        <is>
          <t>Oxford University Press</t>
        </is>
      </c>
    </row>
    <row r="1691">
      <c r="A1691" t="inlineStr">
        <is>
          <t>Journal of Promotion Management</t>
        </is>
      </c>
      <c r="B1691" t="inlineStr">
        <is>
          <t>B</t>
        </is>
      </c>
      <c r="C1691" t="n">
        <v>3506</v>
      </c>
      <c r="D1691" t="inlineStr">
        <is>
          <t>Taylor &amp; Francis Online</t>
        </is>
      </c>
    </row>
    <row r="1692">
      <c r="A1692" t="inlineStr">
        <is>
          <t>Journal of Property Investment &amp; Finance</t>
        </is>
      </c>
      <c r="B1692" t="inlineStr">
        <is>
          <t>B</t>
        </is>
      </c>
      <c r="C1692" t="n">
        <v>3504</v>
      </c>
      <c r="D1692" t="inlineStr">
        <is>
          <t>Emerald Publishing</t>
        </is>
      </c>
    </row>
    <row r="1693">
      <c r="A1693" t="inlineStr">
        <is>
          <t>Journal of Property Management</t>
        </is>
      </c>
      <c r="B1693" t="inlineStr">
        <is>
          <t>C</t>
        </is>
      </c>
      <c r="C1693" t="n">
        <v>3504</v>
      </c>
      <c r="D1693" t="inlineStr">
        <is>
          <t>Institute of Real Estate Management</t>
        </is>
      </c>
    </row>
    <row r="1694">
      <c r="A1694" t="inlineStr">
        <is>
          <t>Journal of Property Research</t>
        </is>
      </c>
      <c r="B1694" t="inlineStr">
        <is>
          <t>B</t>
        </is>
      </c>
      <c r="C1694" t="n">
        <v>3504</v>
      </c>
      <c r="D1694" t="inlineStr">
        <is>
          <t>Taylor &amp; Francis Online</t>
        </is>
      </c>
    </row>
    <row r="1695">
      <c r="A1695" t="inlineStr">
        <is>
          <t>Journal of Public Administration Research and Theory</t>
        </is>
      </c>
      <c r="B1695" t="inlineStr">
        <is>
          <t>A</t>
        </is>
      </c>
      <c r="C1695" t="n">
        <v>3599</v>
      </c>
      <c r="D1695" t="inlineStr">
        <is>
          <t>Oxford University Press</t>
        </is>
      </c>
    </row>
    <row r="1696">
      <c r="A1696" t="inlineStr">
        <is>
          <t>Journal of Public Affairs</t>
        </is>
      </c>
      <c r="B1696" t="inlineStr">
        <is>
          <t>B</t>
        </is>
      </c>
      <c r="C1696" t="n">
        <v>3506</v>
      </c>
      <c r="D1696" t="inlineStr">
        <is>
          <t>Wiley-Blackwell Publishing</t>
        </is>
      </c>
    </row>
    <row r="1697">
      <c r="A1697" t="inlineStr">
        <is>
          <t>Journal of Public Budgeting, Accounting and Financial Management</t>
        </is>
      </c>
      <c r="B1697" t="inlineStr">
        <is>
          <t>B</t>
        </is>
      </c>
      <c r="C1697" t="n">
        <v>3501</v>
      </c>
      <c r="D1697" t="inlineStr">
        <is>
          <t>Emerald Group Publishing</t>
        </is>
      </c>
    </row>
    <row r="1698">
      <c r="A1698" t="inlineStr">
        <is>
          <t>Journal of Public Economic Theory</t>
        </is>
      </c>
      <c r="B1698" t="inlineStr">
        <is>
          <t>A</t>
        </is>
      </c>
      <c r="C1698" t="n">
        <v>3801</v>
      </c>
      <c r="D1698" t="inlineStr">
        <is>
          <t>Wiley-Blackwell Publishing</t>
        </is>
      </c>
    </row>
    <row r="1699">
      <c r="A1699" t="inlineStr">
        <is>
          <t>Journal of Public Economics</t>
        </is>
      </c>
      <c r="B1699" t="inlineStr">
        <is>
          <t>A*</t>
        </is>
      </c>
      <c r="C1699" t="n">
        <v>3801</v>
      </c>
      <c r="D1699" t="inlineStr">
        <is>
          <t>Elsevier</t>
        </is>
      </c>
    </row>
    <row r="1700">
      <c r="A1700" t="inlineStr">
        <is>
          <t>Journal of Public Finance and Public Choice</t>
        </is>
      </c>
      <c r="B1700" t="inlineStr">
        <is>
          <t>C</t>
        </is>
      </c>
      <c r="C1700" t="n">
        <v>3899</v>
      </c>
      <c r="D1700" t="inlineStr">
        <is>
          <t>Bristol University Press</t>
        </is>
      </c>
    </row>
    <row r="1701">
      <c r="A1701" t="inlineStr">
        <is>
          <t>Journal of Public Policy</t>
        </is>
      </c>
      <c r="B1701" t="inlineStr">
        <is>
          <t>B</t>
        </is>
      </c>
      <c r="C1701" t="n">
        <v>3599</v>
      </c>
      <c r="D1701" t="inlineStr">
        <is>
          <t>Cambridge University Press</t>
        </is>
      </c>
    </row>
    <row r="1702">
      <c r="A1702" t="inlineStr">
        <is>
          <t>Journal of Public Policy and Marketing</t>
        </is>
      </c>
      <c r="B1702" t="inlineStr">
        <is>
          <t>A</t>
        </is>
      </c>
      <c r="C1702" t="n">
        <v>3506</v>
      </c>
      <c r="D1702" t="inlineStr">
        <is>
          <t>Sage Publications</t>
        </is>
      </c>
    </row>
    <row r="1703">
      <c r="A1703" t="inlineStr">
        <is>
          <t>Journal of Public Relations Education</t>
        </is>
      </c>
      <c r="B1703" t="inlineStr">
        <is>
          <t>C</t>
        </is>
      </c>
      <c r="C1703" t="n">
        <v>3506</v>
      </c>
      <c r="D1703" t="inlineStr">
        <is>
          <t>AEJMC</t>
        </is>
      </c>
    </row>
    <row r="1704">
      <c r="A1704" t="inlineStr">
        <is>
          <t>Journal of Public Relations Research</t>
        </is>
      </c>
      <c r="B1704" t="inlineStr">
        <is>
          <t>B</t>
        </is>
      </c>
      <c r="C1704" t="n">
        <v>3506</v>
      </c>
      <c r="D1704" t="inlineStr">
        <is>
          <t>Taylor &amp; Francis Online</t>
        </is>
      </c>
    </row>
    <row r="1705">
      <c r="A1705" t="inlineStr">
        <is>
          <t>Journal of Public Transportation</t>
        </is>
      </c>
      <c r="B1705" t="inlineStr">
        <is>
          <t>B</t>
        </is>
      </c>
      <c r="C1705" t="n">
        <v>3509</v>
      </c>
      <c r="D1705" t="inlineStr">
        <is>
          <t>Elsevier</t>
        </is>
      </c>
    </row>
    <row r="1706">
      <c r="A1706" t="inlineStr">
        <is>
          <t>Journal of Purchasing and Supply Management</t>
        </is>
      </c>
      <c r="B1706" t="inlineStr">
        <is>
          <t>A</t>
        </is>
      </c>
      <c r="C1706" t="n">
        <v>3509</v>
      </c>
      <c r="D1706" t="inlineStr">
        <is>
          <t>Elsevier</t>
        </is>
      </c>
    </row>
    <row r="1707">
      <c r="A1707" t="inlineStr">
        <is>
          <t>Journal of Quality Assurance in Hospitality &amp; Tourism</t>
        </is>
      </c>
      <c r="B1707" t="inlineStr">
        <is>
          <t>B</t>
        </is>
      </c>
      <c r="C1707" t="n">
        <v>3508</v>
      </c>
      <c r="D1707" t="inlineStr">
        <is>
          <t>Taylor &amp; Francis Online</t>
        </is>
      </c>
    </row>
    <row r="1708">
      <c r="A1708" t="inlineStr">
        <is>
          <t>Journal of Quality in Maintenance Engineering</t>
        </is>
      </c>
      <c r="B1708" t="inlineStr">
        <is>
          <t>B</t>
        </is>
      </c>
      <c r="C1708" t="n">
        <v>3504</v>
      </c>
      <c r="D1708" t="inlineStr">
        <is>
          <t>Emerald Group Publishing Limited</t>
        </is>
      </c>
    </row>
    <row r="1709">
      <c r="A1709" t="inlineStr">
        <is>
          <t>Journal of Quality Technology</t>
        </is>
      </c>
      <c r="B1709" t="inlineStr">
        <is>
          <t>A</t>
        </is>
      </c>
      <c r="C1709" t="n">
        <v>3503</v>
      </c>
      <c r="D1709" t="inlineStr">
        <is>
          <t>Taylor &amp; Francis Online</t>
        </is>
      </c>
    </row>
    <row r="1710">
      <c r="A1710" t="inlineStr">
        <is>
          <t>Journal of Quantitative Economics</t>
        </is>
      </c>
      <c r="B1710" t="inlineStr">
        <is>
          <t>B</t>
        </is>
      </c>
      <c r="C1710" t="n">
        <v>3802</v>
      </c>
      <c r="D1710" t="inlineStr">
        <is>
          <t>Springer International Publishing</t>
        </is>
      </c>
    </row>
    <row r="1711">
      <c r="A1711" t="inlineStr">
        <is>
          <t>Journal of Real Estate Finance and Economics</t>
        </is>
      </c>
      <c r="B1711" t="inlineStr">
        <is>
          <t>A</t>
        </is>
      </c>
      <c r="C1711" t="n">
        <v>3504</v>
      </c>
      <c r="D1711" t="inlineStr">
        <is>
          <t>Springer International Publishing</t>
        </is>
      </c>
    </row>
    <row r="1712">
      <c r="A1712" t="inlineStr">
        <is>
          <t>Journal of Real Estate Literature</t>
        </is>
      </c>
      <c r="B1712" t="inlineStr">
        <is>
          <t>C</t>
        </is>
      </c>
      <c r="C1712" t="n">
        <v>3504</v>
      </c>
      <c r="D1712" t="inlineStr">
        <is>
          <t>American Real Estate Society</t>
        </is>
      </c>
    </row>
    <row r="1713">
      <c r="A1713" t="inlineStr">
        <is>
          <t>Journal of Real Estate Portfolio Management</t>
        </is>
      </c>
      <c r="B1713" t="inlineStr">
        <is>
          <t>B</t>
        </is>
      </c>
      <c r="C1713" t="n">
        <v>3504</v>
      </c>
      <c r="D1713" t="inlineStr">
        <is>
          <t>American Real Estate Society</t>
        </is>
      </c>
    </row>
    <row r="1714">
      <c r="A1714" t="inlineStr">
        <is>
          <t>Journal of Real Estate Practice and Education</t>
        </is>
      </c>
      <c r="B1714" t="inlineStr">
        <is>
          <t>C</t>
        </is>
      </c>
      <c r="C1714" t="n">
        <v>3504</v>
      </c>
      <c r="D1714" t="inlineStr">
        <is>
          <t>American Real Estate Society</t>
        </is>
      </c>
    </row>
    <row r="1715">
      <c r="A1715" t="inlineStr">
        <is>
          <t>Journal of Real Estate Research</t>
        </is>
      </c>
      <c r="B1715" t="inlineStr">
        <is>
          <t>B</t>
        </is>
      </c>
      <c r="C1715" t="n">
        <v>3504</v>
      </c>
      <c r="D1715" t="inlineStr">
        <is>
          <t>American Real Estate Society</t>
        </is>
      </c>
    </row>
    <row r="1716">
      <c r="A1716" t="inlineStr">
        <is>
          <t>Journal of Regional Science</t>
        </is>
      </c>
      <c r="B1716" t="inlineStr">
        <is>
          <t>A</t>
        </is>
      </c>
      <c r="C1716" t="n">
        <v>3801</v>
      </c>
      <c r="D1716" t="inlineStr">
        <is>
          <t>Wiley-Blackwell Publishing</t>
        </is>
      </c>
    </row>
    <row r="1717">
      <c r="A1717" t="inlineStr">
        <is>
          <t>Journal of Regulatory Economics</t>
        </is>
      </c>
      <c r="B1717" t="inlineStr">
        <is>
          <t>A</t>
        </is>
      </c>
      <c r="C1717" t="n">
        <v>3801</v>
      </c>
      <c r="D1717" t="inlineStr">
        <is>
          <t>Springer International Publishing</t>
        </is>
      </c>
    </row>
    <row r="1718">
      <c r="A1718" t="inlineStr">
        <is>
          <t>Journal of Relationship Marketing</t>
        </is>
      </c>
      <c r="B1718" t="inlineStr">
        <is>
          <t>B</t>
        </is>
      </c>
      <c r="C1718" t="n">
        <v>3506</v>
      </c>
      <c r="D1718" t="inlineStr">
        <is>
          <t>Taylor &amp; Francis Online</t>
        </is>
      </c>
    </row>
    <row r="1719">
      <c r="A1719" t="inlineStr">
        <is>
          <t>Journal of Research for Consumers</t>
        </is>
      </c>
      <c r="B1719" t="inlineStr">
        <is>
          <t>C</t>
        </is>
      </c>
      <c r="C1719" t="n">
        <v>3506</v>
      </c>
      <c r="D1719" t="inlineStr">
        <is>
          <t>University of Canterbury</t>
        </is>
      </c>
    </row>
    <row r="1720">
      <c r="A1720" t="inlineStr">
        <is>
          <t>Journal of Research in Interactive Marketing</t>
        </is>
      </c>
      <c r="B1720" t="inlineStr">
        <is>
          <t>B</t>
        </is>
      </c>
      <c r="C1720" t="n">
        <v>3506</v>
      </c>
      <c r="D1720" t="inlineStr">
        <is>
          <t>Emerald Group Publishing Limited</t>
        </is>
      </c>
    </row>
    <row r="1721">
      <c r="A1721" t="inlineStr">
        <is>
          <t>Journal of Research in Marketing and Entrepreneurship</t>
        </is>
      </c>
      <c r="B1721" t="inlineStr">
        <is>
          <t>B</t>
        </is>
      </c>
      <c r="C1721" t="n">
        <v>3506</v>
      </c>
      <c r="D1721" t="inlineStr">
        <is>
          <t>Emerald Group Publishing</t>
        </is>
      </c>
    </row>
    <row r="1722">
      <c r="A1722" t="inlineStr">
        <is>
          <t>Journal of Research in Personality</t>
        </is>
      </c>
      <c r="B1722" t="inlineStr">
        <is>
          <t>B</t>
        </is>
      </c>
      <c r="C1722" t="n">
        <v>3507</v>
      </c>
      <c r="D1722" t="inlineStr">
        <is>
          <t>Elsevier</t>
        </is>
      </c>
    </row>
    <row r="1723">
      <c r="A1723" t="inlineStr">
        <is>
          <t>Journal of Retailing</t>
        </is>
      </c>
      <c r="B1723" t="inlineStr">
        <is>
          <t>A*</t>
        </is>
      </c>
      <c r="C1723" t="n">
        <v>3506</v>
      </c>
      <c r="D1723" t="inlineStr">
        <is>
          <t>Elsevier</t>
        </is>
      </c>
    </row>
    <row r="1724">
      <c r="A1724" t="inlineStr">
        <is>
          <t>Journal of Retailing and Consumer Services</t>
        </is>
      </c>
      <c r="B1724" t="inlineStr">
        <is>
          <t>A</t>
        </is>
      </c>
      <c r="C1724" t="n">
        <v>3506</v>
      </c>
      <c r="D1724" t="inlineStr">
        <is>
          <t>Elsevier</t>
        </is>
      </c>
    </row>
    <row r="1725">
      <c r="A1725" t="inlineStr">
        <is>
          <t>Journal of Retirement</t>
        </is>
      </c>
      <c r="B1725" t="inlineStr">
        <is>
          <t>B</t>
        </is>
      </c>
      <c r="C1725" t="n">
        <v>3502</v>
      </c>
      <c r="D1725" t="inlineStr">
        <is>
          <t>S&amp;P Global</t>
        </is>
      </c>
    </row>
    <row r="1726">
      <c r="A1726" t="inlineStr">
        <is>
          <t>Journal of Revenue &amp; Pricing Management</t>
        </is>
      </c>
      <c r="B1726" t="inlineStr">
        <is>
          <t>B</t>
        </is>
      </c>
      <c r="C1726" t="n">
        <v>3506</v>
      </c>
      <c r="D1726" t="inlineStr">
        <is>
          <t>Springer International Publishing</t>
        </is>
      </c>
    </row>
    <row r="1727">
      <c r="A1727" t="inlineStr">
        <is>
          <t>Journal of Risk</t>
        </is>
      </c>
      <c r="B1727" t="inlineStr">
        <is>
          <t>B</t>
        </is>
      </c>
      <c r="C1727" t="n">
        <v>3502</v>
      </c>
      <c r="D1727" t="inlineStr">
        <is>
          <t>Incisive Risk Information Limited</t>
        </is>
      </c>
    </row>
    <row r="1728">
      <c r="A1728" t="inlineStr">
        <is>
          <t>Journal of Risk and Insurance</t>
        </is>
      </c>
      <c r="B1728" t="inlineStr">
        <is>
          <t>A</t>
        </is>
      </c>
      <c r="C1728" t="n">
        <v>3502</v>
      </c>
      <c r="D1728" t="inlineStr">
        <is>
          <t>Wiley-Blackwell Publishing</t>
        </is>
      </c>
    </row>
    <row r="1729">
      <c r="A1729" t="inlineStr">
        <is>
          <t>Journal of Risk and Uncertainty</t>
        </is>
      </c>
      <c r="B1729" t="inlineStr">
        <is>
          <t>A*</t>
        </is>
      </c>
      <c r="C1729" t="n">
        <v>3803</v>
      </c>
      <c r="D1729" t="inlineStr">
        <is>
          <t>Springer International Publishing</t>
        </is>
      </c>
    </row>
    <row r="1730">
      <c r="A1730" t="inlineStr">
        <is>
          <t>Journal of Risk Management in Financial Institutions</t>
        </is>
      </c>
      <c r="B1730" t="inlineStr">
        <is>
          <t>C</t>
        </is>
      </c>
      <c r="C1730" t="n">
        <v>3502</v>
      </c>
      <c r="D1730" t="inlineStr">
        <is>
          <t>Henry Stewart Publications</t>
        </is>
      </c>
    </row>
    <row r="1731">
      <c r="A1731" t="inlineStr">
        <is>
          <t>Journal of Risk Research</t>
        </is>
      </c>
      <c r="B1731" t="inlineStr">
        <is>
          <t>C</t>
        </is>
      </c>
      <c r="C1731" t="n">
        <v>3502</v>
      </c>
      <c r="D1731" t="inlineStr">
        <is>
          <t>Taylor &amp; Francis Online</t>
        </is>
      </c>
    </row>
    <row r="1732">
      <c r="A1732" t="inlineStr">
        <is>
          <t>Journal of Safety Research</t>
        </is>
      </c>
      <c r="B1732" t="inlineStr">
        <is>
          <t>A</t>
        </is>
      </c>
      <c r="C1732" t="n">
        <v>3509</v>
      </c>
      <c r="D1732" t="inlineStr">
        <is>
          <t>Elsevier</t>
        </is>
      </c>
    </row>
    <row r="1733">
      <c r="A1733" t="inlineStr">
        <is>
          <t>Journal of Scheduling</t>
        </is>
      </c>
      <c r="B1733" t="inlineStr">
        <is>
          <t>B</t>
        </is>
      </c>
      <c r="C1733" t="n">
        <v>3509</v>
      </c>
      <c r="D1733" t="inlineStr">
        <is>
          <t>Springer International Publishing</t>
        </is>
      </c>
    </row>
    <row r="1734">
      <c r="A1734" t="inlineStr">
        <is>
          <t>Journal of Science and Technology Policy Management</t>
        </is>
      </c>
      <c r="B1734" t="inlineStr">
        <is>
          <t>C</t>
        </is>
      </c>
      <c r="C1734" t="n">
        <v>3507</v>
      </c>
      <c r="D1734" t="inlineStr">
        <is>
          <t>Emerald Group Publishing</t>
        </is>
      </c>
    </row>
    <row r="1735">
      <c r="A1735" t="inlineStr">
        <is>
          <t>Journal of Selling</t>
        </is>
      </c>
      <c r="B1735" t="inlineStr">
        <is>
          <t>C</t>
        </is>
      </c>
      <c r="C1735" t="n">
        <v>3506</v>
      </c>
      <c r="D1735" t="inlineStr">
        <is>
          <t>Northern Illinois University</t>
        </is>
      </c>
    </row>
    <row r="1736">
      <c r="A1736" t="inlineStr">
        <is>
          <t>Journal of Service Management</t>
        </is>
      </c>
      <c r="B1736" t="inlineStr">
        <is>
          <t>A</t>
        </is>
      </c>
      <c r="C1736" t="n">
        <v>3507</v>
      </c>
      <c r="D1736" t="inlineStr">
        <is>
          <t>Emerald Group Publishing</t>
        </is>
      </c>
    </row>
    <row r="1737">
      <c r="A1737" t="inlineStr">
        <is>
          <t>Journal of Service Research</t>
        </is>
      </c>
      <c r="B1737" t="inlineStr">
        <is>
          <t>A*</t>
        </is>
      </c>
      <c r="C1737" t="n">
        <v>3506</v>
      </c>
      <c r="D1737" t="inlineStr">
        <is>
          <t>Sage Publications</t>
        </is>
      </c>
    </row>
    <row r="1738">
      <c r="A1738" t="inlineStr">
        <is>
          <t>Journal of Service Theory and Practice</t>
        </is>
      </c>
      <c r="B1738" t="inlineStr">
        <is>
          <t>A</t>
        </is>
      </c>
      <c r="C1738" t="n">
        <v>3506</v>
      </c>
      <c r="D1738" t="inlineStr">
        <is>
          <t>Emerald Group Publishing</t>
        </is>
      </c>
    </row>
    <row r="1739">
      <c r="A1739" t="inlineStr">
        <is>
          <t>Journal of Services Marketing</t>
        </is>
      </c>
      <c r="B1739" t="inlineStr">
        <is>
          <t>A</t>
        </is>
      </c>
      <c r="C1739" t="n">
        <v>3506</v>
      </c>
      <c r="D1739" t="inlineStr">
        <is>
          <t>Emerald Group Publishing</t>
        </is>
      </c>
    </row>
    <row r="1740">
      <c r="A1740" t="inlineStr">
        <is>
          <t>Journal of Services Research</t>
        </is>
      </c>
      <c r="B1740" t="inlineStr">
        <is>
          <t>C</t>
        </is>
      </c>
      <c r="C1740" t="n">
        <v>3506</v>
      </c>
      <c r="D1740" t="inlineStr">
        <is>
          <t>UMAK Education Trust</t>
        </is>
      </c>
    </row>
    <row r="1741">
      <c r="A1741" t="inlineStr">
        <is>
          <t>Journal of Simulation</t>
        </is>
      </c>
      <c r="B1741" t="inlineStr">
        <is>
          <t>B</t>
        </is>
      </c>
      <c r="C1741" t="n">
        <v>3599</v>
      </c>
      <c r="D1741" t="inlineStr">
        <is>
          <t>Taylor &amp; Francis Online</t>
        </is>
      </c>
    </row>
    <row r="1742">
      <c r="A1742" t="inlineStr">
        <is>
          <t>Journal of Small Business and Enterprise Development</t>
        </is>
      </c>
      <c r="B1742" t="inlineStr">
        <is>
          <t>C</t>
        </is>
      </c>
      <c r="C1742" t="n">
        <v>3507</v>
      </c>
      <c r="D1742" t="inlineStr">
        <is>
          <t>Emerald Group Publishing</t>
        </is>
      </c>
    </row>
    <row r="1743">
      <c r="A1743" t="inlineStr">
        <is>
          <t>Journal of Small Business and Entrepreneurship</t>
        </is>
      </c>
      <c r="B1743" t="inlineStr">
        <is>
          <t>B</t>
        </is>
      </c>
      <c r="C1743" t="n">
        <v>3507</v>
      </c>
      <c r="D1743" t="inlineStr">
        <is>
          <t>Taylor &amp; Francis Online</t>
        </is>
      </c>
    </row>
    <row r="1744">
      <c r="A1744" t="inlineStr">
        <is>
          <t>Journal of Small Business Management</t>
        </is>
      </c>
      <c r="B1744" t="inlineStr">
        <is>
          <t>A</t>
        </is>
      </c>
      <c r="C1744" t="n">
        <v>3507</v>
      </c>
      <c r="D1744" t="inlineStr">
        <is>
          <t>Taylor &amp; Francis Online</t>
        </is>
      </c>
    </row>
    <row r="1745">
      <c r="A1745" t="inlineStr">
        <is>
          <t>Journal of Small Business Strategy</t>
        </is>
      </c>
      <c r="B1745" t="inlineStr">
        <is>
          <t>C</t>
        </is>
      </c>
      <c r="C1745" t="n">
        <v>3507</v>
      </c>
      <c r="D1745" t="inlineStr">
        <is>
          <t>Middle Tennessee State University</t>
        </is>
      </c>
    </row>
    <row r="1746">
      <c r="A1746" t="inlineStr">
        <is>
          <t>Journal of Social and Economic Development</t>
        </is>
      </c>
      <c r="B1746" t="inlineStr">
        <is>
          <t>C</t>
        </is>
      </c>
      <c r="C1746" t="n">
        <v>3801</v>
      </c>
      <c r="D1746" t="inlineStr">
        <is>
          <t>Springer International Publishing</t>
        </is>
      </c>
    </row>
    <row r="1747">
      <c r="A1747" t="inlineStr">
        <is>
          <t>Journal of Social Entrepreneurship</t>
        </is>
      </c>
      <c r="B1747" t="inlineStr">
        <is>
          <t>B</t>
        </is>
      </c>
      <c r="C1747" t="n">
        <v>3507</v>
      </c>
      <c r="D1747" t="inlineStr">
        <is>
          <t>Taylor &amp; Francis Online</t>
        </is>
      </c>
    </row>
    <row r="1748">
      <c r="A1748" t="inlineStr">
        <is>
          <t>Journal of Social Issues</t>
        </is>
      </c>
      <c r="B1748" t="inlineStr">
        <is>
          <t>A</t>
        </is>
      </c>
      <c r="C1748" t="n">
        <v>3507</v>
      </c>
      <c r="D1748" t="inlineStr">
        <is>
          <t>Wiley-Blackwell Publishing</t>
        </is>
      </c>
    </row>
    <row r="1749">
      <c r="A1749" t="inlineStr">
        <is>
          <t>Journal of Social Marketing</t>
        </is>
      </c>
      <c r="B1749" t="inlineStr">
        <is>
          <t>B</t>
        </is>
      </c>
      <c r="C1749" t="n">
        <v>3506</v>
      </c>
      <c r="D1749" t="inlineStr">
        <is>
          <t>Emerald Group Publishing Limited</t>
        </is>
      </c>
    </row>
    <row r="1750">
      <c r="A1750" t="inlineStr">
        <is>
          <t>Journal of Social Policy</t>
        </is>
      </c>
      <c r="B1750" t="inlineStr">
        <is>
          <t>A</t>
        </is>
      </c>
      <c r="C1750" t="n">
        <v>3507</v>
      </c>
      <c r="D1750" t="inlineStr">
        <is>
          <t>Cambridge University Press</t>
        </is>
      </c>
    </row>
    <row r="1751">
      <c r="A1751" t="inlineStr">
        <is>
          <t>Journal of Social Psychology</t>
        </is>
      </c>
      <c r="B1751" t="inlineStr">
        <is>
          <t>B</t>
        </is>
      </c>
      <c r="C1751" t="n">
        <v>3507</v>
      </c>
      <c r="D1751" t="inlineStr">
        <is>
          <t>Taylor &amp; Francis Online</t>
        </is>
      </c>
    </row>
    <row r="1752">
      <c r="A1752" t="inlineStr">
        <is>
          <t>Journal of Social, Political and Economic Studies</t>
        </is>
      </c>
      <c r="B1752" t="inlineStr">
        <is>
          <t>C</t>
        </is>
      </c>
      <c r="C1752" t="n">
        <v>3801</v>
      </c>
      <c r="D1752" t="inlineStr">
        <is>
          <t>Council for Social and Economic Studies, Inc.</t>
        </is>
      </c>
    </row>
    <row r="1753">
      <c r="A1753" t="inlineStr">
        <is>
          <t>Journal of Sociology</t>
        </is>
      </c>
      <c r="B1753" t="inlineStr">
        <is>
          <t>B</t>
        </is>
      </c>
      <c r="C1753" t="n">
        <v>3507</v>
      </c>
      <c r="D1753" t="inlineStr">
        <is>
          <t>Sage Publications</t>
        </is>
      </c>
    </row>
    <row r="1754">
      <c r="A1754" t="inlineStr">
        <is>
          <t>Journal of South Asian Development</t>
        </is>
      </c>
      <c r="B1754" t="inlineStr">
        <is>
          <t>C</t>
        </is>
      </c>
      <c r="C1754" t="n">
        <v>3801</v>
      </c>
      <c r="D1754" t="inlineStr">
        <is>
          <t>Sage Publications</t>
        </is>
      </c>
    </row>
    <row r="1755">
      <c r="A1755" t="inlineStr">
        <is>
          <t>Journal of Southeast Asian Economies</t>
        </is>
      </c>
      <c r="B1755" t="inlineStr">
        <is>
          <t>C</t>
        </is>
      </c>
      <c r="C1755" t="n">
        <v>3801</v>
      </c>
      <c r="D1755" t="inlineStr">
        <is>
          <t>ISEAS-Yusof Ishak Institute</t>
        </is>
      </c>
    </row>
    <row r="1756">
      <c r="A1756" t="inlineStr">
        <is>
          <t>Journal of Southeast Asian Studies</t>
        </is>
      </c>
      <c r="B1756" t="inlineStr">
        <is>
          <t>C</t>
        </is>
      </c>
      <c r="C1756" t="n">
        <v>3599</v>
      </c>
      <c r="D1756" t="inlineStr">
        <is>
          <t>Cambridge University Press</t>
        </is>
      </c>
    </row>
    <row r="1757">
      <c r="A1757" t="inlineStr">
        <is>
          <t>Journal of Sport and Social Issues</t>
        </is>
      </c>
      <c r="B1757" t="inlineStr">
        <is>
          <t>B</t>
        </is>
      </c>
      <c r="C1757" t="n">
        <v>3504</v>
      </c>
      <c r="D1757" t="inlineStr">
        <is>
          <t>Sage Publications</t>
        </is>
      </c>
    </row>
    <row r="1758">
      <c r="A1758" t="inlineStr">
        <is>
          <t>Journal of Sport and Tourism</t>
        </is>
      </c>
      <c r="B1758" t="inlineStr">
        <is>
          <t>B</t>
        </is>
      </c>
      <c r="C1758" t="n">
        <v>3508</v>
      </c>
      <c r="D1758" t="inlineStr">
        <is>
          <t>Taylor &amp; Francis Online</t>
        </is>
      </c>
    </row>
    <row r="1759">
      <c r="A1759" t="inlineStr">
        <is>
          <t>Journal of Sport Behavior</t>
        </is>
      </c>
      <c r="B1759" t="inlineStr">
        <is>
          <t>B</t>
        </is>
      </c>
      <c r="C1759" t="n">
        <v>3504</v>
      </c>
      <c r="D1759" t="inlineStr">
        <is>
          <t>University of South Alabama</t>
        </is>
      </c>
    </row>
    <row r="1760">
      <c r="A1760" t="inlineStr">
        <is>
          <t>Journal of Sport for Development</t>
        </is>
      </c>
      <c r="B1760" t="inlineStr">
        <is>
          <t>B</t>
        </is>
      </c>
      <c r="C1760" t="n">
        <v>3504</v>
      </c>
      <c r="D1760" t="inlineStr">
        <is>
          <t>jfsd.org</t>
        </is>
      </c>
    </row>
    <row r="1761">
      <c r="A1761" t="inlineStr">
        <is>
          <t>Journal of Sport History</t>
        </is>
      </c>
      <c r="B1761" t="inlineStr">
        <is>
          <t>C</t>
        </is>
      </c>
      <c r="C1761" t="n">
        <v>3504</v>
      </c>
      <c r="D1761" t="inlineStr">
        <is>
          <t>University of Illinois Press</t>
        </is>
      </c>
    </row>
    <row r="1762">
      <c r="A1762" t="inlineStr">
        <is>
          <t>Journal of Sport Management</t>
        </is>
      </c>
      <c r="B1762" t="inlineStr">
        <is>
          <t>A</t>
        </is>
      </c>
      <c r="C1762" t="n">
        <v>3504</v>
      </c>
      <c r="D1762" t="inlineStr">
        <is>
          <t>Human Kinetics Publishers, Inc.</t>
        </is>
      </c>
    </row>
    <row r="1763">
      <c r="A1763" t="inlineStr">
        <is>
          <t>Journal of Sports Economics</t>
        </is>
      </c>
      <c r="B1763" t="inlineStr">
        <is>
          <t>B</t>
        </is>
      </c>
      <c r="C1763" t="n">
        <v>3899</v>
      </c>
      <c r="D1763" t="inlineStr">
        <is>
          <t>Sage Publications</t>
        </is>
      </c>
    </row>
    <row r="1764">
      <c r="A1764" t="inlineStr">
        <is>
          <t>Journal of State Taxation</t>
        </is>
      </c>
      <c r="B1764" t="inlineStr">
        <is>
          <t>C</t>
        </is>
      </c>
      <c r="C1764" t="n">
        <v>4801</v>
      </c>
      <c r="D1764" t="inlineStr">
        <is>
          <t>Panel Publishers</t>
        </is>
      </c>
    </row>
    <row r="1765">
      <c r="A1765" t="inlineStr">
        <is>
          <t>Journal of Statistical Computation and Simulation</t>
        </is>
      </c>
      <c r="B1765" t="inlineStr">
        <is>
          <t>C</t>
        </is>
      </c>
      <c r="C1765" t="n">
        <v>4905</v>
      </c>
      <c r="D1765" t="inlineStr">
        <is>
          <t>Taylor &amp; Francis Online</t>
        </is>
      </c>
    </row>
    <row r="1766">
      <c r="A1766" t="inlineStr">
        <is>
          <t>Journal of Statistical Planning and Inference</t>
        </is>
      </c>
      <c r="B1766" t="inlineStr">
        <is>
          <t>A</t>
        </is>
      </c>
      <c r="C1766" t="n">
        <v>4905</v>
      </c>
      <c r="D1766" t="inlineStr">
        <is>
          <t>Elsevier</t>
        </is>
      </c>
    </row>
    <row r="1767">
      <c r="A1767" t="inlineStr">
        <is>
          <t>Journal of Statistical Research</t>
        </is>
      </c>
      <c r="B1767" t="inlineStr">
        <is>
          <t>C</t>
        </is>
      </c>
      <c r="C1767" t="n">
        <v>4905</v>
      </c>
      <c r="D1767" t="inlineStr">
        <is>
          <t>Institute of Statistical Research and Training, University of Dacca, Bangladesh</t>
        </is>
      </c>
    </row>
    <row r="1768">
      <c r="A1768" t="inlineStr">
        <is>
          <t>Journal of Statistical Software</t>
        </is>
      </c>
      <c r="B1768" t="inlineStr">
        <is>
          <t>A</t>
        </is>
      </c>
      <c r="C1768" t="n">
        <v>4905</v>
      </c>
      <c r="D1768" t="inlineStr">
        <is>
          <t>Foundation for Open Access Statistics</t>
        </is>
      </c>
    </row>
    <row r="1769">
      <c r="A1769" t="inlineStr">
        <is>
          <t>Journal of Statistical Theory and Applications</t>
        </is>
      </c>
      <c r="B1769" t="inlineStr">
        <is>
          <t>C</t>
        </is>
      </c>
      <c r="C1769" t="n">
        <v>4905</v>
      </c>
      <c r="D1769" t="inlineStr">
        <is>
          <t>Springer International Publishing</t>
        </is>
      </c>
    </row>
    <row r="1770">
      <c r="A1770" t="inlineStr">
        <is>
          <t>Journal of Statistics and Management Systems</t>
        </is>
      </c>
      <c r="B1770" t="inlineStr">
        <is>
          <t>C</t>
        </is>
      </c>
      <c r="C1770" t="n">
        <v>4905</v>
      </c>
      <c r="D1770" t="inlineStr">
        <is>
          <t>Taylor &amp; Francis Online</t>
        </is>
      </c>
    </row>
    <row r="1771">
      <c r="A1771" t="inlineStr">
        <is>
          <t>Journal of Statistics and Data Science Education</t>
        </is>
      </c>
      <c r="B1771" t="inlineStr">
        <is>
          <t>B</t>
        </is>
      </c>
      <c r="C1771" t="n">
        <v>4905</v>
      </c>
      <c r="D1771" t="inlineStr">
        <is>
          <t>Taylor &amp; Francis Online</t>
        </is>
      </c>
    </row>
    <row r="1772">
      <c r="A1772" t="inlineStr">
        <is>
          <t>Journal of Strategic Information Systems</t>
        </is>
      </c>
      <c r="B1772" t="inlineStr">
        <is>
          <t>A*</t>
        </is>
      </c>
      <c r="C1772" t="n">
        <v>4609</v>
      </c>
      <c r="D1772" t="inlineStr">
        <is>
          <t>Elsevier</t>
        </is>
      </c>
    </row>
    <row r="1773">
      <c r="A1773" t="inlineStr">
        <is>
          <t>Journal of Strategic Marketing</t>
        </is>
      </c>
      <c r="B1773" t="inlineStr">
        <is>
          <t>A</t>
        </is>
      </c>
      <c r="C1773" t="n">
        <v>3506</v>
      </c>
      <c r="D1773" t="inlineStr">
        <is>
          <t>Taylor &amp; Francis Online</t>
        </is>
      </c>
    </row>
    <row r="1774">
      <c r="A1774" t="inlineStr">
        <is>
          <t>Journal of Strategy &amp; Innovation</t>
        </is>
      </c>
      <c r="B1774" t="inlineStr">
        <is>
          <t>C</t>
        </is>
      </c>
      <c r="C1774" t="n">
        <v>3503</v>
      </c>
      <c r="D1774" t="inlineStr">
        <is>
          <t>Elsevier</t>
        </is>
      </c>
    </row>
    <row r="1775">
      <c r="A1775" t="inlineStr">
        <is>
          <t>Journal of Strategy and Management</t>
        </is>
      </c>
      <c r="B1775" t="inlineStr">
        <is>
          <t>B</t>
        </is>
      </c>
      <c r="C1775" t="n">
        <v>3507</v>
      </c>
      <c r="D1775" t="inlineStr">
        <is>
          <t>Emerald Group Publishing</t>
        </is>
      </c>
    </row>
    <row r="1776">
      <c r="A1776" t="inlineStr">
        <is>
          <t>Journal of Supply Chain Management</t>
        </is>
      </c>
      <c r="B1776" t="inlineStr">
        <is>
          <t>A*</t>
        </is>
      </c>
      <c r="C1776" t="n">
        <v>3509</v>
      </c>
      <c r="D1776" t="inlineStr">
        <is>
          <t>Wiley-Blackwell Publishing</t>
        </is>
      </c>
    </row>
    <row r="1777">
      <c r="A1777" t="inlineStr">
        <is>
          <t>Journal of Sustainable Finance &amp; Investment</t>
        </is>
      </c>
      <c r="B1777" t="inlineStr">
        <is>
          <t>B</t>
        </is>
      </c>
      <c r="C1777" t="n">
        <v>3502</v>
      </c>
      <c r="D1777" t="inlineStr">
        <is>
          <t>Taylor &amp; Francis</t>
        </is>
      </c>
    </row>
    <row r="1778">
      <c r="A1778" t="inlineStr">
        <is>
          <t>Journal of Sustainable Real Estate</t>
        </is>
      </c>
      <c r="B1778" t="inlineStr">
        <is>
          <t>C</t>
        </is>
      </c>
      <c r="C1778" t="n">
        <v>3504</v>
      </c>
      <c r="D1778" t="inlineStr">
        <is>
          <t>Taylor &amp; Francis</t>
        </is>
      </c>
    </row>
    <row r="1779">
      <c r="A1779" t="inlineStr">
        <is>
          <t>Journal of Sustainable Tourism</t>
        </is>
      </c>
      <c r="B1779" t="inlineStr">
        <is>
          <t>A*</t>
        </is>
      </c>
      <c r="C1779" t="n">
        <v>3508</v>
      </c>
      <c r="D1779" t="inlineStr">
        <is>
          <t>Taylor &amp; Francis Online</t>
        </is>
      </c>
    </row>
    <row r="1780">
      <c r="A1780" t="inlineStr">
        <is>
          <t>Journal of Systems and Information Technology</t>
        </is>
      </c>
      <c r="B1780" t="inlineStr">
        <is>
          <t>B</t>
        </is>
      </c>
      <c r="C1780" t="n">
        <v>4609</v>
      </c>
      <c r="D1780" t="inlineStr">
        <is>
          <t>Emerald Group Publishing</t>
        </is>
      </c>
    </row>
    <row r="1781">
      <c r="A1781" t="inlineStr">
        <is>
          <t>Journal of Tax Administration</t>
        </is>
      </c>
      <c r="B1781" t="inlineStr">
        <is>
          <t>B</t>
        </is>
      </c>
      <c r="C1781" t="n">
        <v>4801</v>
      </c>
      <c r="D1781" t="inlineStr">
        <is>
          <t>University of Exeter Business School</t>
        </is>
      </c>
    </row>
    <row r="1782">
      <c r="A1782" t="inlineStr">
        <is>
          <t>Journal of Taxation</t>
        </is>
      </c>
      <c r="B1782" t="inlineStr">
        <is>
          <t>B</t>
        </is>
      </c>
      <c r="C1782" t="n">
        <v>4801</v>
      </c>
      <c r="D1782" t="inlineStr">
        <is>
          <t>Thomson Reuters</t>
        </is>
      </c>
    </row>
    <row r="1783">
      <c r="A1783" t="inlineStr">
        <is>
          <t>Journal of Taxation of Investments</t>
        </is>
      </c>
      <c r="B1783" t="inlineStr">
        <is>
          <t>C</t>
        </is>
      </c>
      <c r="C1783" t="n">
        <v>4801</v>
      </c>
      <c r="D1783" t="inlineStr">
        <is>
          <t>Civic Research Institute</t>
        </is>
      </c>
    </row>
    <row r="1784">
      <c r="A1784" t="inlineStr">
        <is>
          <t>Journal of Teaching in International Business</t>
        </is>
      </c>
      <c r="B1784" t="inlineStr">
        <is>
          <t>C</t>
        </is>
      </c>
      <c r="C1784" t="n">
        <v>3507</v>
      </c>
      <c r="D1784" t="inlineStr">
        <is>
          <t>Taylor &amp; Francis Online</t>
        </is>
      </c>
    </row>
    <row r="1785">
      <c r="A1785" t="inlineStr">
        <is>
          <t>Journal of Teaching in Travel &amp; Tourism</t>
        </is>
      </c>
      <c r="B1785" t="inlineStr">
        <is>
          <t>B</t>
        </is>
      </c>
      <c r="C1785" t="n">
        <v>3508</v>
      </c>
      <c r="D1785" t="inlineStr">
        <is>
          <t>Taylor &amp; Francis</t>
        </is>
      </c>
    </row>
    <row r="1786">
      <c r="A1786" t="inlineStr">
        <is>
          <t>Journal of Technology Management &amp; Innovation</t>
        </is>
      </c>
      <c r="B1786" t="inlineStr">
        <is>
          <t>C</t>
        </is>
      </c>
      <c r="C1786" t="n">
        <v>3507</v>
      </c>
      <c r="D1786" t="inlineStr">
        <is>
          <t>Universidad Alberto Hurtado</t>
        </is>
      </c>
    </row>
    <row r="1787">
      <c r="A1787" t="inlineStr">
        <is>
          <t>Journal of Technology Management in China</t>
        </is>
      </c>
      <c r="B1787" t="inlineStr">
        <is>
          <t>C</t>
        </is>
      </c>
      <c r="C1787" t="n">
        <v>3507</v>
      </c>
      <c r="D1787" t="inlineStr">
        <is>
          <t>Emerald Group Publishing</t>
        </is>
      </c>
    </row>
    <row r="1788">
      <c r="A1788" t="inlineStr">
        <is>
          <t>Journal of Technology Transfer</t>
        </is>
      </c>
      <c r="B1788" t="inlineStr">
        <is>
          <t>A</t>
        </is>
      </c>
      <c r="C1788" t="n">
        <v>3507</v>
      </c>
      <c r="D1788" t="inlineStr">
        <is>
          <t>Springer International Publishing</t>
        </is>
      </c>
    </row>
    <row r="1789">
      <c r="A1789" t="inlineStr">
        <is>
          <t>Journal of the Academy of Marketing Science</t>
        </is>
      </c>
      <c r="B1789" t="inlineStr">
        <is>
          <t>A*</t>
        </is>
      </c>
      <c r="C1789" t="n">
        <v>3506</v>
      </c>
      <c r="D1789" t="inlineStr">
        <is>
          <t>Springer International Publishing</t>
        </is>
      </c>
    </row>
    <row r="1790">
      <c r="A1790" t="inlineStr">
        <is>
          <t>Journal of the American Statistical Association</t>
        </is>
      </c>
      <c r="B1790" t="inlineStr">
        <is>
          <t>A*</t>
        </is>
      </c>
      <c r="C1790" t="n">
        <v>4905</v>
      </c>
      <c r="D1790" t="inlineStr">
        <is>
          <t>Taylor &amp; Francis Online</t>
        </is>
      </c>
    </row>
    <row r="1791">
      <c r="A1791" t="inlineStr">
        <is>
          <t>Journal of the American Taxation Association</t>
        </is>
      </c>
      <c r="B1791" t="inlineStr">
        <is>
          <t>A</t>
        </is>
      </c>
      <c r="C1791" t="n">
        <v>4801</v>
      </c>
      <c r="D1791" t="inlineStr">
        <is>
          <t>American Accounting Association</t>
        </is>
      </c>
    </row>
    <row r="1792">
      <c r="A1792" t="inlineStr">
        <is>
          <t>Journal of the Asia Pacific Economy</t>
        </is>
      </c>
      <c r="B1792" t="inlineStr">
        <is>
          <t>B</t>
        </is>
      </c>
      <c r="C1792" t="n">
        <v>3801</v>
      </c>
      <c r="D1792" t="inlineStr">
        <is>
          <t>Taylor &amp; Francis Online</t>
        </is>
      </c>
    </row>
    <row r="1793">
      <c r="A1793" t="inlineStr">
        <is>
          <t>Journal of the Association for Consumer Research</t>
        </is>
      </c>
      <c r="B1793" t="inlineStr">
        <is>
          <t>B</t>
        </is>
      </c>
      <c r="C1793" t="n">
        <v>3506</v>
      </c>
      <c r="D1793" t="inlineStr">
        <is>
          <t>University of Chicago Press</t>
        </is>
      </c>
    </row>
    <row r="1794">
      <c r="A1794" t="inlineStr">
        <is>
          <t>Journal of the Association for Information Systems</t>
        </is>
      </c>
      <c r="B1794" t="inlineStr">
        <is>
          <t>A*</t>
        </is>
      </c>
      <c r="C1794" t="n">
        <v>4609</v>
      </c>
      <c r="D1794" t="inlineStr">
        <is>
          <t>Association for Information Systems (AIS)</t>
        </is>
      </c>
    </row>
    <row r="1795">
      <c r="A1795" t="inlineStr">
        <is>
          <t>Journal of the Association of Environmental and Resource Economists</t>
        </is>
      </c>
      <c r="B1795" t="inlineStr">
        <is>
          <t>A*</t>
        </is>
      </c>
      <c r="C1795" t="n">
        <v>3801</v>
      </c>
      <c r="D1795" t="inlineStr">
        <is>
          <t>University of Chicago Press</t>
        </is>
      </c>
    </row>
    <row r="1796">
      <c r="A1796" t="inlineStr">
        <is>
          <t>Journal of the Australasian Law Academics Association</t>
        </is>
      </c>
      <c r="B1796" t="inlineStr">
        <is>
          <t>B</t>
        </is>
      </c>
      <c r="C1796" t="n">
        <v>4801</v>
      </c>
      <c r="D1796" t="inlineStr">
        <is>
          <t>ALAA</t>
        </is>
      </c>
    </row>
    <row r="1797">
      <c r="A1797" t="inlineStr">
        <is>
          <t>Journal of the Australasian Tax Teachers Association</t>
        </is>
      </c>
      <c r="B1797" t="inlineStr">
        <is>
          <t>B</t>
        </is>
      </c>
      <c r="C1797" t="n">
        <v>4801</v>
      </c>
      <c r="D1797" t="inlineStr">
        <is>
          <t>University of New South Wales Business School</t>
        </is>
      </c>
    </row>
    <row r="1798">
      <c r="A1798" t="inlineStr">
        <is>
          <t>Journal of the Economic and Social History of the Orient</t>
        </is>
      </c>
      <c r="B1798" t="inlineStr">
        <is>
          <t>B</t>
        </is>
      </c>
      <c r="C1798" t="n">
        <v>3801</v>
      </c>
      <c r="D1798" t="inlineStr">
        <is>
          <t>Brill</t>
        </is>
      </c>
    </row>
    <row r="1799">
      <c r="A1799" t="inlineStr">
        <is>
          <t>Journal of the Economics of Ageing</t>
        </is>
      </c>
      <c r="B1799" t="inlineStr">
        <is>
          <t>B</t>
        </is>
      </c>
      <c r="C1799" t="n">
        <v>3801</v>
      </c>
      <c r="D1799" t="inlineStr">
        <is>
          <t>Elsevier</t>
        </is>
      </c>
    </row>
    <row r="1800">
      <c r="A1800" t="inlineStr">
        <is>
          <t>Journal of the European Economic Association</t>
        </is>
      </c>
      <c r="B1800" t="inlineStr">
        <is>
          <t>A*</t>
        </is>
      </c>
      <c r="C1800" t="n">
        <v>3801</v>
      </c>
      <c r="D1800" t="inlineStr">
        <is>
          <t>Oxford University Press</t>
        </is>
      </c>
    </row>
    <row r="1801">
      <c r="A1801" t="inlineStr">
        <is>
          <t>Journal of the History of Economic Thought</t>
        </is>
      </c>
      <c r="B1801" t="inlineStr">
        <is>
          <t>B</t>
        </is>
      </c>
      <c r="C1801" t="n">
        <v>3803</v>
      </c>
      <c r="D1801" t="inlineStr">
        <is>
          <t>Cambridge University Press</t>
        </is>
      </c>
    </row>
    <row r="1802">
      <c r="A1802" t="inlineStr">
        <is>
          <t>Journal of the International Council for Small Business</t>
        </is>
      </c>
      <c r="B1802" t="inlineStr">
        <is>
          <t>C</t>
        </is>
      </c>
      <c r="C1802" t="n">
        <v>3507</v>
      </c>
      <c r="D1802" t="inlineStr">
        <is>
          <t>Taylor &amp; Francis</t>
        </is>
      </c>
    </row>
    <row r="1803">
      <c r="A1803" t="inlineStr">
        <is>
          <t>Journal of the Japan Statistical Society</t>
        </is>
      </c>
      <c r="B1803" t="inlineStr">
        <is>
          <t>C</t>
        </is>
      </c>
      <c r="C1803" t="n">
        <v>4905</v>
      </c>
      <c r="D1803" t="inlineStr">
        <is>
          <t>Japan Statistical Society</t>
        </is>
      </c>
    </row>
    <row r="1804">
      <c r="A1804" t="inlineStr">
        <is>
          <t>Journal of the Japanese and International Economies</t>
        </is>
      </c>
      <c r="B1804" t="inlineStr">
        <is>
          <t>A</t>
        </is>
      </c>
      <c r="C1804" t="n">
        <v>3801</v>
      </c>
      <c r="D1804" t="inlineStr">
        <is>
          <t>Elsevier</t>
        </is>
      </c>
    </row>
    <row r="1805">
      <c r="A1805" t="inlineStr">
        <is>
          <t>Journal of the Knowledge Economy</t>
        </is>
      </c>
      <c r="B1805" t="inlineStr">
        <is>
          <t>C</t>
        </is>
      </c>
      <c r="C1805" t="n">
        <v>3899</v>
      </c>
      <c r="D1805" t="inlineStr">
        <is>
          <t>Springer International Publishing</t>
        </is>
      </c>
    </row>
    <row r="1806">
      <c r="A1806" t="inlineStr">
        <is>
          <t>Journal of the New Economic Association</t>
        </is>
      </c>
      <c r="B1806" t="inlineStr">
        <is>
          <t>C</t>
        </is>
      </c>
      <c r="C1806" t="n">
        <v>3899</v>
      </c>
      <c r="D1806" t="inlineStr">
        <is>
          <t>New Economic Association</t>
        </is>
      </c>
    </row>
    <row r="1807">
      <c r="A1807" t="inlineStr">
        <is>
          <t>Journal of the Operational Research Society</t>
        </is>
      </c>
      <c r="B1807" t="inlineStr">
        <is>
          <t>A</t>
        </is>
      </c>
      <c r="C1807" t="n">
        <v>3507</v>
      </c>
      <c r="D1807" t="inlineStr">
        <is>
          <t>Springer International Publishing</t>
        </is>
      </c>
    </row>
    <row r="1808">
      <c r="A1808" t="inlineStr">
        <is>
          <t>Journal of the Operations Research Society of Japan</t>
        </is>
      </c>
      <c r="B1808" t="inlineStr">
        <is>
          <t>B</t>
        </is>
      </c>
      <c r="C1808" t="n">
        <v>3507</v>
      </c>
      <c r="D1808" t="inlineStr">
        <is>
          <t>International Academic Publishing Co. Ltd - The Operations Research Society of Japan</t>
        </is>
      </c>
    </row>
    <row r="1809">
      <c r="A1809" t="inlineStr">
        <is>
          <t>Journal of the Royal Statistical Society, Series A (Statistics in Society)</t>
        </is>
      </c>
      <c r="B1809" t="inlineStr">
        <is>
          <t>A</t>
        </is>
      </c>
      <c r="C1809" t="n">
        <v>4905</v>
      </c>
      <c r="D1809" t="inlineStr">
        <is>
          <t>Wiley-Blackwell Publishing</t>
        </is>
      </c>
    </row>
    <row r="1810">
      <c r="A1810" t="inlineStr">
        <is>
          <t>Journal of the Royal Statistical Society, Series B (Statistical Methodology)</t>
        </is>
      </c>
      <c r="B1810" t="inlineStr">
        <is>
          <t>A*</t>
        </is>
      </c>
      <c r="C1810" t="n">
        <v>4905</v>
      </c>
      <c r="D1810" t="inlineStr">
        <is>
          <t>Wiley-Blackwell Publishing</t>
        </is>
      </c>
    </row>
    <row r="1811">
      <c r="A1811" t="inlineStr">
        <is>
          <t>Journal of the Royal Statistical Society, Series C (Applied Statistics)</t>
        </is>
      </c>
      <c r="B1811" t="inlineStr">
        <is>
          <t>A</t>
        </is>
      </c>
      <c r="C1811" t="n">
        <v>4905</v>
      </c>
      <c r="D1811" t="inlineStr">
        <is>
          <t>Wiley-Blackwell Publishing</t>
        </is>
      </c>
    </row>
    <row r="1812">
      <c r="A1812" t="inlineStr">
        <is>
          <t>Journal of the Royal Statistical Society, Series D (The Statistician)</t>
        </is>
      </c>
      <c r="B1812" t="inlineStr">
        <is>
          <t>A</t>
        </is>
      </c>
      <c r="C1812" t="n">
        <v>4905</v>
      </c>
      <c r="D1812" t="inlineStr">
        <is>
          <t>Wiley-Blackwell Publishing</t>
        </is>
      </c>
    </row>
    <row r="1813">
      <c r="A1813" t="inlineStr">
        <is>
          <t>Journal of the Statistical and Social Inquiry Society of Ireland</t>
        </is>
      </c>
      <c r="B1813" t="inlineStr">
        <is>
          <t>C</t>
        </is>
      </c>
      <c r="C1813" t="n">
        <v>4905</v>
      </c>
      <c r="D1813" t="inlineStr">
        <is>
          <t>School of Mathematical Sciences, University College Dublin
Inquiry Society of Ireland</t>
        </is>
      </c>
    </row>
    <row r="1814">
      <c r="A1814" t="inlineStr">
        <is>
          <t>Journal of the UK Association of Christian Economists</t>
        </is>
      </c>
      <c r="B1814" t="inlineStr">
        <is>
          <t>C</t>
        </is>
      </c>
      <c r="C1814" t="n">
        <v>3801</v>
      </c>
      <c r="D1814" t="inlineStr">
        <is>
          <t>Association of Christian Economics</t>
        </is>
      </c>
    </row>
    <row r="1815">
      <c r="A1815" t="inlineStr">
        <is>
          <t>Journal of Theoretical Probability</t>
        </is>
      </c>
      <c r="B1815" t="inlineStr">
        <is>
          <t>A</t>
        </is>
      </c>
      <c r="C1815" t="n">
        <v>4905</v>
      </c>
      <c r="D1815" t="inlineStr">
        <is>
          <t>Springer International Publishing</t>
        </is>
      </c>
    </row>
    <row r="1816">
      <c r="A1816" t="inlineStr">
        <is>
          <t>Journal of Time Series Analysis</t>
        </is>
      </c>
      <c r="B1816" t="inlineStr">
        <is>
          <t>A</t>
        </is>
      </c>
      <c r="C1816" t="n">
        <v>3802</v>
      </c>
      <c r="D1816" t="inlineStr">
        <is>
          <t>Wiley-Blackwell Publishing</t>
        </is>
      </c>
    </row>
    <row r="1817">
      <c r="A1817" t="inlineStr">
        <is>
          <t>Journal of Time Series Econometrics</t>
        </is>
      </c>
      <c r="B1817" t="inlineStr">
        <is>
          <t>B</t>
        </is>
      </c>
      <c r="C1817" t="n">
        <v>3802</v>
      </c>
      <c r="D1817" t="inlineStr">
        <is>
          <t>De Gruyter</t>
        </is>
      </c>
    </row>
    <row r="1818">
      <c r="A1818" t="inlineStr">
        <is>
          <t>Journal of Tourism and Cultural Change</t>
        </is>
      </c>
      <c r="B1818" t="inlineStr">
        <is>
          <t>B</t>
        </is>
      </c>
      <c r="C1818" t="n">
        <v>3508</v>
      </c>
      <c r="D1818" t="inlineStr">
        <is>
          <t>Taylor &amp; Francis Online</t>
        </is>
      </c>
    </row>
    <row r="1819">
      <c r="A1819" t="inlineStr">
        <is>
          <t>Journal of Tourism and Development (REVISTA TURISMO &amp; DESENVOLVIMENTO - RT&amp;D)</t>
        </is>
      </c>
      <c r="B1819" t="inlineStr">
        <is>
          <t>C</t>
        </is>
      </c>
      <c r="C1819" t="n">
        <v>3508</v>
      </c>
      <c r="D1819" t="inlineStr">
        <is>
          <t>University of Aveiro</t>
        </is>
      </c>
    </row>
    <row r="1820">
      <c r="A1820" t="inlineStr">
        <is>
          <t>Journal of Tourism and Services</t>
        </is>
      </c>
      <c r="B1820" t="inlineStr">
        <is>
          <t>C</t>
        </is>
      </c>
      <c r="C1820" t="n">
        <v>3508</v>
      </c>
      <c r="D1820" t="inlineStr">
        <is>
          <t>Center for International Scientific Research of VŠO and VŠPP , Czech</t>
        </is>
      </c>
    </row>
    <row r="1821">
      <c r="A1821" t="inlineStr">
        <is>
          <t>Journal of Tourism Futures</t>
        </is>
      </c>
      <c r="B1821" t="inlineStr">
        <is>
          <t>B</t>
        </is>
      </c>
      <c r="C1821" t="n">
        <v>3508</v>
      </c>
      <c r="D1821" t="inlineStr">
        <is>
          <t>Emerald Group Publishing</t>
        </is>
      </c>
    </row>
    <row r="1822">
      <c r="A1822" t="inlineStr">
        <is>
          <t>Journal of Tourism History</t>
        </is>
      </c>
      <c r="B1822" t="inlineStr">
        <is>
          <t>C</t>
        </is>
      </c>
      <c r="C1822" t="n">
        <v>3508</v>
      </c>
      <c r="D1822" t="inlineStr">
        <is>
          <t>Taylor &amp; Francis Online</t>
        </is>
      </c>
    </row>
    <row r="1823">
      <c r="A1823" t="inlineStr">
        <is>
          <t>Journal of Tourism, Heritage &amp; Services Marketing</t>
        </is>
      </c>
      <c r="B1823" t="inlineStr">
        <is>
          <t>C</t>
        </is>
      </c>
      <c r="C1823" t="n">
        <v>3508</v>
      </c>
      <c r="D1823" t="inlineStr">
        <is>
          <t>International Hellenic University</t>
        </is>
      </c>
    </row>
    <row r="1824">
      <c r="A1824" t="inlineStr">
        <is>
          <t>Journal of Tourism, Sustainability and Well-being</t>
        </is>
      </c>
      <c r="B1824" t="inlineStr">
        <is>
          <t>C</t>
        </is>
      </c>
      <c r="C1824" t="n">
        <v>3508</v>
      </c>
      <c r="D1824" t="inlineStr">
        <is>
          <t>University of Algarve</t>
        </is>
      </c>
    </row>
    <row r="1825">
      <c r="A1825" t="inlineStr">
        <is>
          <t>Journal of Transnational Management</t>
        </is>
      </c>
      <c r="B1825" t="inlineStr">
        <is>
          <t>C</t>
        </is>
      </c>
      <c r="C1825" t="n">
        <v>3507</v>
      </c>
      <c r="D1825" t="inlineStr">
        <is>
          <t>Taylor &amp; Francis Online</t>
        </is>
      </c>
    </row>
    <row r="1826">
      <c r="A1826" t="inlineStr">
        <is>
          <t>Journal of Transport and Health</t>
        </is>
      </c>
      <c r="B1826" t="inlineStr">
        <is>
          <t>B</t>
        </is>
      </c>
      <c r="C1826" t="n">
        <v>3509</v>
      </c>
      <c r="D1826" t="inlineStr">
        <is>
          <t>Elsevier</t>
        </is>
      </c>
    </row>
    <row r="1827">
      <c r="A1827" t="inlineStr">
        <is>
          <t>Journal of Transport and Land Use</t>
        </is>
      </c>
      <c r="B1827" t="inlineStr">
        <is>
          <t>B</t>
        </is>
      </c>
      <c r="C1827" t="n">
        <v>3509</v>
      </c>
      <c r="D1827" t="inlineStr">
        <is>
          <t>University of Minnesota</t>
        </is>
      </c>
    </row>
    <row r="1828">
      <c r="A1828" t="inlineStr">
        <is>
          <t>Journal of Transport Geography</t>
        </is>
      </c>
      <c r="B1828" t="inlineStr">
        <is>
          <t>A</t>
        </is>
      </c>
      <c r="C1828" t="n">
        <v>3509</v>
      </c>
      <c r="D1828" t="inlineStr">
        <is>
          <t>Elsevier</t>
        </is>
      </c>
    </row>
    <row r="1829">
      <c r="A1829" t="inlineStr">
        <is>
          <t>Journal of Transport History</t>
        </is>
      </c>
      <c r="B1829" t="inlineStr">
        <is>
          <t>C</t>
        </is>
      </c>
      <c r="C1829" t="n">
        <v>3509</v>
      </c>
      <c r="D1829" t="inlineStr">
        <is>
          <t>Sage Publications</t>
        </is>
      </c>
    </row>
    <row r="1830">
      <c r="A1830" t="inlineStr">
        <is>
          <t>Journal of Transport, Economics and Policy</t>
        </is>
      </c>
      <c r="B1830" t="inlineStr">
        <is>
          <t>B</t>
        </is>
      </c>
      <c r="C1830" t="n">
        <v>3509</v>
      </c>
      <c r="D1830" t="inlineStr">
        <is>
          <t>University of Bath</t>
        </is>
      </c>
    </row>
    <row r="1831">
      <c r="A1831" t="inlineStr">
        <is>
          <t>Journal of Transportation Law, Logistics and Policy</t>
        </is>
      </c>
      <c r="B1831" t="inlineStr">
        <is>
          <t>C</t>
        </is>
      </c>
      <c r="C1831" t="n">
        <v>3509</v>
      </c>
      <c r="D1831" t="inlineStr">
        <is>
          <t>Association of Transportation Law Professionals, Inc.</t>
        </is>
      </c>
    </row>
    <row r="1832">
      <c r="A1832" t="inlineStr">
        <is>
          <t>Journal of Transportation Security</t>
        </is>
      </c>
      <c r="B1832" t="inlineStr">
        <is>
          <t>B</t>
        </is>
      </c>
      <c r="C1832" t="n">
        <v>3509</v>
      </c>
      <c r="D1832" t="inlineStr">
        <is>
          <t>Springer International Publishing</t>
        </is>
      </c>
    </row>
    <row r="1833">
      <c r="A1833" t="inlineStr">
        <is>
          <t>Journal of Travel &amp; Tourism Marketing</t>
        </is>
      </c>
      <c r="B1833" t="inlineStr">
        <is>
          <t>A</t>
        </is>
      </c>
      <c r="C1833" t="n">
        <v>3508</v>
      </c>
      <c r="D1833" t="inlineStr">
        <is>
          <t>Taylor &amp; Francis Online</t>
        </is>
      </c>
    </row>
    <row r="1834">
      <c r="A1834" t="inlineStr">
        <is>
          <t>Journal of Travel and Tourism Research</t>
        </is>
      </c>
      <c r="B1834" t="inlineStr">
        <is>
          <t>C</t>
        </is>
      </c>
      <c r="C1834" t="n">
        <v>3508</v>
      </c>
      <c r="D1834" t="inlineStr">
        <is>
          <t>Adnan Menderes University</t>
        </is>
      </c>
    </row>
    <row r="1835">
      <c r="A1835" t="inlineStr">
        <is>
          <t>Journal of Travel Research</t>
        </is>
      </c>
      <c r="B1835" t="inlineStr">
        <is>
          <t>A*</t>
        </is>
      </c>
      <c r="C1835" t="n">
        <v>3508</v>
      </c>
      <c r="D1835" t="inlineStr">
        <is>
          <t>Sage Publications</t>
        </is>
      </c>
    </row>
    <row r="1836">
      <c r="A1836" t="inlineStr">
        <is>
          <t>Journal of Trust Research</t>
        </is>
      </c>
      <c r="B1836" t="inlineStr">
        <is>
          <t>B</t>
        </is>
      </c>
      <c r="C1836" t="n">
        <v>3503</v>
      </c>
      <c r="D1836" t="inlineStr">
        <is>
          <t>Taylor &amp; Francis Online</t>
        </is>
      </c>
    </row>
    <row r="1837">
      <c r="A1837" t="inlineStr">
        <is>
          <t>Journal of University Teaching and Learning Practice</t>
        </is>
      </c>
      <c r="B1837" t="inlineStr">
        <is>
          <t>C</t>
        </is>
      </c>
      <c r="C1837" t="n">
        <v>3507</v>
      </c>
      <c r="D1837" t="inlineStr"/>
    </row>
    <row r="1838">
      <c r="A1838" t="inlineStr">
        <is>
          <t>Journal of Urban Affairs</t>
        </is>
      </c>
      <c r="B1838" t="inlineStr">
        <is>
          <t>A</t>
        </is>
      </c>
      <c r="C1838" t="n">
        <v>3599</v>
      </c>
      <c r="D1838" t="inlineStr">
        <is>
          <t>Taylor &amp; Francis Online</t>
        </is>
      </c>
    </row>
    <row r="1839">
      <c r="A1839" t="inlineStr">
        <is>
          <t>Journal of Urban Economics</t>
        </is>
      </c>
      <c r="B1839" t="inlineStr">
        <is>
          <t>A*</t>
        </is>
      </c>
      <c r="C1839" t="n">
        <v>3801</v>
      </c>
      <c r="D1839" t="inlineStr">
        <is>
          <t>Elsevier</t>
        </is>
      </c>
    </row>
    <row r="1840">
      <c r="A1840" t="inlineStr">
        <is>
          <t>Journal of Urban Planning and Development</t>
        </is>
      </c>
      <c r="B1840" t="inlineStr">
        <is>
          <t>B</t>
        </is>
      </c>
      <c r="C1840" t="n">
        <v>3509</v>
      </c>
      <c r="D1840" t="inlineStr">
        <is>
          <t>American Society of Civil Engineers</t>
        </is>
      </c>
    </row>
    <row r="1841">
      <c r="A1841" t="inlineStr">
        <is>
          <t>Journal of Vacation Marketing</t>
        </is>
      </c>
      <c r="B1841" t="inlineStr">
        <is>
          <t>A</t>
        </is>
      </c>
      <c r="C1841" t="n">
        <v>3508</v>
      </c>
      <c r="D1841" t="inlineStr">
        <is>
          <t>Sage Publications</t>
        </is>
      </c>
    </row>
    <row r="1842">
      <c r="A1842" t="inlineStr">
        <is>
          <t>Journal of Vocational Behavior</t>
        </is>
      </c>
      <c r="B1842" t="inlineStr">
        <is>
          <t>A*</t>
        </is>
      </c>
      <c r="C1842" t="n">
        <v>3507</v>
      </c>
      <c r="D1842" t="inlineStr">
        <is>
          <t>Elsevier</t>
        </is>
      </c>
    </row>
    <row r="1843">
      <c r="A1843" t="inlineStr">
        <is>
          <t>Journal of Vocational Education and Training</t>
        </is>
      </c>
      <c r="B1843" t="inlineStr">
        <is>
          <t>B</t>
        </is>
      </c>
      <c r="C1843" t="n">
        <v>3505</v>
      </c>
      <c r="D1843" t="inlineStr">
        <is>
          <t>Taylor &amp; Francis Online</t>
        </is>
      </c>
    </row>
    <row r="1844">
      <c r="A1844" t="inlineStr">
        <is>
          <t>Journal of Wine Economics</t>
        </is>
      </c>
      <c r="B1844" t="inlineStr">
        <is>
          <t>C</t>
        </is>
      </c>
      <c r="C1844" t="n">
        <v>3801</v>
      </c>
      <c r="D1844" t="inlineStr">
        <is>
          <t>Cambridge University Press</t>
        </is>
      </c>
    </row>
    <row r="1845">
      <c r="A1845" t="inlineStr">
        <is>
          <t>Journal of Workplace Learning</t>
        </is>
      </c>
      <c r="B1845" t="inlineStr">
        <is>
          <t>C</t>
        </is>
      </c>
      <c r="C1845" t="n">
        <v>3505</v>
      </c>
      <c r="D1845" t="inlineStr">
        <is>
          <t>Emerald Publishing</t>
        </is>
      </c>
    </row>
    <row r="1846">
      <c r="A1846" t="inlineStr">
        <is>
          <t>Journal of World Business</t>
        </is>
      </c>
      <c r="B1846" t="inlineStr">
        <is>
          <t>A*</t>
        </is>
      </c>
      <c r="C1846" t="n">
        <v>3507</v>
      </c>
      <c r="D1846" t="inlineStr">
        <is>
          <t>Elsevier</t>
        </is>
      </c>
    </row>
    <row r="1847">
      <c r="A1847" t="inlineStr">
        <is>
          <t>Journal of World Investment and Trade</t>
        </is>
      </c>
      <c r="B1847" t="inlineStr">
        <is>
          <t>A</t>
        </is>
      </c>
      <c r="C1847" t="n">
        <v>4801</v>
      </c>
      <c r="D1847" t="inlineStr">
        <is>
          <t>Brill</t>
        </is>
      </c>
    </row>
    <row r="1848">
      <c r="A1848" t="inlineStr">
        <is>
          <t>Journal of World Trade</t>
        </is>
      </c>
      <c r="B1848" t="inlineStr">
        <is>
          <t>B</t>
        </is>
      </c>
      <c r="C1848" t="n">
        <v>3801</v>
      </c>
      <c r="D1848" t="inlineStr">
        <is>
          <t>Kluwer Law International</t>
        </is>
      </c>
    </row>
    <row r="1849">
      <c r="A1849" t="inlineStr">
        <is>
          <t>Journal Transition Studies Review</t>
        </is>
      </c>
      <c r="B1849" t="inlineStr">
        <is>
          <t>C</t>
        </is>
      </c>
      <c r="C1849" t="n">
        <v>3801</v>
      </c>
      <c r="D1849" t="inlineStr">
        <is>
          <t>Transition Academia Press</t>
        </is>
      </c>
    </row>
    <row r="1850">
      <c r="A1850" t="inlineStr">
        <is>
          <t>Judgment and Decision Making</t>
        </is>
      </c>
      <c r="B1850" t="inlineStr">
        <is>
          <t>A</t>
        </is>
      </c>
      <c r="C1850" t="n">
        <v>3599</v>
      </c>
      <c r="D1850" t="inlineStr">
        <is>
          <t>Society for Judgment and Decision Making</t>
        </is>
      </c>
    </row>
    <row r="1851">
      <c r="A1851" t="inlineStr">
        <is>
          <t>Juridical Review: law journal of Scottish universities</t>
        </is>
      </c>
      <c r="B1851" t="inlineStr">
        <is>
          <t>B</t>
        </is>
      </c>
      <c r="C1851" t="n">
        <v>4801</v>
      </c>
      <c r="D1851" t="inlineStr">
        <is>
          <t>Sweet &amp; Maxwell</t>
        </is>
      </c>
    </row>
    <row r="1852">
      <c r="A1852" t="inlineStr">
        <is>
          <t>Jurnal Akuntansi dan Keuangan Indonesia</t>
        </is>
      </c>
      <c r="B1852" t="inlineStr">
        <is>
          <t>C</t>
        </is>
      </c>
      <c r="C1852" t="n">
        <v>3501</v>
      </c>
      <c r="D1852" t="inlineStr">
        <is>
          <t>Universitas Indonesia</t>
        </is>
      </c>
    </row>
    <row r="1853">
      <c r="A1853" t="inlineStr">
        <is>
          <t>Jurnal Akuntansi Multiparadigma</t>
        </is>
      </c>
      <c r="B1853" t="inlineStr">
        <is>
          <t>C</t>
        </is>
      </c>
      <c r="C1853" t="n">
        <v>3501</v>
      </c>
      <c r="D1853" t="inlineStr">
        <is>
          <t>Universitas Brawijaya, Indonesia</t>
        </is>
      </c>
    </row>
    <row r="1854">
      <c r="A1854" t="inlineStr">
        <is>
          <t>Keio Economic Studies</t>
        </is>
      </c>
      <c r="B1854" t="inlineStr">
        <is>
          <t>C</t>
        </is>
      </c>
      <c r="C1854" t="n">
        <v>3801</v>
      </c>
      <c r="D1854" t="inlineStr">
        <is>
          <t>Japan Publications Trading Co. Ltd</t>
        </is>
      </c>
    </row>
    <row r="1855">
      <c r="A1855" t="inlineStr">
        <is>
          <t>Keizai Kagaku</t>
        </is>
      </c>
      <c r="B1855" t="inlineStr">
        <is>
          <t>C</t>
        </is>
      </c>
      <c r="C1855" t="n">
        <v>3801</v>
      </c>
      <c r="D1855" t="inlineStr">
        <is>
          <t>Nagoya Daigaku Keizai Gakubu</t>
        </is>
      </c>
    </row>
    <row r="1856">
      <c r="A1856" t="inlineStr">
        <is>
          <t>Kerala: an economic review</t>
        </is>
      </c>
      <c r="B1856" t="inlineStr">
        <is>
          <t>C</t>
        </is>
      </c>
      <c r="C1856" t="n">
        <v>3801</v>
      </c>
      <c r="D1856" t="inlineStr">
        <is>
          <t>Trivandrum</t>
        </is>
      </c>
    </row>
    <row r="1857">
      <c r="A1857" t="inlineStr">
        <is>
          <t>King's Law Journal</t>
        </is>
      </c>
      <c r="B1857" t="inlineStr">
        <is>
          <t>B</t>
        </is>
      </c>
      <c r="C1857" t="n">
        <v>4801</v>
      </c>
      <c r="D1857" t="inlineStr">
        <is>
          <t>Taylor &amp; Francis Online</t>
        </is>
      </c>
    </row>
    <row r="1858">
      <c r="A1858" t="inlineStr">
        <is>
          <t>Knowledge and Information Systems</t>
        </is>
      </c>
      <c r="B1858" t="inlineStr">
        <is>
          <t>C</t>
        </is>
      </c>
      <c r="C1858" t="n">
        <v>4609</v>
      </c>
      <c r="D1858" t="inlineStr">
        <is>
          <t>Springer International Publishing</t>
        </is>
      </c>
    </row>
    <row r="1859">
      <c r="A1859" t="inlineStr">
        <is>
          <t>Knowledge and Process Management</t>
        </is>
      </c>
      <c r="B1859" t="inlineStr">
        <is>
          <t>B</t>
        </is>
      </c>
      <c r="C1859" t="n">
        <v>4609</v>
      </c>
      <c r="D1859" t="inlineStr">
        <is>
          <t>Wiley-Blackwell Publishing</t>
        </is>
      </c>
    </row>
    <row r="1860">
      <c r="A1860" t="inlineStr">
        <is>
          <t>Knowledge Management Research and Practice</t>
        </is>
      </c>
      <c r="B1860" t="inlineStr">
        <is>
          <t>A</t>
        </is>
      </c>
      <c r="C1860" t="n">
        <v>4609</v>
      </c>
      <c r="D1860" t="inlineStr">
        <is>
          <t>Taylor &amp; Francis Online</t>
        </is>
      </c>
    </row>
    <row r="1861">
      <c r="A1861" t="inlineStr">
        <is>
          <t>Kobe Economic and Business Review</t>
        </is>
      </c>
      <c r="B1861" t="inlineStr">
        <is>
          <t>C</t>
        </is>
      </c>
      <c r="C1861" t="n">
        <v>3801</v>
      </c>
      <c r="D1861" t="inlineStr">
        <is>
          <t>Kobe University</t>
        </is>
      </c>
    </row>
    <row r="1862">
      <c r="A1862" t="inlineStr">
        <is>
          <t>Kobe University Economic Review</t>
        </is>
      </c>
      <c r="B1862" t="inlineStr">
        <is>
          <t>C</t>
        </is>
      </c>
      <c r="C1862" t="n">
        <v>3801</v>
      </c>
      <c r="D1862" t="inlineStr">
        <is>
          <t>Kobe University</t>
        </is>
      </c>
    </row>
    <row r="1863">
      <c r="A1863" t="inlineStr">
        <is>
          <t>Korea and the World Economy</t>
        </is>
      </c>
      <c r="B1863" t="inlineStr">
        <is>
          <t>C</t>
        </is>
      </c>
      <c r="C1863" t="n">
        <v>3801</v>
      </c>
      <c r="D1863" t="inlineStr">
        <is>
          <t>Association of Korean Economic Studies</t>
        </is>
      </c>
    </row>
    <row r="1864">
      <c r="A1864" t="inlineStr">
        <is>
          <t>Korea Review of International Studies</t>
        </is>
      </c>
      <c r="B1864" t="inlineStr">
        <is>
          <t>C</t>
        </is>
      </c>
      <c r="C1864" t="n">
        <v>3599</v>
      </c>
      <c r="D1864" t="inlineStr">
        <is>
          <t>Global Research Institute Korea University</t>
        </is>
      </c>
    </row>
    <row r="1865">
      <c r="A1865" t="inlineStr">
        <is>
          <t>Korean Accounting Review</t>
        </is>
      </c>
      <c r="B1865" t="inlineStr">
        <is>
          <t>C</t>
        </is>
      </c>
      <c r="C1865" t="n">
        <v>3501</v>
      </c>
      <c r="D1865" t="inlineStr">
        <is>
          <t>The Korean Accounting Association</t>
        </is>
      </c>
    </row>
    <row r="1866">
      <c r="A1866" t="inlineStr">
        <is>
          <t>Kyklos</t>
        </is>
      </c>
      <c r="B1866" t="inlineStr">
        <is>
          <t>A</t>
        </is>
      </c>
      <c r="C1866" t="n">
        <v>3801</v>
      </c>
      <c r="D1866" t="inlineStr">
        <is>
          <t>Wiley-Blackwell Publishing</t>
        </is>
      </c>
    </row>
    <row r="1867">
      <c r="A1867" t="inlineStr">
        <is>
          <t>Kyoto Economic Review</t>
        </is>
      </c>
      <c r="B1867" t="inlineStr">
        <is>
          <t>C</t>
        </is>
      </c>
      <c r="C1867" t="n">
        <v>3801</v>
      </c>
      <c r="D1867" t="inlineStr">
        <is>
          <t>Kyoto University</t>
        </is>
      </c>
    </row>
    <row r="1868">
      <c r="A1868" t="inlineStr">
        <is>
          <t>Labor History</t>
        </is>
      </c>
      <c r="B1868" t="inlineStr">
        <is>
          <t>A</t>
        </is>
      </c>
      <c r="C1868" t="n">
        <v>3505</v>
      </c>
      <c r="D1868" t="inlineStr">
        <is>
          <t>Taylor &amp; Francis Online</t>
        </is>
      </c>
    </row>
    <row r="1869">
      <c r="A1869" t="inlineStr">
        <is>
          <t>Labor Studies Journal</t>
        </is>
      </c>
      <c r="B1869" t="inlineStr">
        <is>
          <t>B</t>
        </is>
      </c>
      <c r="C1869" t="n">
        <v>3505</v>
      </c>
      <c r="D1869" t="inlineStr">
        <is>
          <t>Sage Publications</t>
        </is>
      </c>
    </row>
    <row r="1870">
      <c r="A1870" t="inlineStr">
        <is>
          <t>Labor: Studies in working class history</t>
        </is>
      </c>
      <c r="B1870" t="inlineStr">
        <is>
          <t>B</t>
        </is>
      </c>
      <c r="C1870" t="n">
        <v>3505</v>
      </c>
      <c r="D1870" t="inlineStr">
        <is>
          <t>Duke University Press</t>
        </is>
      </c>
    </row>
    <row r="1871">
      <c r="A1871" t="inlineStr">
        <is>
          <t>Labour</t>
        </is>
      </c>
      <c r="B1871" t="inlineStr">
        <is>
          <t>B</t>
        </is>
      </c>
      <c r="C1871" t="n">
        <v>3505</v>
      </c>
      <c r="D1871" t="inlineStr">
        <is>
          <t>Wiley-Blackwell Publishing</t>
        </is>
      </c>
    </row>
    <row r="1872">
      <c r="A1872" t="inlineStr">
        <is>
          <t>Labour / Le Travail</t>
        </is>
      </c>
      <c r="B1872" t="inlineStr">
        <is>
          <t>B</t>
        </is>
      </c>
      <c r="C1872" t="n">
        <v>3505</v>
      </c>
      <c r="D1872" t="inlineStr">
        <is>
          <t>Committee on Canadian Labour History</t>
        </is>
      </c>
    </row>
    <row r="1873">
      <c r="A1873" t="inlineStr">
        <is>
          <t>Labour &amp; Industry</t>
        </is>
      </c>
      <c r="B1873" t="inlineStr">
        <is>
          <t>B</t>
        </is>
      </c>
      <c r="C1873" t="n">
        <v>3505</v>
      </c>
      <c r="D1873" t="inlineStr">
        <is>
          <t>Taylor &amp; Francis Online</t>
        </is>
      </c>
    </row>
    <row r="1874">
      <c r="A1874" t="inlineStr">
        <is>
          <t>Labour Economics</t>
        </is>
      </c>
      <c r="B1874" t="inlineStr">
        <is>
          <t>A*</t>
        </is>
      </c>
      <c r="C1874" t="n">
        <v>3801</v>
      </c>
      <c r="D1874" t="inlineStr">
        <is>
          <t>Elsevier</t>
        </is>
      </c>
    </row>
    <row r="1875">
      <c r="A1875" t="inlineStr">
        <is>
          <t>Labour History Review</t>
        </is>
      </c>
      <c r="B1875" t="inlineStr">
        <is>
          <t>B</t>
        </is>
      </c>
      <c r="C1875" t="n">
        <v>3505</v>
      </c>
      <c r="D1875" t="inlineStr">
        <is>
          <t>Liverpool University Press</t>
        </is>
      </c>
    </row>
    <row r="1876">
      <c r="A1876" t="inlineStr">
        <is>
          <t>Labour History: a journal of labour and social history</t>
        </is>
      </c>
      <c r="B1876" t="inlineStr">
        <is>
          <t>A</t>
        </is>
      </c>
      <c r="C1876" t="n">
        <v>3505</v>
      </c>
      <c r="D1876" t="inlineStr">
        <is>
          <t>Liverpool University Press</t>
        </is>
      </c>
    </row>
    <row r="1877">
      <c r="A1877" t="inlineStr">
        <is>
          <t>Labour Law Journal</t>
        </is>
      </c>
      <c r="B1877" t="inlineStr">
        <is>
          <t>C</t>
        </is>
      </c>
      <c r="C1877" t="n">
        <v>4801</v>
      </c>
      <c r="D1877" t="inlineStr">
        <is>
          <t>Wolters Kluwer</t>
        </is>
      </c>
    </row>
    <row r="1878">
      <c r="A1878" t="inlineStr">
        <is>
          <t>Lahore Journal of Economics</t>
        </is>
      </c>
      <c r="B1878" t="inlineStr">
        <is>
          <t>C</t>
        </is>
      </c>
      <c r="C1878" t="n">
        <v>3899</v>
      </c>
      <c r="D1878" t="inlineStr">
        <is>
          <t>Lahore School of Economics</t>
        </is>
      </c>
    </row>
    <row r="1879">
      <c r="A1879" t="inlineStr">
        <is>
          <t>Land Economics</t>
        </is>
      </c>
      <c r="B1879" t="inlineStr">
        <is>
          <t>A</t>
        </is>
      </c>
      <c r="C1879" t="n">
        <v>3801</v>
      </c>
      <c r="D1879" t="inlineStr">
        <is>
          <t>University of Wisconsin Press</t>
        </is>
      </c>
    </row>
    <row r="1880">
      <c r="A1880" t="inlineStr">
        <is>
          <t>Land Use Policy</t>
        </is>
      </c>
      <c r="B1880" t="inlineStr">
        <is>
          <t>A</t>
        </is>
      </c>
      <c r="C1880" t="n">
        <v>3599</v>
      </c>
      <c r="D1880" t="inlineStr">
        <is>
          <t>Elsevier</t>
        </is>
      </c>
    </row>
    <row r="1881">
      <c r="A1881" t="inlineStr">
        <is>
          <t>Language &amp; Communication</t>
        </is>
      </c>
      <c r="B1881" t="inlineStr">
        <is>
          <t>B</t>
        </is>
      </c>
      <c r="C1881" t="n">
        <v>3599</v>
      </c>
      <c r="D1881" t="inlineStr">
        <is>
          <t>Elsevier</t>
        </is>
      </c>
    </row>
    <row r="1882">
      <c r="A1882" t="inlineStr">
        <is>
          <t>Latin American Journal of Economics</t>
        </is>
      </c>
      <c r="B1882" t="inlineStr">
        <is>
          <t>C</t>
        </is>
      </c>
      <c r="C1882" t="n">
        <v>3899</v>
      </c>
      <c r="D1882" t="inlineStr">
        <is>
          <t>Pontificia Universidad Catolica de Chile</t>
        </is>
      </c>
    </row>
    <row r="1883">
      <c r="A1883" t="inlineStr">
        <is>
          <t>Law and Financial Markets Review</t>
        </is>
      </c>
      <c r="B1883" t="inlineStr">
        <is>
          <t>B</t>
        </is>
      </c>
      <c r="C1883" t="n">
        <v>4801</v>
      </c>
      <c r="D1883" t="inlineStr">
        <is>
          <t>Taylor &amp; Francis Online</t>
        </is>
      </c>
    </row>
    <row r="1884">
      <c r="A1884" t="inlineStr">
        <is>
          <t>Law and Policy</t>
        </is>
      </c>
      <c r="B1884" t="inlineStr">
        <is>
          <t>A</t>
        </is>
      </c>
      <c r="C1884" t="n">
        <v>4801</v>
      </c>
      <c r="D1884" t="inlineStr">
        <is>
          <t>Wiley-Blackwell Publishing</t>
        </is>
      </c>
    </row>
    <row r="1885">
      <c r="A1885" t="inlineStr">
        <is>
          <t>Law Quarterly Review</t>
        </is>
      </c>
      <c r="B1885" t="inlineStr">
        <is>
          <t>A*</t>
        </is>
      </c>
      <c r="C1885" t="n">
        <v>4801</v>
      </c>
      <c r="D1885" t="inlineStr">
        <is>
          <t>Sweet &amp; Maxwell</t>
        </is>
      </c>
    </row>
    <row r="1886">
      <c r="A1886" t="inlineStr">
        <is>
          <t>Leadership</t>
        </is>
      </c>
      <c r="B1886" t="inlineStr">
        <is>
          <t>B</t>
        </is>
      </c>
      <c r="C1886" t="n">
        <v>3507</v>
      </c>
      <c r="D1886" t="inlineStr">
        <is>
          <t>Sage Publications</t>
        </is>
      </c>
    </row>
    <row r="1887">
      <c r="A1887" t="inlineStr">
        <is>
          <t>Leadership &amp; Organization Development Journal</t>
        </is>
      </c>
      <c r="B1887" t="inlineStr">
        <is>
          <t>B</t>
        </is>
      </c>
      <c r="C1887" t="n">
        <v>3507</v>
      </c>
      <c r="D1887" t="inlineStr">
        <is>
          <t>Emerald Group Publishing</t>
        </is>
      </c>
    </row>
    <row r="1888">
      <c r="A1888" t="inlineStr">
        <is>
          <t>Leadership in Health Services</t>
        </is>
      </c>
      <c r="B1888" t="inlineStr">
        <is>
          <t>C</t>
        </is>
      </c>
      <c r="C1888" t="n">
        <v>3507</v>
      </c>
      <c r="D1888" t="inlineStr">
        <is>
          <t>Emerald Group Publishing</t>
        </is>
      </c>
    </row>
    <row r="1889">
      <c r="A1889" t="inlineStr">
        <is>
          <t>Legal Education Review</t>
        </is>
      </c>
      <c r="B1889" t="inlineStr">
        <is>
          <t>C</t>
        </is>
      </c>
      <c r="C1889" t="n">
        <v>4801</v>
      </c>
      <c r="D1889" t="inlineStr">
        <is>
          <t>Australasian Law Academics Association</t>
        </is>
      </c>
    </row>
    <row r="1890">
      <c r="A1890" t="inlineStr">
        <is>
          <t>Legal Issues in Business</t>
        </is>
      </c>
      <c r="B1890" t="inlineStr">
        <is>
          <t>C</t>
        </is>
      </c>
      <c r="C1890" t="n">
        <v>4801</v>
      </c>
      <c r="D1890" t="inlineStr">
        <is>
          <t>Curtin University</t>
        </is>
      </c>
    </row>
    <row r="1891">
      <c r="A1891" t="inlineStr">
        <is>
          <t>Legal Issues of Economic Integration</t>
        </is>
      </c>
      <c r="B1891" t="inlineStr">
        <is>
          <t>A</t>
        </is>
      </c>
      <c r="C1891" t="n">
        <v>4801</v>
      </c>
      <c r="D1891" t="inlineStr">
        <is>
          <t>Kluwer Law International</t>
        </is>
      </c>
    </row>
    <row r="1892">
      <c r="A1892" t="inlineStr">
        <is>
          <t>Leisure</t>
        </is>
      </c>
      <c r="B1892" t="inlineStr">
        <is>
          <t>B</t>
        </is>
      </c>
      <c r="C1892" t="n">
        <v>3504</v>
      </c>
      <c r="D1892" t="inlineStr">
        <is>
          <t>Taylor &amp; Francis Online</t>
        </is>
      </c>
    </row>
    <row r="1893">
      <c r="A1893" t="inlineStr">
        <is>
          <t>Leisure Sciences: an interdisciplinary journal</t>
        </is>
      </c>
      <c r="B1893" t="inlineStr">
        <is>
          <t>A</t>
        </is>
      </c>
      <c r="C1893" t="n">
        <v>3504</v>
      </c>
      <c r="D1893" t="inlineStr">
        <is>
          <t>Taylor &amp; Francis Online</t>
        </is>
      </c>
    </row>
    <row r="1894">
      <c r="A1894" t="inlineStr">
        <is>
          <t>Leisure Studies</t>
        </is>
      </c>
      <c r="B1894" t="inlineStr">
        <is>
          <t>A</t>
        </is>
      </c>
      <c r="C1894" t="n">
        <v>3504</v>
      </c>
      <c r="D1894" t="inlineStr">
        <is>
          <t>Taylor &amp; Francis Online</t>
        </is>
      </c>
    </row>
    <row r="1895">
      <c r="A1895" t="inlineStr">
        <is>
          <t>Les Cahiers Scientifiques du Transport / Scientific Papers in Transportation</t>
        </is>
      </c>
      <c r="B1895" t="inlineStr">
        <is>
          <t>C</t>
        </is>
      </c>
      <c r="C1895" t="n">
        <v>3509</v>
      </c>
      <c r="D1895" t="inlineStr">
        <is>
          <t>Association Francaise des Instituts de Transport et de Logistique</t>
        </is>
      </c>
    </row>
    <row r="1896">
      <c r="A1896" t="inlineStr">
        <is>
          <t>Letters in Spatial and Resource Science</t>
        </is>
      </c>
      <c r="B1896" t="inlineStr">
        <is>
          <t>C</t>
        </is>
      </c>
      <c r="C1896" t="n">
        <v>3801</v>
      </c>
      <c r="D1896" t="inlineStr">
        <is>
          <t>Springer Nature</t>
        </is>
      </c>
    </row>
    <row r="1897">
      <c r="A1897" t="inlineStr">
        <is>
          <t>Library Management</t>
        </is>
      </c>
      <c r="B1897" t="inlineStr">
        <is>
          <t>C</t>
        </is>
      </c>
      <c r="C1897" t="n">
        <v>4609</v>
      </c>
      <c r="D1897" t="inlineStr">
        <is>
          <t>Emerald Group Publishing</t>
        </is>
      </c>
    </row>
    <row r="1898">
      <c r="A1898" t="inlineStr">
        <is>
          <t>Lifetime Data Analysis: an international journal devoted to the methods and applications of reliability and survival analysis</t>
        </is>
      </c>
      <c r="B1898" t="inlineStr">
        <is>
          <t>B</t>
        </is>
      </c>
      <c r="C1898" t="n">
        <v>4905</v>
      </c>
      <c r="D1898" t="inlineStr">
        <is>
          <t>Springer International Publishing</t>
        </is>
      </c>
    </row>
    <row r="1899">
      <c r="A1899" t="inlineStr">
        <is>
          <t>Lloyd's Maritime and Commercial Law Quarterly</t>
        </is>
      </c>
      <c r="B1899" t="inlineStr">
        <is>
          <t>A</t>
        </is>
      </c>
      <c r="C1899" t="n">
        <v>4801</v>
      </c>
      <c r="D1899" t="inlineStr">
        <is>
          <t>Informa Law</t>
        </is>
      </c>
    </row>
    <row r="1900">
      <c r="A1900" t="inlineStr">
        <is>
          <t>Lloyd's Shipping and Trade Law</t>
        </is>
      </c>
      <c r="B1900" t="inlineStr">
        <is>
          <t>B</t>
        </is>
      </c>
      <c r="C1900" t="n">
        <v>4801</v>
      </c>
      <c r="D1900" t="inlineStr">
        <is>
          <t>Informa UK</t>
        </is>
      </c>
    </row>
    <row r="1901">
      <c r="A1901" t="inlineStr">
        <is>
          <t>Local Economy</t>
        </is>
      </c>
      <c r="B1901" t="inlineStr">
        <is>
          <t>C</t>
        </is>
      </c>
      <c r="C1901" t="n">
        <v>3801</v>
      </c>
      <c r="D1901" t="inlineStr">
        <is>
          <t>Sage Publications</t>
        </is>
      </c>
    </row>
    <row r="1902">
      <c r="A1902" t="inlineStr">
        <is>
          <t>Local Government Studies</t>
        </is>
      </c>
      <c r="B1902" t="inlineStr">
        <is>
          <t>A</t>
        </is>
      </c>
      <c r="C1902" t="n">
        <v>3599</v>
      </c>
      <c r="D1902" t="inlineStr">
        <is>
          <t>Taylor &amp; Francis Online</t>
        </is>
      </c>
    </row>
    <row r="1903">
      <c r="A1903" t="inlineStr">
        <is>
          <t>Loisir et Societe (Society and Leisure)</t>
        </is>
      </c>
      <c r="B1903" t="inlineStr">
        <is>
          <t>B</t>
        </is>
      </c>
      <c r="C1903" t="n">
        <v>3504</v>
      </c>
      <c r="D1903" t="inlineStr">
        <is>
          <t>Taylor &amp; Francis Online</t>
        </is>
      </c>
    </row>
    <row r="1904">
      <c r="A1904" t="inlineStr">
        <is>
          <t>Long Range Planning</t>
        </is>
      </c>
      <c r="B1904" t="inlineStr">
        <is>
          <t>A*</t>
        </is>
      </c>
      <c r="C1904" t="n">
        <v>3507</v>
      </c>
      <c r="D1904" t="inlineStr">
        <is>
          <t>Elsevier</t>
        </is>
      </c>
    </row>
    <row r="1905">
      <c r="A1905" t="inlineStr">
        <is>
          <t>Macquarie Journal of Business Law</t>
        </is>
      </c>
      <c r="B1905" t="inlineStr">
        <is>
          <t>C</t>
        </is>
      </c>
      <c r="C1905" t="n">
        <v>4801</v>
      </c>
      <c r="D1905" t="inlineStr">
        <is>
          <t>Macquarie University, Division of Law</t>
        </is>
      </c>
    </row>
    <row r="1906">
      <c r="A1906" t="inlineStr">
        <is>
          <t>Macquarie Law Journal</t>
        </is>
      </c>
      <c r="B1906" t="inlineStr">
        <is>
          <t>C</t>
        </is>
      </c>
      <c r="C1906" t="n">
        <v>4801</v>
      </c>
      <c r="D1906" t="inlineStr">
        <is>
          <t>Macquarie University, Division of Law</t>
        </is>
      </c>
    </row>
    <row r="1907">
      <c r="A1907" t="inlineStr">
        <is>
          <t>Macroeconomic Dynamics</t>
        </is>
      </c>
      <c r="B1907" t="inlineStr">
        <is>
          <t>A</t>
        </is>
      </c>
      <c r="C1907" t="n">
        <v>3801</v>
      </c>
      <c r="D1907" t="inlineStr">
        <is>
          <t>Cambridge University Press</t>
        </is>
      </c>
    </row>
    <row r="1908">
      <c r="A1908" t="inlineStr">
        <is>
          <t>Macroeconomics and Finance in Emerging Market Economies</t>
        </is>
      </c>
      <c r="B1908" t="inlineStr">
        <is>
          <t>C</t>
        </is>
      </c>
      <c r="C1908" t="n">
        <v>3803</v>
      </c>
      <c r="D1908" t="inlineStr">
        <is>
          <t>Taylor &amp; Francis Online</t>
        </is>
      </c>
    </row>
    <row r="1909">
      <c r="A1909" t="inlineStr">
        <is>
          <t>Malayan Law Journal</t>
        </is>
      </c>
      <c r="B1909" t="inlineStr">
        <is>
          <t>C</t>
        </is>
      </c>
      <c r="C1909" t="n">
        <v>4801</v>
      </c>
      <c r="D1909" t="inlineStr">
        <is>
          <t>LexisNexis</t>
        </is>
      </c>
    </row>
    <row r="1910">
      <c r="A1910" t="inlineStr">
        <is>
          <t>Malaysian Journal of Economic Studies</t>
        </is>
      </c>
      <c r="B1910" t="inlineStr">
        <is>
          <t>C</t>
        </is>
      </c>
      <c r="C1910" t="n">
        <v>3801</v>
      </c>
      <c r="D1910" t="inlineStr">
        <is>
          <t>Malaysian Economic Association</t>
        </is>
      </c>
    </row>
    <row r="1911">
      <c r="A1911" t="inlineStr">
        <is>
          <t>Management</t>
        </is>
      </c>
      <c r="B1911" t="inlineStr">
        <is>
          <t>B</t>
        </is>
      </c>
      <c r="C1911" t="n">
        <v>3507</v>
      </c>
      <c r="D1911" t="inlineStr">
        <is>
          <t>International Strategic Management Association</t>
        </is>
      </c>
    </row>
    <row r="1912">
      <c r="A1912" t="inlineStr">
        <is>
          <t>Management &amp; Organizational History</t>
        </is>
      </c>
      <c r="B1912" t="inlineStr">
        <is>
          <t>C</t>
        </is>
      </c>
      <c r="C1912" t="n">
        <v>3505</v>
      </c>
      <c r="D1912" t="inlineStr">
        <is>
          <t>Sage Publications</t>
        </is>
      </c>
    </row>
    <row r="1913">
      <c r="A1913" t="inlineStr">
        <is>
          <t>Management &amp; Sustainability: An Arab Review</t>
        </is>
      </c>
      <c r="B1913" t="inlineStr">
        <is>
          <t>C</t>
        </is>
      </c>
      <c r="C1913" t="n">
        <v>3507</v>
      </c>
      <c r="D1913" t="inlineStr">
        <is>
          <t>Emerald Publishing</t>
        </is>
      </c>
    </row>
    <row r="1914">
      <c r="A1914" t="inlineStr">
        <is>
          <t>Management Accounting Frontiers</t>
        </is>
      </c>
      <c r="B1914" t="inlineStr">
        <is>
          <t>C</t>
        </is>
      </c>
      <c r="C1914" t="n">
        <v>3501</v>
      </c>
      <c r="D1914" t="inlineStr">
        <is>
          <t>The Institute of Certified Management Accountants</t>
        </is>
      </c>
    </row>
    <row r="1915">
      <c r="A1915" t="inlineStr">
        <is>
          <t>Management Accounting Quarterly</t>
        </is>
      </c>
      <c r="B1915" t="inlineStr">
        <is>
          <t>C</t>
        </is>
      </c>
      <c r="C1915" t="n">
        <v>3501</v>
      </c>
      <c r="D1915" t="inlineStr">
        <is>
          <t>Institute of Management Accountants, Inc.</t>
        </is>
      </c>
    </row>
    <row r="1916">
      <c r="A1916" t="inlineStr">
        <is>
          <t>Management Accounting Research</t>
        </is>
      </c>
      <c r="B1916" t="inlineStr">
        <is>
          <t>A*</t>
        </is>
      </c>
      <c r="C1916" t="n">
        <v>3501</v>
      </c>
      <c r="D1916" t="inlineStr">
        <is>
          <t>Elsevier</t>
        </is>
      </c>
    </row>
    <row r="1917">
      <c r="A1917" t="inlineStr">
        <is>
          <t>Management and Accounting Review</t>
        </is>
      </c>
      <c r="B1917" t="inlineStr">
        <is>
          <t>C</t>
        </is>
      </c>
      <c r="C1917" t="n">
        <v>3501</v>
      </c>
      <c r="D1917" t="inlineStr">
        <is>
          <t>Universiti Teknologi MARA</t>
        </is>
      </c>
    </row>
    <row r="1918">
      <c r="A1918" t="inlineStr">
        <is>
          <t>Management and Labour Studies</t>
        </is>
      </c>
      <c r="B1918" t="inlineStr">
        <is>
          <t>C</t>
        </is>
      </c>
      <c r="C1918" t="n">
        <v>3505</v>
      </c>
      <c r="D1918" t="inlineStr">
        <is>
          <t>Sage Publications</t>
        </is>
      </c>
    </row>
    <row r="1919">
      <c r="A1919" t="inlineStr">
        <is>
          <t>Management and Organization Review</t>
        </is>
      </c>
      <c r="B1919" t="inlineStr">
        <is>
          <t>A</t>
        </is>
      </c>
      <c r="C1919" t="n">
        <v>3507</v>
      </c>
      <c r="D1919" t="inlineStr">
        <is>
          <t>Cambridge University Press</t>
        </is>
      </c>
    </row>
    <row r="1920">
      <c r="A1920" t="inlineStr">
        <is>
          <t>Management Communication Quarterly</t>
        </is>
      </c>
      <c r="B1920" t="inlineStr">
        <is>
          <t>B</t>
        </is>
      </c>
      <c r="C1920" t="n">
        <v>3507</v>
      </c>
      <c r="D1920" t="inlineStr">
        <is>
          <t>Sage Publications</t>
        </is>
      </c>
    </row>
    <row r="1921">
      <c r="A1921" t="inlineStr">
        <is>
          <t>Management Control</t>
        </is>
      </c>
      <c r="B1921" t="inlineStr">
        <is>
          <t>C</t>
        </is>
      </c>
      <c r="C1921" t="n">
        <v>3501</v>
      </c>
      <c r="D1921" t="inlineStr">
        <is>
          <t>Franco Angeli</t>
        </is>
      </c>
    </row>
    <row r="1922">
      <c r="A1922" t="inlineStr">
        <is>
          <t>Management Decision</t>
        </is>
      </c>
      <c r="B1922" t="inlineStr">
        <is>
          <t>B</t>
        </is>
      </c>
      <c r="C1922" t="n">
        <v>3507</v>
      </c>
      <c r="D1922" t="inlineStr">
        <is>
          <t>Emerald Group Publishing</t>
        </is>
      </c>
    </row>
    <row r="1923">
      <c r="A1923" t="inlineStr">
        <is>
          <t>Management International Review</t>
        </is>
      </c>
      <c r="B1923" t="inlineStr">
        <is>
          <t>A</t>
        </is>
      </c>
      <c r="C1923" t="n">
        <v>3507</v>
      </c>
      <c r="D1923" t="inlineStr">
        <is>
          <t>Springer International Publishing</t>
        </is>
      </c>
    </row>
    <row r="1924">
      <c r="A1924" t="inlineStr">
        <is>
          <t>Management Learning</t>
        </is>
      </c>
      <c r="B1924" t="inlineStr">
        <is>
          <t>A</t>
        </is>
      </c>
      <c r="C1924" t="n">
        <v>3507</v>
      </c>
      <c r="D1924" t="inlineStr">
        <is>
          <t>Sage Publications</t>
        </is>
      </c>
    </row>
    <row r="1925">
      <c r="A1925" t="inlineStr">
        <is>
          <t>Management of Environmental Quality</t>
        </is>
      </c>
      <c r="B1925" t="inlineStr">
        <is>
          <t>C</t>
        </is>
      </c>
      <c r="C1925" t="n">
        <v>3599</v>
      </c>
      <c r="D1925" t="inlineStr">
        <is>
          <t>Emerald Publishing</t>
        </is>
      </c>
    </row>
    <row r="1926">
      <c r="A1926" t="inlineStr">
        <is>
          <t>Management Research</t>
        </is>
      </c>
      <c r="B1926" t="inlineStr">
        <is>
          <t>C</t>
        </is>
      </c>
      <c r="C1926" t="n">
        <v>3507</v>
      </c>
      <c r="D1926" t="inlineStr">
        <is>
          <t>Emerald Group Publishing</t>
        </is>
      </c>
    </row>
    <row r="1927">
      <c r="A1927" t="inlineStr">
        <is>
          <t>Management Research Review</t>
        </is>
      </c>
      <c r="B1927" t="inlineStr">
        <is>
          <t>C</t>
        </is>
      </c>
      <c r="C1927" t="n">
        <v>3507</v>
      </c>
      <c r="D1927" t="inlineStr">
        <is>
          <t>Emerald Group Publishing</t>
        </is>
      </c>
    </row>
    <row r="1928">
      <c r="A1928" t="inlineStr">
        <is>
          <t>Management Review Quarterly</t>
        </is>
      </c>
      <c r="B1928" t="inlineStr">
        <is>
          <t>B</t>
        </is>
      </c>
      <c r="C1928" t="n">
        <v>3507</v>
      </c>
      <c r="D1928" t="inlineStr">
        <is>
          <t>Springer International Publishing</t>
        </is>
      </c>
    </row>
    <row r="1929">
      <c r="A1929" t="inlineStr">
        <is>
          <t>Management Science</t>
        </is>
      </c>
      <c r="B1929" t="inlineStr">
        <is>
          <t>A*</t>
        </is>
      </c>
      <c r="C1929" t="n">
        <v>3507</v>
      </c>
      <c r="D1929" t="inlineStr">
        <is>
          <t>INFORMS</t>
        </is>
      </c>
    </row>
    <row r="1930">
      <c r="A1930" t="inlineStr">
        <is>
          <t>Management Teaching Review</t>
        </is>
      </c>
      <c r="B1930" t="inlineStr">
        <is>
          <t>C</t>
        </is>
      </c>
      <c r="C1930" t="n">
        <v>3507</v>
      </c>
      <c r="D1930" t="inlineStr">
        <is>
          <t>Sage Publications</t>
        </is>
      </c>
    </row>
    <row r="1931">
      <c r="A1931" t="inlineStr">
        <is>
          <t>Management: Journal of Contemporary Management Issues</t>
        </is>
      </c>
      <c r="B1931" t="inlineStr">
        <is>
          <t>C</t>
        </is>
      </c>
      <c r="C1931" t="n">
        <v>3507</v>
      </c>
      <c r="D1931" t="inlineStr">
        <is>
          <t>University of Split</t>
        </is>
      </c>
    </row>
    <row r="1932">
      <c r="A1932" t="inlineStr">
        <is>
          <t>Managerial and Decision Economics</t>
        </is>
      </c>
      <c r="B1932" t="inlineStr">
        <is>
          <t>B</t>
        </is>
      </c>
      <c r="C1932" t="n">
        <v>3801</v>
      </c>
      <c r="D1932" t="inlineStr">
        <is>
          <t>Wiley-Blackwell Publishing</t>
        </is>
      </c>
    </row>
    <row r="1933">
      <c r="A1933" t="inlineStr">
        <is>
          <t>Managerial Auditing Journal</t>
        </is>
      </c>
      <c r="B1933" t="inlineStr">
        <is>
          <t>A</t>
        </is>
      </c>
      <c r="C1933" t="n">
        <v>3501</v>
      </c>
      <c r="D1933" t="inlineStr">
        <is>
          <t>Emerald Group Publishing</t>
        </is>
      </c>
    </row>
    <row r="1934">
      <c r="A1934" t="inlineStr">
        <is>
          <t>Managerial Finance</t>
        </is>
      </c>
      <c r="B1934" t="inlineStr">
        <is>
          <t>B</t>
        </is>
      </c>
      <c r="C1934" t="n">
        <v>3502</v>
      </c>
      <c r="D1934" t="inlineStr">
        <is>
          <t>Emerald Group Publishing</t>
        </is>
      </c>
    </row>
    <row r="1935">
      <c r="A1935" t="inlineStr">
        <is>
          <t>Managing Sport and Leisure</t>
        </is>
      </c>
      <c r="B1935" t="inlineStr">
        <is>
          <t>B</t>
        </is>
      </c>
      <c r="C1935" t="n">
        <v>3504</v>
      </c>
      <c r="D1935" t="inlineStr">
        <is>
          <t>Taylor &amp; Francis Online</t>
        </is>
      </c>
    </row>
    <row r="1936">
      <c r="A1936" t="inlineStr">
        <is>
          <t>Manchester Journal of International Economic Law</t>
        </is>
      </c>
      <c r="B1936" t="inlineStr">
        <is>
          <t>C</t>
        </is>
      </c>
      <c r="C1936" t="n">
        <v>4801</v>
      </c>
      <c r="D1936" t="inlineStr">
        <is>
          <t>ElectronicPublications</t>
        </is>
      </c>
    </row>
    <row r="1937">
      <c r="A1937" t="inlineStr">
        <is>
          <t>Manchester School</t>
        </is>
      </c>
      <c r="B1937" t="inlineStr">
        <is>
          <t>B</t>
        </is>
      </c>
      <c r="C1937" t="n">
        <v>3801</v>
      </c>
      <c r="D1937" t="inlineStr">
        <is>
          <t>Wiley-Blackwell Publishing</t>
        </is>
      </c>
    </row>
    <row r="1938">
      <c r="A1938" t="inlineStr">
        <is>
          <t>Manufacturing and Service Operations Management</t>
        </is>
      </c>
      <c r="B1938" t="inlineStr">
        <is>
          <t>A*</t>
        </is>
      </c>
      <c r="C1938" t="n">
        <v>3509</v>
      </c>
      <c r="D1938" t="inlineStr">
        <is>
          <t>INFORMS</t>
        </is>
      </c>
    </row>
    <row r="1939">
      <c r="A1939" t="inlineStr">
        <is>
          <t>Margin: The journal of applied economic research</t>
        </is>
      </c>
      <c r="B1939" t="inlineStr">
        <is>
          <t>C</t>
        </is>
      </c>
      <c r="C1939" t="n">
        <v>3801</v>
      </c>
      <c r="D1939" t="inlineStr">
        <is>
          <t>Sage Publications</t>
        </is>
      </c>
    </row>
    <row r="1940">
      <c r="A1940" t="inlineStr">
        <is>
          <t>Marine Policy</t>
        </is>
      </c>
      <c r="B1940" t="inlineStr">
        <is>
          <t>A</t>
        </is>
      </c>
      <c r="C1940" t="n">
        <v>4801</v>
      </c>
      <c r="D1940" t="inlineStr">
        <is>
          <t>Elsevier</t>
        </is>
      </c>
    </row>
    <row r="1941">
      <c r="A1941" t="inlineStr">
        <is>
          <t>Marine Resource Economics</t>
        </is>
      </c>
      <c r="B1941" t="inlineStr">
        <is>
          <t>A</t>
        </is>
      </c>
      <c r="C1941" t="n">
        <v>3801</v>
      </c>
      <c r="D1941" t="inlineStr">
        <is>
          <t>University of Chicago Press</t>
        </is>
      </c>
    </row>
    <row r="1942">
      <c r="A1942" t="inlineStr">
        <is>
          <t>Maritime Business Review</t>
        </is>
      </c>
      <c r="B1942" t="inlineStr">
        <is>
          <t>C</t>
        </is>
      </c>
      <c r="C1942" t="n">
        <v>3509</v>
      </c>
      <c r="D1942" t="inlineStr">
        <is>
          <t>Emerald</t>
        </is>
      </c>
    </row>
    <row r="1943">
      <c r="A1943" t="inlineStr">
        <is>
          <t>Maritime Economics &amp; Logistics</t>
        </is>
      </c>
      <c r="B1943" t="inlineStr">
        <is>
          <t>B</t>
        </is>
      </c>
      <c r="C1943" t="n">
        <v>3801</v>
      </c>
      <c r="D1943" t="inlineStr">
        <is>
          <t>Springer International Publishing</t>
        </is>
      </c>
    </row>
    <row r="1944">
      <c r="A1944" t="inlineStr">
        <is>
          <t>Maritime Policy and Management</t>
        </is>
      </c>
      <c r="B1944" t="inlineStr">
        <is>
          <t>B</t>
        </is>
      </c>
      <c r="C1944" t="n">
        <v>3509</v>
      </c>
      <c r="D1944" t="inlineStr">
        <is>
          <t>Taylor &amp; Francis Online</t>
        </is>
      </c>
    </row>
    <row r="1945">
      <c r="A1945" t="inlineStr">
        <is>
          <t>Market Microstructure and Liquidity</t>
        </is>
      </c>
      <c r="B1945" t="inlineStr">
        <is>
          <t>B</t>
        </is>
      </c>
      <c r="C1945" t="n">
        <v>3502</v>
      </c>
      <c r="D1945" t="inlineStr">
        <is>
          <t>World Scientific</t>
        </is>
      </c>
    </row>
    <row r="1946">
      <c r="A1946" t="inlineStr">
        <is>
          <t>Marketing Bulletin</t>
        </is>
      </c>
      <c r="B1946" t="inlineStr">
        <is>
          <t>C</t>
        </is>
      </c>
      <c r="C1946" t="n">
        <v>3506</v>
      </c>
      <c r="D1946" t="inlineStr">
        <is>
          <t>Massey University</t>
        </is>
      </c>
    </row>
    <row r="1947">
      <c r="A1947" t="inlineStr">
        <is>
          <t>Marketing Education Review</t>
        </is>
      </c>
      <c r="B1947" t="inlineStr">
        <is>
          <t>C</t>
        </is>
      </c>
      <c r="C1947" t="n">
        <v>3506</v>
      </c>
      <c r="D1947" t="inlineStr">
        <is>
          <t>Taylor &amp; Francis Online</t>
        </is>
      </c>
    </row>
    <row r="1948">
      <c r="A1948" t="inlineStr">
        <is>
          <t>Marketing Health Services</t>
        </is>
      </c>
      <c r="B1948" t="inlineStr">
        <is>
          <t>C</t>
        </is>
      </c>
      <c r="C1948" t="n">
        <v>3506</v>
      </c>
      <c r="D1948" t="inlineStr">
        <is>
          <t>American Marketing Association</t>
        </is>
      </c>
    </row>
    <row r="1949">
      <c r="A1949" t="inlineStr">
        <is>
          <t>Marketing Intelligence &amp; Planning</t>
        </is>
      </c>
      <c r="B1949" t="inlineStr">
        <is>
          <t>A</t>
        </is>
      </c>
      <c r="C1949" t="n">
        <v>3506</v>
      </c>
      <c r="D1949" t="inlineStr">
        <is>
          <t>Emerald Group Publishing</t>
        </is>
      </c>
    </row>
    <row r="1950">
      <c r="A1950" t="inlineStr">
        <is>
          <t>Marketing Letters</t>
        </is>
      </c>
      <c r="B1950" t="inlineStr">
        <is>
          <t>A</t>
        </is>
      </c>
      <c r="C1950" t="n">
        <v>3506</v>
      </c>
      <c r="D1950" t="inlineStr">
        <is>
          <t>Springer International Publishing</t>
        </is>
      </c>
    </row>
    <row r="1951">
      <c r="A1951" t="inlineStr">
        <is>
          <t>Marketing Science</t>
        </is>
      </c>
      <c r="B1951" t="inlineStr">
        <is>
          <t>A*</t>
        </is>
      </c>
      <c r="C1951" t="n">
        <v>3506</v>
      </c>
      <c r="D1951" t="inlineStr">
        <is>
          <t>INFORMS</t>
        </is>
      </c>
    </row>
    <row r="1952">
      <c r="A1952" t="inlineStr">
        <is>
          <t>Marketing Theory</t>
        </is>
      </c>
      <c r="B1952" t="inlineStr">
        <is>
          <t>A</t>
        </is>
      </c>
      <c r="C1952" t="n">
        <v>3506</v>
      </c>
      <c r="D1952" t="inlineStr">
        <is>
          <t>Sage Publications</t>
        </is>
      </c>
    </row>
    <row r="1953">
      <c r="A1953" t="inlineStr">
        <is>
          <t>Mathematical Finance</t>
        </is>
      </c>
      <c r="B1953" t="inlineStr">
        <is>
          <t>A</t>
        </is>
      </c>
      <c r="C1953" t="n">
        <v>3502</v>
      </c>
      <c r="D1953" t="inlineStr">
        <is>
          <t>Wiley-Blackwell Publishing</t>
        </is>
      </c>
    </row>
    <row r="1954">
      <c r="A1954" t="inlineStr">
        <is>
          <t>Mathematical Methods in Economics and Finance</t>
        </is>
      </c>
      <c r="B1954" t="inlineStr">
        <is>
          <t>C</t>
        </is>
      </c>
      <c r="C1954" t="n">
        <v>3502</v>
      </c>
      <c r="D1954" t="inlineStr">
        <is>
          <t>Universite Ca Foscari Venezia</t>
        </is>
      </c>
    </row>
    <row r="1955">
      <c r="A1955" t="inlineStr">
        <is>
          <t>Mathematical Methods of Statistics</t>
        </is>
      </c>
      <c r="B1955" t="inlineStr">
        <is>
          <t>B</t>
        </is>
      </c>
      <c r="C1955" t="n">
        <v>4905</v>
      </c>
      <c r="D1955" t="inlineStr">
        <is>
          <t>Springer International Publishing</t>
        </is>
      </c>
    </row>
    <row r="1956">
      <c r="A1956" t="inlineStr">
        <is>
          <t>Mathematical Social Sciences</t>
        </is>
      </c>
      <c r="B1956" t="inlineStr">
        <is>
          <t>A</t>
        </is>
      </c>
      <c r="C1956" t="n">
        <v>3801</v>
      </c>
      <c r="D1956" t="inlineStr">
        <is>
          <t>Elsevier</t>
        </is>
      </c>
    </row>
    <row r="1957">
      <c r="A1957" t="inlineStr">
        <is>
          <t>Mathematics and Financial Economics</t>
        </is>
      </c>
      <c r="B1957" t="inlineStr">
        <is>
          <t>C</t>
        </is>
      </c>
      <c r="C1957" t="n">
        <v>3801</v>
      </c>
      <c r="D1957" t="inlineStr">
        <is>
          <t>Springer International Publishing</t>
        </is>
      </c>
    </row>
    <row r="1958">
      <c r="A1958" t="inlineStr">
        <is>
          <t>Mathematics of Operations Research</t>
        </is>
      </c>
      <c r="B1958" t="inlineStr">
        <is>
          <t>A</t>
        </is>
      </c>
      <c r="C1958" t="n">
        <v>3507</v>
      </c>
      <c r="D1958" t="inlineStr">
        <is>
          <t>INFORMS</t>
        </is>
      </c>
    </row>
    <row r="1959">
      <c r="A1959" t="inlineStr">
        <is>
          <t>Measuring Business Excellence</t>
        </is>
      </c>
      <c r="B1959" t="inlineStr">
        <is>
          <t>B</t>
        </is>
      </c>
      <c r="C1959" t="n">
        <v>3507</v>
      </c>
      <c r="D1959" t="inlineStr">
        <is>
          <t>Emerald Group Publishing</t>
        </is>
      </c>
    </row>
    <row r="1960">
      <c r="A1960" t="inlineStr">
        <is>
          <t>Media and Arts Law Review</t>
        </is>
      </c>
      <c r="B1960" t="inlineStr">
        <is>
          <t>C</t>
        </is>
      </c>
      <c r="C1960" t="n">
        <v>4801</v>
      </c>
      <c r="D1960" t="inlineStr">
        <is>
          <t>LexisNexis</t>
        </is>
      </c>
    </row>
    <row r="1961">
      <c r="A1961" t="inlineStr">
        <is>
          <t>Media Culture and Society</t>
        </is>
      </c>
      <c r="B1961" t="inlineStr">
        <is>
          <t>B</t>
        </is>
      </c>
      <c r="C1961" t="n">
        <v>3599</v>
      </c>
      <c r="D1961" t="inlineStr">
        <is>
          <t>Sage Publications</t>
        </is>
      </c>
    </row>
    <row r="1962">
      <c r="A1962" t="inlineStr">
        <is>
          <t>Medical Law International</t>
        </is>
      </c>
      <c r="B1962" t="inlineStr">
        <is>
          <t>C</t>
        </is>
      </c>
      <c r="C1962" t="n">
        <v>4801</v>
      </c>
      <c r="D1962" t="inlineStr">
        <is>
          <t>Sage Publications</t>
        </is>
      </c>
    </row>
    <row r="1963">
      <c r="A1963" t="inlineStr">
        <is>
          <t>Meditari Accountancy Research</t>
        </is>
      </c>
      <c r="B1963" t="inlineStr">
        <is>
          <t>A</t>
        </is>
      </c>
      <c r="C1963" t="n">
        <v>3501</v>
      </c>
      <c r="D1963" t="inlineStr">
        <is>
          <t>Emerald Group Publishing</t>
        </is>
      </c>
    </row>
    <row r="1964">
      <c r="A1964" t="inlineStr">
        <is>
          <t>Melbourne Journal of International Law</t>
        </is>
      </c>
      <c r="B1964" t="inlineStr">
        <is>
          <t>A</t>
        </is>
      </c>
      <c r="C1964" t="n">
        <v>4801</v>
      </c>
      <c r="D1964" t="inlineStr">
        <is>
          <t>The University of Melbourne</t>
        </is>
      </c>
    </row>
    <row r="1965">
      <c r="A1965" t="inlineStr">
        <is>
          <t>Melbourne University Law Review</t>
        </is>
      </c>
      <c r="B1965" t="inlineStr">
        <is>
          <t>A*</t>
        </is>
      </c>
      <c r="C1965" t="n">
        <v>4801</v>
      </c>
      <c r="D1965" t="inlineStr">
        <is>
          <t>Melbourne University Law Review Association</t>
        </is>
      </c>
    </row>
    <row r="1966">
      <c r="A1966" t="inlineStr">
        <is>
          <t>Metrika: international journal for theoretical and applied statistics</t>
        </is>
      </c>
      <c r="B1966" t="inlineStr">
        <is>
          <t>B</t>
        </is>
      </c>
      <c r="C1966" t="n">
        <v>4905</v>
      </c>
      <c r="D1966" t="inlineStr">
        <is>
          <t>Springer International Publishing</t>
        </is>
      </c>
    </row>
    <row r="1967">
      <c r="A1967" t="inlineStr">
        <is>
          <t>Metroeconomica: international review of economics</t>
        </is>
      </c>
      <c r="B1967" t="inlineStr">
        <is>
          <t>B</t>
        </is>
      </c>
      <c r="C1967" t="n">
        <v>3801</v>
      </c>
      <c r="D1967" t="inlineStr">
        <is>
          <t>Wiley-Blackwell Publishing</t>
        </is>
      </c>
    </row>
    <row r="1968">
      <c r="A1968" t="inlineStr">
        <is>
          <t>Metron</t>
        </is>
      </c>
      <c r="B1968" t="inlineStr">
        <is>
          <t>C</t>
        </is>
      </c>
      <c r="C1968" t="n">
        <v>4905</v>
      </c>
      <c r="D1968" t="inlineStr">
        <is>
          <t>Springer International Publishing</t>
        </is>
      </c>
    </row>
    <row r="1969">
      <c r="A1969" t="inlineStr">
        <is>
          <t>Middle East Business and Economic Review</t>
        </is>
      </c>
      <c r="B1969" t="inlineStr">
        <is>
          <t>C</t>
        </is>
      </c>
      <c r="C1969" t="n">
        <v>3801</v>
      </c>
      <c r="D1969" t="inlineStr">
        <is>
          <t>Association for Middle East Economic Research</t>
        </is>
      </c>
    </row>
    <row r="1970">
      <c r="A1970" t="inlineStr">
        <is>
          <t>Middle East Development Journal</t>
        </is>
      </c>
      <c r="B1970" t="inlineStr">
        <is>
          <t>C</t>
        </is>
      </c>
      <c r="C1970" t="n">
        <v>3899</v>
      </c>
      <c r="D1970" t="inlineStr">
        <is>
          <t>Taylor &amp; Francis Online</t>
        </is>
      </c>
    </row>
    <row r="1971">
      <c r="A1971" t="inlineStr">
        <is>
          <t>Millenium: journal of international studies</t>
        </is>
      </c>
      <c r="B1971" t="inlineStr">
        <is>
          <t>B</t>
        </is>
      </c>
      <c r="C1971" t="n">
        <v>3599</v>
      </c>
      <c r="D1971" t="inlineStr">
        <is>
          <t>Sage Publications</t>
        </is>
      </c>
    </row>
    <row r="1972">
      <c r="A1972" t="inlineStr">
        <is>
          <t>Millennial Asia: An International Journal of Asian Studies</t>
        </is>
      </c>
      <c r="B1972" t="inlineStr">
        <is>
          <t>C</t>
        </is>
      </c>
      <c r="C1972" t="n">
        <v>3801</v>
      </c>
      <c r="D1972" t="inlineStr">
        <is>
          <t>Sage Publications</t>
        </is>
      </c>
    </row>
    <row r="1973">
      <c r="A1973" t="inlineStr">
        <is>
          <t>Mineral Economics</t>
        </is>
      </c>
      <c r="B1973" t="inlineStr">
        <is>
          <t>C</t>
        </is>
      </c>
      <c r="C1973" t="n">
        <v>3899</v>
      </c>
      <c r="D1973" t="inlineStr">
        <is>
          <t>Springer International Publishing</t>
        </is>
      </c>
    </row>
    <row r="1974">
      <c r="A1974" t="inlineStr">
        <is>
          <t>MIS Quarterly</t>
        </is>
      </c>
      <c r="B1974" t="inlineStr">
        <is>
          <t>A*</t>
        </is>
      </c>
      <c r="C1974" t="n">
        <v>4609</v>
      </c>
      <c r="D1974" t="inlineStr">
        <is>
          <t>University of Minnesota Press</t>
        </is>
      </c>
    </row>
    <row r="1975">
      <c r="A1975" t="inlineStr">
        <is>
          <t>MIS Quarterly Executive</t>
        </is>
      </c>
      <c r="B1975" t="inlineStr">
        <is>
          <t>A</t>
        </is>
      </c>
      <c r="C1975" t="n">
        <v>4609</v>
      </c>
      <c r="D1975" t="inlineStr">
        <is>
          <t>Kelley School of Business, Department of Information Systems, Indiana University</t>
        </is>
      </c>
    </row>
    <row r="1976">
      <c r="A1976" t="inlineStr">
        <is>
          <t>MIT Sloan Management Review</t>
        </is>
      </c>
      <c r="B1976" t="inlineStr">
        <is>
          <t>A</t>
        </is>
      </c>
      <c r="C1976" t="n">
        <v>3507</v>
      </c>
      <c r="D1976" t="inlineStr">
        <is>
          <t>MIT Press</t>
        </is>
      </c>
    </row>
    <row r="1977">
      <c r="A1977" t="inlineStr">
        <is>
          <t>Model Assisted Statistics and Applications</t>
        </is>
      </c>
      <c r="B1977" t="inlineStr">
        <is>
          <t>C</t>
        </is>
      </c>
      <c r="C1977" t="n">
        <v>4905</v>
      </c>
      <c r="D1977" t="inlineStr">
        <is>
          <t>Sage Publications</t>
        </is>
      </c>
    </row>
    <row r="1978">
      <c r="A1978" t="inlineStr">
        <is>
          <t>Monash University Law Review</t>
        </is>
      </c>
      <c r="B1978" t="inlineStr">
        <is>
          <t>A</t>
        </is>
      </c>
      <c r="C1978" t="n">
        <v>4801</v>
      </c>
      <c r="D1978" t="inlineStr">
        <is>
          <t>Monash University</t>
        </is>
      </c>
    </row>
    <row r="1979">
      <c r="A1979" t="inlineStr">
        <is>
          <t>Monetary and Economic Studies</t>
        </is>
      </c>
      <c r="B1979" t="inlineStr">
        <is>
          <t>C</t>
        </is>
      </c>
      <c r="C1979" t="n">
        <v>3801</v>
      </c>
      <c r="D1979" t="inlineStr">
        <is>
          <t>Bank of Japan's Institute for Monetary and Economic Studies (IMES)</t>
        </is>
      </c>
    </row>
    <row r="1980">
      <c r="A1980" t="inlineStr">
        <is>
          <t>Money Affairs</t>
        </is>
      </c>
      <c r="B1980" t="inlineStr">
        <is>
          <t>C</t>
        </is>
      </c>
      <c r="C1980" t="n">
        <v>3801</v>
      </c>
      <c r="D1980" t="inlineStr">
        <is>
          <t>Centre for Latin American Monetary Studies (CEMLA)</t>
        </is>
      </c>
    </row>
    <row r="1981">
      <c r="A1981" t="inlineStr">
        <is>
          <t>Monte Carlo Methods and Applications</t>
        </is>
      </c>
      <c r="B1981" t="inlineStr">
        <is>
          <t>C</t>
        </is>
      </c>
      <c r="C1981" t="n">
        <v>4905</v>
      </c>
      <c r="D1981" t="inlineStr">
        <is>
          <t>De Gruyter</t>
        </is>
      </c>
    </row>
    <row r="1982">
      <c r="A1982" t="inlineStr">
        <is>
          <t>Motivation and Emotion</t>
        </is>
      </c>
      <c r="B1982" t="inlineStr">
        <is>
          <t>A</t>
        </is>
      </c>
      <c r="C1982" t="n">
        <v>3599</v>
      </c>
      <c r="D1982" t="inlineStr">
        <is>
          <t>Springer International Publishing</t>
        </is>
      </c>
    </row>
    <row r="1983">
      <c r="A1983" t="inlineStr">
        <is>
          <t>Multinational Business Review</t>
        </is>
      </c>
      <c r="B1983" t="inlineStr">
        <is>
          <t>B</t>
        </is>
      </c>
      <c r="C1983" t="n">
        <v>3507</v>
      </c>
      <c r="D1983" t="inlineStr">
        <is>
          <t>Emerald Group Publishing</t>
        </is>
      </c>
    </row>
    <row r="1984">
      <c r="A1984" t="inlineStr">
        <is>
          <t>Multinational Finance Journal</t>
        </is>
      </c>
      <c r="B1984" t="inlineStr">
        <is>
          <t>B</t>
        </is>
      </c>
      <c r="C1984" t="n">
        <v>3502</v>
      </c>
      <c r="D1984" t="inlineStr">
        <is>
          <t>Multinational Finance Society</t>
        </is>
      </c>
    </row>
    <row r="1985">
      <c r="A1985" t="inlineStr">
        <is>
          <t>Narrative Inquiry</t>
        </is>
      </c>
      <c r="B1985" t="inlineStr">
        <is>
          <t>B</t>
        </is>
      </c>
      <c r="C1985" t="n">
        <v>3599</v>
      </c>
      <c r="D1985" t="inlineStr">
        <is>
          <t>John Benjamins Publishing Company</t>
        </is>
      </c>
    </row>
    <row r="1986">
      <c r="A1986" t="inlineStr">
        <is>
          <t>National Economic Review</t>
        </is>
      </c>
      <c r="B1986" t="inlineStr">
        <is>
          <t>C</t>
        </is>
      </c>
      <c r="C1986" t="n">
        <v>3801</v>
      </c>
      <c r="D1986" t="inlineStr">
        <is>
          <t>National Institute of Economic &amp; Industry Research</t>
        </is>
      </c>
    </row>
    <row r="1987">
      <c r="A1987" t="inlineStr">
        <is>
          <t>National Institute Economic Review</t>
        </is>
      </c>
      <c r="B1987" t="inlineStr">
        <is>
          <t>B</t>
        </is>
      </c>
      <c r="C1987" t="n">
        <v>3801</v>
      </c>
      <c r="D1987" t="inlineStr">
        <is>
          <t>Sage Publications</t>
        </is>
      </c>
    </row>
    <row r="1988">
      <c r="A1988" t="inlineStr">
        <is>
          <t>National Tax Journal</t>
        </is>
      </c>
      <c r="B1988" t="inlineStr">
        <is>
          <t>A</t>
        </is>
      </c>
      <c r="C1988" t="n">
        <v>4801</v>
      </c>
      <c r="D1988" t="inlineStr">
        <is>
          <t>National Tax Association</t>
        </is>
      </c>
    </row>
    <row r="1989">
      <c r="A1989" t="inlineStr">
        <is>
          <t>Naval Research Logistics</t>
        </is>
      </c>
      <c r="B1989" t="inlineStr">
        <is>
          <t>B</t>
        </is>
      </c>
      <c r="C1989" t="n">
        <v>3509</v>
      </c>
      <c r="D1989" t="inlineStr">
        <is>
          <t>Wiley-Blackwell Publishing</t>
        </is>
      </c>
    </row>
    <row r="1990">
      <c r="A1990" t="inlineStr">
        <is>
          <t>NBER Macroeconomics Annual</t>
        </is>
      </c>
      <c r="B1990" t="inlineStr">
        <is>
          <t>A</t>
        </is>
      </c>
      <c r="C1990" t="n">
        <v>3803</v>
      </c>
      <c r="D1990" t="inlineStr">
        <is>
          <t>University of Chicago Press</t>
        </is>
      </c>
    </row>
    <row r="1991">
      <c r="A1991" t="inlineStr">
        <is>
          <t>Negotiation and Conflict Management Research</t>
        </is>
      </c>
      <c r="B1991" t="inlineStr">
        <is>
          <t>C</t>
        </is>
      </c>
      <c r="C1991" t="n">
        <v>3505</v>
      </c>
      <c r="D1991" t="inlineStr">
        <is>
          <t>Wiley-Blackwell Publishing</t>
        </is>
      </c>
    </row>
    <row r="1992">
      <c r="A1992" t="inlineStr">
        <is>
          <t>Negotiation Journal</t>
        </is>
      </c>
      <c r="B1992" t="inlineStr">
        <is>
          <t>B</t>
        </is>
      </c>
      <c r="C1992" t="n">
        <v>3599</v>
      </c>
      <c r="D1992" t="inlineStr">
        <is>
          <t>MIT Press</t>
        </is>
      </c>
    </row>
    <row r="1993">
      <c r="A1993" t="inlineStr">
        <is>
          <t>Netnomics</t>
        </is>
      </c>
      <c r="B1993" t="inlineStr">
        <is>
          <t>C</t>
        </is>
      </c>
      <c r="C1993" t="n">
        <v>3899</v>
      </c>
      <c r="D1993" t="inlineStr">
        <is>
          <t>Springer International Publishing</t>
        </is>
      </c>
    </row>
    <row r="1994">
      <c r="A1994" t="inlineStr">
        <is>
          <t>Networks and Spatial Economics</t>
        </is>
      </c>
      <c r="B1994" t="inlineStr">
        <is>
          <t>B</t>
        </is>
      </c>
      <c r="C1994" t="n">
        <v>3801</v>
      </c>
      <c r="D1994" t="inlineStr">
        <is>
          <t>Springer International Publishing</t>
        </is>
      </c>
    </row>
    <row r="1995">
      <c r="A1995" t="inlineStr">
        <is>
          <t>New Directions for Evaluation</t>
        </is>
      </c>
      <c r="B1995" t="inlineStr">
        <is>
          <t>B</t>
        </is>
      </c>
      <c r="C1995" t="n">
        <v>3599</v>
      </c>
      <c r="D1995" t="inlineStr">
        <is>
          <t>Wiley-Blackwell Publishing</t>
        </is>
      </c>
    </row>
    <row r="1996">
      <c r="A1996" t="inlineStr">
        <is>
          <t>New England Journal of Entrepreneurship</t>
        </is>
      </c>
      <c r="B1996" t="inlineStr">
        <is>
          <t>C</t>
        </is>
      </c>
      <c r="C1996" t="n">
        <v>3507</v>
      </c>
      <c r="D1996" t="inlineStr">
        <is>
          <t>Emerald Group Publishing</t>
        </is>
      </c>
    </row>
    <row r="1997">
      <c r="A1997" t="inlineStr">
        <is>
          <t>New Law Journal</t>
        </is>
      </c>
      <c r="B1997" t="inlineStr">
        <is>
          <t>C</t>
        </is>
      </c>
      <c r="C1997" t="n">
        <v>4801</v>
      </c>
      <c r="D1997" t="inlineStr">
        <is>
          <t>LexisNexis</t>
        </is>
      </c>
    </row>
    <row r="1998">
      <c r="A1998" t="inlineStr">
        <is>
          <t>New Perspectives on Political Economy</t>
        </is>
      </c>
      <c r="B1998" t="inlineStr">
        <is>
          <t>C</t>
        </is>
      </c>
      <c r="C1998" t="n">
        <v>3801</v>
      </c>
      <c r="D1998" t="inlineStr">
        <is>
          <t>Liberalni Institut</t>
        </is>
      </c>
    </row>
    <row r="1999">
      <c r="A1999" t="inlineStr">
        <is>
          <t>New Political Economy</t>
        </is>
      </c>
      <c r="B1999" t="inlineStr">
        <is>
          <t>A</t>
        </is>
      </c>
      <c r="C1999" t="n">
        <v>3801</v>
      </c>
      <c r="D1999" t="inlineStr">
        <is>
          <t>Taylor &amp; Francis Online</t>
        </is>
      </c>
    </row>
    <row r="2000">
      <c r="A2000" t="inlineStr">
        <is>
          <t>New Technology, Work &amp; Employment</t>
        </is>
      </c>
      <c r="B2000" t="inlineStr">
        <is>
          <t>A</t>
        </is>
      </c>
      <c r="C2000" t="n">
        <v>3505</v>
      </c>
      <c r="D2000" t="inlineStr">
        <is>
          <t>Wiley-Blackwell Publishing</t>
        </is>
      </c>
    </row>
    <row r="2001">
      <c r="A2001" t="inlineStr">
        <is>
          <t>New York Economic Review</t>
        </is>
      </c>
      <c r="B2001" t="inlineStr">
        <is>
          <t>C</t>
        </is>
      </c>
      <c r="C2001" t="n">
        <v>3801</v>
      </c>
      <c r="D2001" t="inlineStr">
        <is>
          <t>New York State Economics Association</t>
        </is>
      </c>
    </row>
    <row r="2002">
      <c r="A2002" t="inlineStr">
        <is>
          <t>New Zealand Business Law Quarterly</t>
        </is>
      </c>
      <c r="B2002" t="inlineStr">
        <is>
          <t>B</t>
        </is>
      </c>
      <c r="C2002" t="n">
        <v>4801</v>
      </c>
      <c r="D2002" t="inlineStr">
        <is>
          <t>The University of Auckland / Thommson Reuters</t>
        </is>
      </c>
    </row>
    <row r="2003">
      <c r="A2003" t="inlineStr">
        <is>
          <t>New Zealand Economic Papers</t>
        </is>
      </c>
      <c r="B2003" t="inlineStr">
        <is>
          <t>B</t>
        </is>
      </c>
      <c r="C2003" t="n">
        <v>3801</v>
      </c>
      <c r="D2003" t="inlineStr">
        <is>
          <t>Taylor &amp; Francis Online</t>
        </is>
      </c>
    </row>
    <row r="2004">
      <c r="A2004" t="inlineStr">
        <is>
          <t>New Zealand Intellectual Property Journal</t>
        </is>
      </c>
      <c r="B2004" t="inlineStr">
        <is>
          <t>B</t>
        </is>
      </c>
      <c r="C2004" t="n">
        <v>4801</v>
      </c>
      <c r="D2004" t="inlineStr">
        <is>
          <t>LexisNexis</t>
        </is>
      </c>
    </row>
    <row r="2005">
      <c r="A2005" t="inlineStr">
        <is>
          <t>New Zealand Journal of Applied Business Research</t>
        </is>
      </c>
      <c r="B2005" t="inlineStr">
        <is>
          <t>C</t>
        </is>
      </c>
      <c r="C2005" t="n">
        <v>3507</v>
      </c>
      <c r="D2005" t="inlineStr">
        <is>
          <t>Unitec</t>
        </is>
      </c>
    </row>
    <row r="2006">
      <c r="A2006" t="inlineStr">
        <is>
          <t>New Zealand Journal of Employment Relations</t>
        </is>
      </c>
      <c r="B2006" t="inlineStr">
        <is>
          <t>B</t>
        </is>
      </c>
      <c r="C2006" t="n">
        <v>3505</v>
      </c>
      <c r="D2006" t="inlineStr">
        <is>
          <t>ER Publishing Ltd.</t>
        </is>
      </c>
    </row>
    <row r="2007">
      <c r="A2007" t="inlineStr">
        <is>
          <t>New Zealand Journal of Human Resources Management</t>
        </is>
      </c>
      <c r="B2007" t="inlineStr">
        <is>
          <t>C</t>
        </is>
      </c>
      <c r="C2007" t="n">
        <v>3505</v>
      </c>
      <c r="D2007" t="inlineStr">
        <is>
          <t>Human Resources Institute of New Zealand</t>
        </is>
      </c>
    </row>
    <row r="2008">
      <c r="A2008" t="inlineStr">
        <is>
          <t>New Zealand Journal of Taxation Law and Policy</t>
        </is>
      </c>
      <c r="B2008" t="inlineStr">
        <is>
          <t>A</t>
        </is>
      </c>
      <c r="C2008" t="n">
        <v>4801</v>
      </c>
      <c r="D2008" t="inlineStr">
        <is>
          <t>Thomson Reuters</t>
        </is>
      </c>
    </row>
    <row r="2009">
      <c r="A2009" t="inlineStr">
        <is>
          <t>New Zealand Law Journal</t>
        </is>
      </c>
      <c r="B2009" t="inlineStr">
        <is>
          <t>B</t>
        </is>
      </c>
      <c r="C2009" t="n">
        <v>4801</v>
      </c>
      <c r="D2009" t="inlineStr">
        <is>
          <t>LexisNexis</t>
        </is>
      </c>
    </row>
    <row r="2010">
      <c r="A2010" t="inlineStr">
        <is>
          <t>New Zealand Law Review</t>
        </is>
      </c>
      <c r="B2010" t="inlineStr">
        <is>
          <t>B</t>
        </is>
      </c>
      <c r="C2010" t="n">
        <v>4801</v>
      </c>
      <c r="D2010" t="inlineStr">
        <is>
          <t>University of Auckland</t>
        </is>
      </c>
    </row>
    <row r="2011">
      <c r="A2011" t="inlineStr">
        <is>
          <t>New Zealand Population Review</t>
        </is>
      </c>
      <c r="B2011" t="inlineStr">
        <is>
          <t>C</t>
        </is>
      </c>
      <c r="C2011" t="n">
        <v>3599</v>
      </c>
      <c r="D2011" t="inlineStr">
        <is>
          <t>Population Association of New Zealand</t>
        </is>
      </c>
    </row>
    <row r="2012">
      <c r="A2012" t="inlineStr">
        <is>
          <t>New Zealand Universities Law Review</t>
        </is>
      </c>
      <c r="B2012" t="inlineStr">
        <is>
          <t>A</t>
        </is>
      </c>
      <c r="C2012" t="n">
        <v>4801</v>
      </c>
      <c r="D2012" t="inlineStr">
        <is>
          <t>Thomson Reuters</t>
        </is>
      </c>
    </row>
    <row r="2013">
      <c r="A2013" t="inlineStr">
        <is>
          <t>New Zealand Yearbook of International Law</t>
        </is>
      </c>
      <c r="B2013" t="inlineStr">
        <is>
          <t>C</t>
        </is>
      </c>
      <c r="C2013" t="n">
        <v>4801</v>
      </c>
      <c r="D2013" t="inlineStr">
        <is>
          <t>University of Canterbury</t>
        </is>
      </c>
    </row>
    <row r="2014">
      <c r="A2014" t="inlineStr">
        <is>
          <t>NMIMS Management Review</t>
        </is>
      </c>
      <c r="B2014" t="inlineStr">
        <is>
          <t>C</t>
        </is>
      </c>
      <c r="C2014" t="n">
        <v>3507</v>
      </c>
      <c r="D2014" t="inlineStr">
        <is>
          <t>Sage Publications</t>
        </is>
      </c>
    </row>
    <row r="2015">
      <c r="A2015" t="inlineStr">
        <is>
          <t>Nonprofit and Voluntary Sector Quarterly</t>
        </is>
      </c>
      <c r="B2015" t="inlineStr">
        <is>
          <t>A</t>
        </is>
      </c>
      <c r="C2015" t="n">
        <v>3507</v>
      </c>
      <c r="D2015" t="inlineStr">
        <is>
          <t>Sage Publications</t>
        </is>
      </c>
    </row>
    <row r="2016">
      <c r="A2016" t="inlineStr">
        <is>
          <t>Nonprofit Management and Leadership</t>
        </is>
      </c>
      <c r="B2016" t="inlineStr">
        <is>
          <t>B</t>
        </is>
      </c>
      <c r="C2016" t="n">
        <v>3507</v>
      </c>
      <c r="D2016" t="inlineStr">
        <is>
          <t>Wiley-Blackwell Publishing</t>
        </is>
      </c>
    </row>
    <row r="2017">
      <c r="A2017" t="inlineStr">
        <is>
          <t>Nordic Journal of Commercial Law</t>
        </is>
      </c>
      <c r="B2017" t="inlineStr">
        <is>
          <t>C</t>
        </is>
      </c>
      <c r="C2017" t="n">
        <v>4801</v>
      </c>
      <c r="D2017" t="inlineStr">
        <is>
          <t>Aalborg University</t>
        </is>
      </c>
    </row>
    <row r="2018">
      <c r="A2018" t="inlineStr">
        <is>
          <t>Nordic Journal of Political Economy</t>
        </is>
      </c>
      <c r="B2018" t="inlineStr">
        <is>
          <t>C</t>
        </is>
      </c>
      <c r="C2018" t="n">
        <v>3801</v>
      </c>
      <c r="D2018" t="inlineStr">
        <is>
          <t>Institutt for Samfunnsforskning</t>
        </is>
      </c>
    </row>
    <row r="2019">
      <c r="A2019" t="inlineStr">
        <is>
          <t>North American Actuarial Journal</t>
        </is>
      </c>
      <c r="B2019" t="inlineStr">
        <is>
          <t>A</t>
        </is>
      </c>
      <c r="C2019" t="n">
        <v>3502</v>
      </c>
      <c r="D2019" t="inlineStr">
        <is>
          <t>Taylor &amp; Francis Online</t>
        </is>
      </c>
    </row>
    <row r="2020">
      <c r="A2020" t="inlineStr">
        <is>
          <t>North Carolina Banking Institute Journal (fomerly the University of North Carolina School of Law Banking Institute)</t>
        </is>
      </c>
      <c r="B2020" t="inlineStr">
        <is>
          <t>C</t>
        </is>
      </c>
      <c r="C2020" t="n">
        <v>4801</v>
      </c>
      <c r="D2020" t="inlineStr">
        <is>
          <t>University of North Carolina School of Law</t>
        </is>
      </c>
    </row>
    <row r="2021">
      <c r="A2021" t="inlineStr">
        <is>
          <t>Northeastern Journal of Agricultural and Resource Economics</t>
        </is>
      </c>
      <c r="B2021" t="inlineStr">
        <is>
          <t>C</t>
        </is>
      </c>
      <c r="C2021" t="n">
        <v>3899</v>
      </c>
      <c r="D2021" t="inlineStr">
        <is>
          <t>University of Minnesota Department of Applied Economics</t>
        </is>
      </c>
    </row>
    <row r="2022">
      <c r="A2022" t="inlineStr">
        <is>
          <t>Northern Economic Review</t>
        </is>
      </c>
      <c r="B2022" t="inlineStr">
        <is>
          <t>C</t>
        </is>
      </c>
      <c r="C2022" t="n">
        <v>3801</v>
      </c>
      <c r="D2022" t="inlineStr">
        <is>
          <t>Centre for Urban and Regional Development Studies, University of Newcastle, UK</t>
        </is>
      </c>
    </row>
    <row r="2023">
      <c r="A2023" t="inlineStr">
        <is>
          <t>Northwestern Journal of International Law &amp; Business</t>
        </is>
      </c>
      <c r="B2023" t="inlineStr">
        <is>
          <t>B</t>
        </is>
      </c>
      <c r="C2023" t="n">
        <v>4801</v>
      </c>
      <c r="D2023" t="inlineStr">
        <is>
          <t>Northwestern University Press</t>
        </is>
      </c>
    </row>
    <row r="2024">
      <c r="A2024" t="inlineStr">
        <is>
          <t>Norton Journal of Bankruptcy Law and Practice</t>
        </is>
      </c>
      <c r="B2024" t="inlineStr">
        <is>
          <t>C</t>
        </is>
      </c>
      <c r="C2024" t="n">
        <v>4801</v>
      </c>
      <c r="D2024" t="inlineStr">
        <is>
          <t>Thomson Reuters</t>
        </is>
      </c>
    </row>
    <row r="2025">
      <c r="A2025" t="inlineStr">
        <is>
          <t>Nova Economia: the journal of the economics department at UFMG</t>
        </is>
      </c>
      <c r="B2025" t="inlineStr">
        <is>
          <t>C</t>
        </is>
      </c>
      <c r="C2025" t="n">
        <v>3801</v>
      </c>
      <c r="D2025" t="inlineStr">
        <is>
          <t>Universidade Federal de Minas Gerais, Department of Economics, Brasil</t>
        </is>
      </c>
    </row>
    <row r="2026">
      <c r="A2026" t="inlineStr">
        <is>
          <t>NYU Journal of Law and Business</t>
        </is>
      </c>
      <c r="B2026" t="inlineStr">
        <is>
          <t>C</t>
        </is>
      </c>
      <c r="C2026" t="n">
        <v>4801</v>
      </c>
      <c r="D2026" t="inlineStr">
        <is>
          <t>New York University School of Law</t>
        </is>
      </c>
    </row>
    <row r="2027">
      <c r="A2027" t="inlineStr">
        <is>
          <t>Oil, Gas and Energy Quarterly</t>
        </is>
      </c>
      <c r="B2027" t="inlineStr">
        <is>
          <t>C</t>
        </is>
      </c>
      <c r="C2027" t="n">
        <v>4801</v>
      </c>
      <c r="D2027" t="inlineStr">
        <is>
          <t>Matthew Bender / LexisNexis</t>
        </is>
      </c>
    </row>
    <row r="2028">
      <c r="A2028" t="inlineStr">
        <is>
          <t>Omega</t>
        </is>
      </c>
      <c r="B2028" t="inlineStr">
        <is>
          <t>A</t>
        </is>
      </c>
      <c r="C2028" t="n">
        <v>3503</v>
      </c>
      <c r="D2028" t="inlineStr">
        <is>
          <t>Elsevier</t>
        </is>
      </c>
    </row>
    <row r="2029">
      <c r="A2029" t="inlineStr">
        <is>
          <t>Online Information Review</t>
        </is>
      </c>
      <c r="B2029" t="inlineStr">
        <is>
          <t>B</t>
        </is>
      </c>
      <c r="C2029" t="n">
        <v>4609</v>
      </c>
      <c r="D2029" t="inlineStr">
        <is>
          <t>Emerald Group Publishing Limited</t>
        </is>
      </c>
    </row>
    <row r="2030">
      <c r="A2030" t="inlineStr">
        <is>
          <t>OPEC Energy Review</t>
        </is>
      </c>
      <c r="B2030" t="inlineStr">
        <is>
          <t>C</t>
        </is>
      </c>
      <c r="C2030" t="n">
        <v>3801</v>
      </c>
      <c r="D2030" t="inlineStr">
        <is>
          <t>Wiley-Blackwell Publishing</t>
        </is>
      </c>
    </row>
    <row r="2031">
      <c r="A2031" t="inlineStr">
        <is>
          <t>Open Economies Review</t>
        </is>
      </c>
      <c r="B2031" t="inlineStr">
        <is>
          <t>B</t>
        </is>
      </c>
      <c r="C2031" t="n">
        <v>3801</v>
      </c>
      <c r="D2031" t="inlineStr">
        <is>
          <t>Springer International Publishing</t>
        </is>
      </c>
    </row>
    <row r="2032">
      <c r="A2032" t="inlineStr">
        <is>
          <t>Operational Research</t>
        </is>
      </c>
      <c r="B2032" t="inlineStr">
        <is>
          <t>C</t>
        </is>
      </c>
      <c r="C2032" t="n">
        <v>3509</v>
      </c>
      <c r="D2032" t="inlineStr">
        <is>
          <t>Springer International Publishing</t>
        </is>
      </c>
    </row>
    <row r="2033">
      <c r="A2033" t="inlineStr">
        <is>
          <t>Operations and Supply Chain Management</t>
        </is>
      </c>
      <c r="B2033" t="inlineStr">
        <is>
          <t>C</t>
        </is>
      </c>
      <c r="C2033" t="n">
        <v>3509</v>
      </c>
      <c r="D2033" t="inlineStr">
        <is>
          <t>Operations and Supply Chain Management Forum</t>
        </is>
      </c>
    </row>
    <row r="2034">
      <c r="A2034" t="inlineStr">
        <is>
          <t>Operations Management Research</t>
        </is>
      </c>
      <c r="B2034" t="inlineStr">
        <is>
          <t>C</t>
        </is>
      </c>
      <c r="C2034" t="n">
        <v>3507</v>
      </c>
      <c r="D2034" t="inlineStr">
        <is>
          <t>Springer International Publishing</t>
        </is>
      </c>
    </row>
    <row r="2035">
      <c r="A2035" t="inlineStr">
        <is>
          <t>Operations Research</t>
        </is>
      </c>
      <c r="B2035" t="inlineStr">
        <is>
          <t>A*</t>
        </is>
      </c>
      <c r="C2035" t="n">
        <v>3507</v>
      </c>
      <c r="D2035" t="inlineStr">
        <is>
          <t>INFORMS</t>
        </is>
      </c>
    </row>
    <row r="2036">
      <c r="A2036" t="inlineStr">
        <is>
          <t>Operations Research Letters</t>
        </is>
      </c>
      <c r="B2036" t="inlineStr">
        <is>
          <t>B</t>
        </is>
      </c>
      <c r="C2036" t="n">
        <v>3507</v>
      </c>
      <c r="D2036" t="inlineStr">
        <is>
          <t>Elsevier</t>
        </is>
      </c>
    </row>
    <row r="2037">
      <c r="A2037" t="inlineStr">
        <is>
          <t>Opsearch</t>
        </is>
      </c>
      <c r="B2037" t="inlineStr">
        <is>
          <t>C</t>
        </is>
      </c>
      <c r="C2037" t="n">
        <v>3507</v>
      </c>
      <c r="D2037" t="inlineStr">
        <is>
          <t>Springer International Publishing</t>
        </is>
      </c>
    </row>
    <row r="2038">
      <c r="A2038" t="inlineStr">
        <is>
          <t>Optimal Control Applications and Methods</t>
        </is>
      </c>
      <c r="B2038" t="inlineStr">
        <is>
          <t>B</t>
        </is>
      </c>
      <c r="C2038" t="n">
        <v>3507</v>
      </c>
      <c r="D2038" t="inlineStr">
        <is>
          <t>Wiley-Blackwell Publishing</t>
        </is>
      </c>
    </row>
    <row r="2039">
      <c r="A2039" t="inlineStr">
        <is>
          <t>Optimization</t>
        </is>
      </c>
      <c r="B2039" t="inlineStr">
        <is>
          <t>C</t>
        </is>
      </c>
      <c r="C2039" t="n">
        <v>3507</v>
      </c>
      <c r="D2039" t="inlineStr">
        <is>
          <t>Taylor &amp; Francis Online</t>
        </is>
      </c>
    </row>
    <row r="2040">
      <c r="A2040" t="inlineStr">
        <is>
          <t>OR Spectrum</t>
        </is>
      </c>
      <c r="B2040" t="inlineStr">
        <is>
          <t>B</t>
        </is>
      </c>
      <c r="C2040" t="n">
        <v>3507</v>
      </c>
      <c r="D2040" t="inlineStr">
        <is>
          <t>Springer International Publishing</t>
        </is>
      </c>
    </row>
    <row r="2041">
      <c r="A2041" t="inlineStr">
        <is>
          <t>Oregon Law Review</t>
        </is>
      </c>
      <c r="B2041" t="inlineStr">
        <is>
          <t>A</t>
        </is>
      </c>
      <c r="C2041" t="n">
        <v>4801</v>
      </c>
      <c r="D2041" t="inlineStr">
        <is>
          <t>University of Oregon</t>
        </is>
      </c>
    </row>
    <row r="2042">
      <c r="A2042" t="inlineStr">
        <is>
          <t>Organization</t>
        </is>
      </c>
      <c r="B2042" t="inlineStr">
        <is>
          <t>A</t>
        </is>
      </c>
      <c r="C2042" t="n">
        <v>3507</v>
      </c>
      <c r="D2042" t="inlineStr">
        <is>
          <t>Sage Publications</t>
        </is>
      </c>
    </row>
    <row r="2043">
      <c r="A2043" t="inlineStr">
        <is>
          <t>Organization &amp; Environment</t>
        </is>
      </c>
      <c r="B2043" t="inlineStr">
        <is>
          <t>A</t>
        </is>
      </c>
      <c r="C2043" t="n">
        <v>3507</v>
      </c>
      <c r="D2043" t="inlineStr">
        <is>
          <t>Sage Publications</t>
        </is>
      </c>
    </row>
    <row r="2044">
      <c r="A2044" t="inlineStr">
        <is>
          <t>Organization Development Journal</t>
        </is>
      </c>
      <c r="B2044" t="inlineStr">
        <is>
          <t>C</t>
        </is>
      </c>
      <c r="C2044" t="n">
        <v>3505</v>
      </c>
      <c r="D2044" t="inlineStr">
        <is>
          <t>International Society for Organization Development and Change</t>
        </is>
      </c>
    </row>
    <row r="2045">
      <c r="A2045" t="inlineStr">
        <is>
          <t>Organization Management Journal</t>
        </is>
      </c>
      <c r="B2045" t="inlineStr">
        <is>
          <t>B</t>
        </is>
      </c>
      <c r="C2045" t="n">
        <v>3507</v>
      </c>
      <c r="D2045" t="inlineStr">
        <is>
          <t>Taylor &amp; Francis Online</t>
        </is>
      </c>
    </row>
    <row r="2046">
      <c r="A2046" t="inlineStr">
        <is>
          <t>Organization Science</t>
        </is>
      </c>
      <c r="B2046" t="inlineStr">
        <is>
          <t>A*</t>
        </is>
      </c>
      <c r="C2046" t="n">
        <v>3507</v>
      </c>
      <c r="D2046" t="inlineStr">
        <is>
          <t>INFORMS</t>
        </is>
      </c>
    </row>
    <row r="2047">
      <c r="A2047" t="inlineStr">
        <is>
          <t>Organization Studies</t>
        </is>
      </c>
      <c r="B2047" t="inlineStr">
        <is>
          <t>A*</t>
        </is>
      </c>
      <c r="C2047" t="n">
        <v>3507</v>
      </c>
      <c r="D2047" t="inlineStr">
        <is>
          <t>Sage Publications</t>
        </is>
      </c>
    </row>
    <row r="2048">
      <c r="A2048" t="inlineStr">
        <is>
          <t>Organization Theory</t>
        </is>
      </c>
      <c r="B2048" t="inlineStr">
        <is>
          <t>A</t>
        </is>
      </c>
      <c r="C2048" t="n">
        <v>3507</v>
      </c>
      <c r="D2048" t="inlineStr">
        <is>
          <t>Sage Publications</t>
        </is>
      </c>
    </row>
    <row r="2049">
      <c r="A2049" t="inlineStr">
        <is>
          <t>Organizational Behavior and Human Decision Processes</t>
        </is>
      </c>
      <c r="B2049" t="inlineStr">
        <is>
          <t>A*</t>
        </is>
      </c>
      <c r="C2049" t="n">
        <v>3507</v>
      </c>
      <c r="D2049" t="inlineStr">
        <is>
          <t>Elsevier</t>
        </is>
      </c>
    </row>
    <row r="2050">
      <c r="A2050" t="inlineStr">
        <is>
          <t>Organizational Dynamics</t>
        </is>
      </c>
      <c r="B2050" t="inlineStr">
        <is>
          <t>A</t>
        </is>
      </c>
      <c r="C2050" t="n">
        <v>3507</v>
      </c>
      <c r="D2050" t="inlineStr">
        <is>
          <t>Elsevier</t>
        </is>
      </c>
    </row>
    <row r="2051">
      <c r="A2051" t="inlineStr">
        <is>
          <t>Organizational Psychology Review</t>
        </is>
      </c>
      <c r="B2051" t="inlineStr">
        <is>
          <t>A</t>
        </is>
      </c>
      <c r="C2051" t="n">
        <v>3507</v>
      </c>
      <c r="D2051" t="inlineStr">
        <is>
          <t>Sage Publications</t>
        </is>
      </c>
    </row>
    <row r="2052">
      <c r="A2052" t="inlineStr">
        <is>
          <t>Organizational Research Methods</t>
        </is>
      </c>
      <c r="B2052" t="inlineStr">
        <is>
          <t>A*</t>
        </is>
      </c>
      <c r="C2052" t="n">
        <v>3507</v>
      </c>
      <c r="D2052" t="inlineStr">
        <is>
          <t>Sage Publications</t>
        </is>
      </c>
    </row>
    <row r="2053">
      <c r="A2053" t="inlineStr">
        <is>
          <t>Osgoode Hall Law Journal</t>
        </is>
      </c>
      <c r="B2053" t="inlineStr">
        <is>
          <t>A</t>
        </is>
      </c>
      <c r="C2053" t="n">
        <v>4801</v>
      </c>
      <c r="D2053" t="inlineStr">
        <is>
          <t>Osgoode Hall Law School of York University</t>
        </is>
      </c>
    </row>
    <row r="2054">
      <c r="A2054" t="inlineStr">
        <is>
          <t>Otago Law Review</t>
        </is>
      </c>
      <c r="B2054" t="inlineStr">
        <is>
          <t>C</t>
        </is>
      </c>
      <c r="C2054" t="n">
        <v>4801</v>
      </c>
      <c r="D2054" t="inlineStr">
        <is>
          <t>University of Otago</t>
        </is>
      </c>
    </row>
    <row r="2055">
      <c r="A2055" t="inlineStr">
        <is>
          <t>Oxford Bulletin of Economics and Statistics</t>
        </is>
      </c>
      <c r="B2055" t="inlineStr">
        <is>
          <t>A</t>
        </is>
      </c>
      <c r="C2055" t="n">
        <v>3802</v>
      </c>
      <c r="D2055" t="inlineStr">
        <is>
          <t>Wiley-Blackwell Publishing</t>
        </is>
      </c>
    </row>
    <row r="2056">
      <c r="A2056" t="inlineStr">
        <is>
          <t>Oxford Development Studies</t>
        </is>
      </c>
      <c r="B2056" t="inlineStr">
        <is>
          <t>B</t>
        </is>
      </c>
      <c r="C2056" t="n">
        <v>3801</v>
      </c>
      <c r="D2056" t="inlineStr">
        <is>
          <t>Taylor &amp; Francis Online</t>
        </is>
      </c>
    </row>
    <row r="2057">
      <c r="A2057" t="inlineStr">
        <is>
          <t>Oxford Economic Papers</t>
        </is>
      </c>
      <c r="B2057" t="inlineStr">
        <is>
          <t>A</t>
        </is>
      </c>
      <c r="C2057" t="n">
        <v>3801</v>
      </c>
      <c r="D2057" t="inlineStr">
        <is>
          <t>Oxford University Press</t>
        </is>
      </c>
    </row>
    <row r="2058">
      <c r="A2058" t="inlineStr">
        <is>
          <t>Oxford Journal of Legal Studies</t>
        </is>
      </c>
      <c r="B2058" t="inlineStr">
        <is>
          <t>A</t>
        </is>
      </c>
      <c r="C2058" t="n">
        <v>4801</v>
      </c>
      <c r="D2058" t="inlineStr">
        <is>
          <t>Oxford University Press</t>
        </is>
      </c>
    </row>
    <row r="2059">
      <c r="A2059" t="inlineStr">
        <is>
          <t>Oxford Review of Economic Policy</t>
        </is>
      </c>
      <c r="B2059" t="inlineStr">
        <is>
          <t>A</t>
        </is>
      </c>
      <c r="C2059" t="n">
        <v>3801</v>
      </c>
      <c r="D2059" t="inlineStr">
        <is>
          <t>Oxford University Press</t>
        </is>
      </c>
    </row>
    <row r="2060">
      <c r="A2060" t="inlineStr">
        <is>
          <t>Oxford University Commonwealth Law Journal</t>
        </is>
      </c>
      <c r="B2060" t="inlineStr">
        <is>
          <t>A*</t>
        </is>
      </c>
      <c r="C2060" t="n">
        <v>4801</v>
      </c>
      <c r="D2060" t="inlineStr">
        <is>
          <t>Taylor &amp; Francis Online</t>
        </is>
      </c>
    </row>
    <row r="2061">
      <c r="A2061" t="inlineStr">
        <is>
          <t>Oxonomics: Oxford university economic studies</t>
        </is>
      </c>
      <c r="B2061" t="inlineStr">
        <is>
          <t>B</t>
        </is>
      </c>
      <c r="C2061" t="n">
        <v>3801</v>
      </c>
      <c r="D2061" t="inlineStr">
        <is>
          <t>Wiley-Blackwell Publishing</t>
        </is>
      </c>
    </row>
    <row r="2062">
      <c r="A2062" t="inlineStr">
        <is>
          <t>Pacific Accounting Review</t>
        </is>
      </c>
      <c r="B2062" t="inlineStr">
        <is>
          <t>B</t>
        </is>
      </c>
      <c r="C2062" t="n">
        <v>3501</v>
      </c>
      <c r="D2062" t="inlineStr">
        <is>
          <t>Emerald Group Publishing</t>
        </is>
      </c>
    </row>
    <row r="2063">
      <c r="A2063" t="inlineStr">
        <is>
          <t>Pacific Affairs: an international review of Asia and the Pacific</t>
        </is>
      </c>
      <c r="B2063" t="inlineStr">
        <is>
          <t>B</t>
        </is>
      </c>
      <c r="C2063" t="n">
        <v>3599</v>
      </c>
      <c r="D2063" t="inlineStr">
        <is>
          <t>University of British Columbia</t>
        </is>
      </c>
    </row>
    <row r="2064">
      <c r="A2064" t="inlineStr">
        <is>
          <t>Pacific Asia Journal of the Association for Information Systems</t>
        </is>
      </c>
      <c r="B2064" t="inlineStr">
        <is>
          <t>B</t>
        </is>
      </c>
      <c r="C2064" t="n">
        <v>4609</v>
      </c>
      <c r="D2064" t="inlineStr">
        <is>
          <t>Association for Information Systems (AIS)</t>
        </is>
      </c>
    </row>
    <row r="2065">
      <c r="A2065" t="inlineStr">
        <is>
          <t>Pacific Economic Bulletin</t>
        </is>
      </c>
      <c r="B2065" t="inlineStr">
        <is>
          <t>C</t>
        </is>
      </c>
      <c r="C2065" t="n">
        <v>3801</v>
      </c>
      <c r="D2065" t="inlineStr">
        <is>
          <t>Australian National University</t>
        </is>
      </c>
    </row>
    <row r="2066">
      <c r="A2066" t="inlineStr">
        <is>
          <t>Pacific Economic Review</t>
        </is>
      </c>
      <c r="B2066" t="inlineStr">
        <is>
          <t>B</t>
        </is>
      </c>
      <c r="C2066" t="n">
        <v>3801</v>
      </c>
      <c r="D2066" t="inlineStr">
        <is>
          <t>Wiley-Blackwell Publishing</t>
        </is>
      </c>
    </row>
    <row r="2067">
      <c r="A2067" t="inlineStr">
        <is>
          <t>Pacific Rim Property Research Journal</t>
        </is>
      </c>
      <c r="B2067" t="inlineStr">
        <is>
          <t>C</t>
        </is>
      </c>
      <c r="C2067" t="n">
        <v>3504</v>
      </c>
      <c r="D2067" t="inlineStr">
        <is>
          <t>Pacific Rim Real Estate Society</t>
        </is>
      </c>
    </row>
    <row r="2068">
      <c r="A2068" t="inlineStr">
        <is>
          <t>Pacific-Basin Finance Journal</t>
        </is>
      </c>
      <c r="B2068" t="inlineStr">
        <is>
          <t>A</t>
        </is>
      </c>
      <c r="C2068" t="n">
        <v>3502</v>
      </c>
      <c r="D2068" t="inlineStr">
        <is>
          <t>Elsevier</t>
        </is>
      </c>
    </row>
    <row r="2069">
      <c r="A2069" t="inlineStr">
        <is>
          <t>Pakistan Development Review</t>
        </is>
      </c>
      <c r="B2069" t="inlineStr">
        <is>
          <t>C</t>
        </is>
      </c>
      <c r="C2069" t="n">
        <v>3801</v>
      </c>
      <c r="D2069" t="inlineStr">
        <is>
          <t>Pakistan Institute of Development Economics</t>
        </is>
      </c>
    </row>
    <row r="2070">
      <c r="A2070" t="inlineStr">
        <is>
          <t>Pakistan Economic and Social Review</t>
        </is>
      </c>
      <c r="B2070" t="inlineStr">
        <is>
          <t>C</t>
        </is>
      </c>
      <c r="C2070" t="n">
        <v>3801</v>
      </c>
      <c r="D2070" t="inlineStr">
        <is>
          <t>Lahore University, Department of Economics</t>
        </is>
      </c>
    </row>
    <row r="2071">
      <c r="A2071" t="inlineStr">
        <is>
          <t>Pakistan Journal of Applied Economics</t>
        </is>
      </c>
      <c r="B2071" t="inlineStr">
        <is>
          <t>C</t>
        </is>
      </c>
      <c r="C2071" t="n">
        <v>3801</v>
      </c>
      <c r="D2071" t="inlineStr">
        <is>
          <t>University of Karachi</t>
        </is>
      </c>
    </row>
    <row r="2072">
      <c r="A2072" t="inlineStr">
        <is>
          <t>Pakistan Journal of Statistics</t>
        </is>
      </c>
      <c r="B2072" t="inlineStr">
        <is>
          <t>C</t>
        </is>
      </c>
      <c r="C2072" t="n">
        <v>4905</v>
      </c>
      <c r="D2072" t="inlineStr">
        <is>
          <t>Pakistan Journal of Statistics</t>
        </is>
      </c>
    </row>
    <row r="2073">
      <c r="A2073" t="inlineStr">
        <is>
          <t>Papers in Regional Science</t>
        </is>
      </c>
      <c r="B2073" t="inlineStr">
        <is>
          <t>A</t>
        </is>
      </c>
      <c r="C2073" t="n">
        <v>3801</v>
      </c>
      <c r="D2073" t="inlineStr">
        <is>
          <t>Wiley-Blackwell Publishing</t>
        </is>
      </c>
    </row>
    <row r="2074">
      <c r="A2074" t="inlineStr">
        <is>
          <t>Parliamentary Affairs</t>
        </is>
      </c>
      <c r="B2074" t="inlineStr">
        <is>
          <t>B</t>
        </is>
      </c>
      <c r="C2074" t="n">
        <v>3599</v>
      </c>
      <c r="D2074" t="inlineStr">
        <is>
          <t>Oxford University Press</t>
        </is>
      </c>
    </row>
    <row r="2075">
      <c r="A2075" t="inlineStr">
        <is>
          <t>Pasos. Journal of Tourism and Cultural Heritage</t>
        </is>
      </c>
      <c r="B2075" t="inlineStr">
        <is>
          <t>C</t>
        </is>
      </c>
      <c r="C2075" t="n">
        <v>3508</v>
      </c>
      <c r="D2075" t="inlineStr">
        <is>
          <t>The Institute for Social and Tourism Research of University of La Laguna, Portugal</t>
        </is>
      </c>
    </row>
    <row r="2076">
      <c r="A2076" t="inlineStr">
        <is>
          <t>Peace Economics, Peace Science and Public Policy</t>
        </is>
      </c>
      <c r="B2076" t="inlineStr">
        <is>
          <t>C</t>
        </is>
      </c>
      <c r="C2076" t="n">
        <v>3899</v>
      </c>
      <c r="D2076" t="inlineStr">
        <is>
          <t>De Gruyter</t>
        </is>
      </c>
    </row>
    <row r="2077">
      <c r="A2077" t="inlineStr">
        <is>
          <t>Pennsylvania Economic Review</t>
        </is>
      </c>
      <c r="B2077" t="inlineStr">
        <is>
          <t>C</t>
        </is>
      </c>
      <c r="C2077" t="n">
        <v>3801</v>
      </c>
      <c r="D2077" t="inlineStr">
        <is>
          <t>Pennsylvania Economic Association</t>
        </is>
      </c>
    </row>
    <row r="2078">
      <c r="A2078" t="inlineStr">
        <is>
          <t>Pepperdine Law Review</t>
        </is>
      </c>
      <c r="B2078" t="inlineStr">
        <is>
          <t>C</t>
        </is>
      </c>
      <c r="C2078" t="n">
        <v>4801</v>
      </c>
      <c r="D2078" t="inlineStr">
        <is>
          <t>Pepperdine University School of Law</t>
        </is>
      </c>
    </row>
    <row r="2079">
      <c r="A2079" t="inlineStr">
        <is>
          <t>Performance Measurement and Metrics</t>
        </is>
      </c>
      <c r="B2079" t="inlineStr">
        <is>
          <t>C</t>
        </is>
      </c>
      <c r="C2079" t="n">
        <v>3505</v>
      </c>
      <c r="D2079" t="inlineStr">
        <is>
          <t>Emerald Group Publishing</t>
        </is>
      </c>
    </row>
    <row r="2080">
      <c r="A2080" t="inlineStr">
        <is>
          <t>Personality and Individual Differences</t>
        </is>
      </c>
      <c r="B2080" t="inlineStr">
        <is>
          <t>A</t>
        </is>
      </c>
      <c r="C2080" t="n">
        <v>3507</v>
      </c>
      <c r="D2080" t="inlineStr">
        <is>
          <t>Elsevier</t>
        </is>
      </c>
    </row>
    <row r="2081">
      <c r="A2081" t="inlineStr">
        <is>
          <t>Personality and Social Psychology Bulletin</t>
        </is>
      </c>
      <c r="B2081" t="inlineStr">
        <is>
          <t>A*</t>
        </is>
      </c>
      <c r="C2081" t="n">
        <v>3507</v>
      </c>
      <c r="D2081" t="inlineStr">
        <is>
          <t>Sage Publications</t>
        </is>
      </c>
    </row>
    <row r="2082">
      <c r="A2082" t="inlineStr">
        <is>
          <t>Personnel Psychology</t>
        </is>
      </c>
      <c r="B2082" t="inlineStr">
        <is>
          <t>A*</t>
        </is>
      </c>
      <c r="C2082" t="n">
        <v>3507</v>
      </c>
      <c r="D2082" t="inlineStr">
        <is>
          <t>Wiley-Blackwell Publishing</t>
        </is>
      </c>
    </row>
    <row r="2083">
      <c r="A2083" t="inlineStr">
        <is>
          <t>Personnel Review</t>
        </is>
      </c>
      <c r="B2083" t="inlineStr">
        <is>
          <t>A</t>
        </is>
      </c>
      <c r="C2083" t="n">
        <v>3505</v>
      </c>
      <c r="D2083" t="inlineStr">
        <is>
          <t>Emerald Group Publishing</t>
        </is>
      </c>
    </row>
    <row r="2084">
      <c r="A2084" t="inlineStr">
        <is>
          <t>Perspectives of Innovations, Economics &amp; Business</t>
        </is>
      </c>
      <c r="B2084" t="inlineStr">
        <is>
          <t>C</t>
        </is>
      </c>
      <c r="C2084" t="n">
        <v>3899</v>
      </c>
      <c r="D2084" t="inlineStr">
        <is>
          <t>Prague Development Center</t>
        </is>
      </c>
    </row>
    <row r="2085">
      <c r="A2085" t="inlineStr">
        <is>
          <t>Perspectives on Work</t>
        </is>
      </c>
      <c r="B2085" t="inlineStr">
        <is>
          <t>C</t>
        </is>
      </c>
      <c r="C2085" t="n">
        <v>3505</v>
      </c>
      <c r="D2085" t="inlineStr">
        <is>
          <t>University of Illinois Press</t>
        </is>
      </c>
    </row>
    <row r="2086">
      <c r="A2086" t="inlineStr">
        <is>
          <t>PharmacoEconomics</t>
        </is>
      </c>
      <c r="B2086" t="inlineStr">
        <is>
          <t>A</t>
        </is>
      </c>
      <c r="C2086" t="n">
        <v>3899</v>
      </c>
      <c r="D2086" t="inlineStr">
        <is>
          <t>Springer International Publishing</t>
        </is>
      </c>
    </row>
    <row r="2087">
      <c r="A2087" t="inlineStr">
        <is>
          <t>Philippine Journal of Labor and Industrial Relations</t>
        </is>
      </c>
      <c r="B2087" t="inlineStr">
        <is>
          <t>C</t>
        </is>
      </c>
      <c r="C2087" t="n">
        <v>3505</v>
      </c>
      <c r="D2087" t="inlineStr">
        <is>
          <t>University of the Philippines, School of Labor and Industrial Relations</t>
        </is>
      </c>
    </row>
    <row r="2088">
      <c r="A2088" t="inlineStr">
        <is>
          <t>Philippine Review of Economics</t>
        </is>
      </c>
      <c r="B2088" t="inlineStr">
        <is>
          <t>C</t>
        </is>
      </c>
      <c r="C2088" t="n">
        <v>3899</v>
      </c>
      <c r="D2088" t="inlineStr">
        <is>
          <t>University of the Phillipines</t>
        </is>
      </c>
    </row>
    <row r="2089">
      <c r="A2089" t="inlineStr">
        <is>
          <t>Philosophy &amp; Public Affairs</t>
        </is>
      </c>
      <c r="B2089" t="inlineStr">
        <is>
          <t>A</t>
        </is>
      </c>
      <c r="C2089" t="n">
        <v>3599</v>
      </c>
      <c r="D2089" t="inlineStr">
        <is>
          <t>Wiley-Blackwell Publishing</t>
        </is>
      </c>
    </row>
    <row r="2090">
      <c r="A2090" t="inlineStr">
        <is>
          <t>Philosophy of Management</t>
        </is>
      </c>
      <c r="B2090" t="inlineStr">
        <is>
          <t>B</t>
        </is>
      </c>
      <c r="C2090" t="n">
        <v>3507</v>
      </c>
      <c r="D2090" t="inlineStr">
        <is>
          <t>Springer International Publishing</t>
        </is>
      </c>
    </row>
    <row r="2091">
      <c r="A2091" t="inlineStr">
        <is>
          <t>Philosophy of the Social Sciences</t>
        </is>
      </c>
      <c r="B2091" t="inlineStr">
        <is>
          <t>B</t>
        </is>
      </c>
      <c r="C2091" t="n">
        <v>3599</v>
      </c>
      <c r="D2091" t="inlineStr">
        <is>
          <t>Sage Publications</t>
        </is>
      </c>
    </row>
    <row r="2092">
      <c r="A2092" t="inlineStr">
        <is>
          <t>Pittsburgh Tax Review</t>
        </is>
      </c>
      <c r="B2092" t="inlineStr">
        <is>
          <t>C</t>
        </is>
      </c>
      <c r="C2092" t="n">
        <v>4801</v>
      </c>
      <c r="D2092" t="inlineStr">
        <is>
          <t>University of Pittsburgh School of Law</t>
        </is>
      </c>
    </row>
    <row r="2093">
      <c r="A2093" t="inlineStr">
        <is>
          <t>Place Branding and Public Diplomacy</t>
        </is>
      </c>
      <c r="B2093" t="inlineStr">
        <is>
          <t>B</t>
        </is>
      </c>
      <c r="C2093" t="n">
        <v>3508</v>
      </c>
      <c r="D2093" t="inlineStr">
        <is>
          <t>Springer International Publishing</t>
        </is>
      </c>
    </row>
    <row r="2094">
      <c r="A2094" t="inlineStr">
        <is>
          <t>Policy and Politics: an international journal</t>
        </is>
      </c>
      <c r="B2094" t="inlineStr">
        <is>
          <t>A</t>
        </is>
      </c>
      <c r="C2094" t="n">
        <v>3599</v>
      </c>
      <c r="D2094" t="inlineStr">
        <is>
          <t>Policy Press</t>
        </is>
      </c>
    </row>
    <row r="2095">
      <c r="A2095" t="inlineStr">
        <is>
          <t>Policy and Society</t>
        </is>
      </c>
      <c r="B2095" t="inlineStr">
        <is>
          <t>B</t>
        </is>
      </c>
      <c r="C2095" t="n">
        <v>3599</v>
      </c>
      <c r="D2095" t="inlineStr">
        <is>
          <t>Oxford University Press</t>
        </is>
      </c>
    </row>
    <row r="2096">
      <c r="A2096" t="inlineStr">
        <is>
          <t>Policy Science</t>
        </is>
      </c>
      <c r="B2096" t="inlineStr">
        <is>
          <t>B</t>
        </is>
      </c>
      <c r="C2096" t="n">
        <v>3599</v>
      </c>
      <c r="D2096" t="inlineStr">
        <is>
          <t>Springer International Publishing</t>
        </is>
      </c>
    </row>
    <row r="2097">
      <c r="A2097" t="inlineStr">
        <is>
          <t>Policy Studies</t>
        </is>
      </c>
      <c r="B2097" t="inlineStr">
        <is>
          <t>B</t>
        </is>
      </c>
      <c r="C2097" t="n">
        <v>3599</v>
      </c>
      <c r="D2097" t="inlineStr">
        <is>
          <t>Taylor &amp; Francis Online</t>
        </is>
      </c>
    </row>
    <row r="2098">
      <c r="A2098" t="inlineStr">
        <is>
          <t>Policy Studies Journal</t>
        </is>
      </c>
      <c r="B2098" t="inlineStr">
        <is>
          <t>B</t>
        </is>
      </c>
      <c r="C2098" t="n">
        <v>3599</v>
      </c>
      <c r="D2098" t="inlineStr">
        <is>
          <t>Wiley-Blackwell Publishing</t>
        </is>
      </c>
    </row>
    <row r="2099">
      <c r="A2099" t="inlineStr">
        <is>
          <t>Political Communication</t>
        </is>
      </c>
      <c r="B2099" t="inlineStr">
        <is>
          <t>A</t>
        </is>
      </c>
      <c r="C2099" t="n">
        <v>3599</v>
      </c>
      <c r="D2099" t="inlineStr">
        <is>
          <t>Taylor &amp; Francis Online</t>
        </is>
      </c>
    </row>
    <row r="2100">
      <c r="A2100" t="inlineStr">
        <is>
          <t>Political Quarterly</t>
        </is>
      </c>
      <c r="B2100" t="inlineStr">
        <is>
          <t>B</t>
        </is>
      </c>
      <c r="C2100" t="n">
        <v>3599</v>
      </c>
      <c r="D2100" t="inlineStr">
        <is>
          <t>Wiley-Blackwell Publishing</t>
        </is>
      </c>
    </row>
    <row r="2101">
      <c r="A2101" t="inlineStr">
        <is>
          <t>Political Science Quarterly</t>
        </is>
      </c>
      <c r="B2101" t="inlineStr">
        <is>
          <t>A</t>
        </is>
      </c>
      <c r="C2101" t="n">
        <v>3599</v>
      </c>
      <c r="D2101" t="inlineStr">
        <is>
          <t>Oxford University Press</t>
        </is>
      </c>
    </row>
    <row r="2102">
      <c r="A2102" t="inlineStr">
        <is>
          <t>Political Studies</t>
        </is>
      </c>
      <c r="B2102" t="inlineStr">
        <is>
          <t>B</t>
        </is>
      </c>
      <c r="C2102" t="n">
        <v>3599</v>
      </c>
      <c r="D2102" t="inlineStr">
        <is>
          <t>Sage Publications</t>
        </is>
      </c>
    </row>
    <row r="2103">
      <c r="A2103" t="inlineStr">
        <is>
          <t>Politicka Ekonomie: teorie, modelovani, aplikace</t>
        </is>
      </c>
      <c r="B2103" t="inlineStr">
        <is>
          <t>B</t>
        </is>
      </c>
      <c r="C2103" t="n">
        <v>3801</v>
      </c>
      <c r="D2103" t="inlineStr">
        <is>
          <t>Vysok akola ekonomick v Praze</t>
        </is>
      </c>
    </row>
    <row r="2104">
      <c r="A2104" t="inlineStr">
        <is>
          <t>Politics and Gender</t>
        </is>
      </c>
      <c r="B2104" t="inlineStr">
        <is>
          <t>A</t>
        </is>
      </c>
      <c r="C2104" t="n">
        <v>3599</v>
      </c>
      <c r="D2104" t="inlineStr">
        <is>
          <t>Cambridge University Press</t>
        </is>
      </c>
    </row>
    <row r="2105">
      <c r="A2105" t="inlineStr">
        <is>
          <t>Politics and Society</t>
        </is>
      </c>
      <c r="B2105" t="inlineStr">
        <is>
          <t>B</t>
        </is>
      </c>
      <c r="C2105" t="n">
        <v>3599</v>
      </c>
      <c r="D2105" t="inlineStr">
        <is>
          <t>Sage Publications</t>
        </is>
      </c>
    </row>
    <row r="2106">
      <c r="A2106" t="inlineStr">
        <is>
          <t>Politics, Philosophy &amp; Economics</t>
        </is>
      </c>
      <c r="B2106" t="inlineStr">
        <is>
          <t>B</t>
        </is>
      </c>
      <c r="C2106" t="n">
        <v>3899</v>
      </c>
      <c r="D2106" t="inlineStr">
        <is>
          <t>Sage Publications</t>
        </is>
      </c>
    </row>
    <row r="2107">
      <c r="A2107" t="inlineStr">
        <is>
          <t>Population</t>
        </is>
      </c>
      <c r="B2107" t="inlineStr">
        <is>
          <t>B</t>
        </is>
      </c>
      <c r="C2107" t="n">
        <v>3599</v>
      </c>
      <c r="D2107" t="inlineStr">
        <is>
          <t>Institut national d'Etudes demographiques</t>
        </is>
      </c>
    </row>
    <row r="2108">
      <c r="A2108" t="inlineStr">
        <is>
          <t>Population and Development Review</t>
        </is>
      </c>
      <c r="B2108" t="inlineStr">
        <is>
          <t>A</t>
        </is>
      </c>
      <c r="C2108" t="n">
        <v>3599</v>
      </c>
      <c r="D2108" t="inlineStr">
        <is>
          <t>Wiley-Blackwell Publishing</t>
        </is>
      </c>
    </row>
    <row r="2109">
      <c r="A2109" t="inlineStr">
        <is>
          <t>Population and Environment</t>
        </is>
      </c>
      <c r="B2109" t="inlineStr">
        <is>
          <t>A</t>
        </is>
      </c>
      <c r="C2109" t="n">
        <v>3599</v>
      </c>
      <c r="D2109" t="inlineStr">
        <is>
          <t>Springer International Publishing</t>
        </is>
      </c>
    </row>
    <row r="2110">
      <c r="A2110" t="inlineStr">
        <is>
          <t>Population Bulletin</t>
        </is>
      </c>
      <c r="B2110" t="inlineStr">
        <is>
          <t>C</t>
        </is>
      </c>
      <c r="C2110" t="n">
        <v>3599</v>
      </c>
      <c r="D2110" t="inlineStr">
        <is>
          <t>Population Reference Bureau</t>
        </is>
      </c>
    </row>
    <row r="2111">
      <c r="A2111" t="inlineStr">
        <is>
          <t>Population Research and Policy Review</t>
        </is>
      </c>
      <c r="B2111" t="inlineStr">
        <is>
          <t>A</t>
        </is>
      </c>
      <c r="C2111" t="n">
        <v>3599</v>
      </c>
      <c r="D2111" t="inlineStr">
        <is>
          <t>Springer International Publishing</t>
        </is>
      </c>
    </row>
    <row r="2112">
      <c r="A2112" t="inlineStr">
        <is>
          <t>Population Studies: a journal of demography</t>
        </is>
      </c>
      <c r="B2112" t="inlineStr">
        <is>
          <t>A</t>
        </is>
      </c>
      <c r="C2112" t="n">
        <v>3599</v>
      </c>
      <c r="D2112" t="inlineStr">
        <is>
          <t>Taylor &amp; Francis Online</t>
        </is>
      </c>
    </row>
    <row r="2113">
      <c r="A2113" t="inlineStr">
        <is>
          <t>Population, Space and Place</t>
        </is>
      </c>
      <c r="B2113" t="inlineStr">
        <is>
          <t>A</t>
        </is>
      </c>
      <c r="C2113" t="n">
        <v>3599</v>
      </c>
      <c r="D2113" t="inlineStr">
        <is>
          <t>Wiley-Blackwell Publishing</t>
        </is>
      </c>
    </row>
    <row r="2114">
      <c r="A2114" t="inlineStr">
        <is>
          <t>Portuguese Economic Journal</t>
        </is>
      </c>
      <c r="B2114" t="inlineStr">
        <is>
          <t>C</t>
        </is>
      </c>
      <c r="C2114" t="n">
        <v>3801</v>
      </c>
      <c r="D2114" t="inlineStr">
        <is>
          <t>Springer International Publishing</t>
        </is>
      </c>
    </row>
    <row r="2115">
      <c r="A2115" t="inlineStr">
        <is>
          <t>Post-Communist Economies</t>
        </is>
      </c>
      <c r="B2115" t="inlineStr">
        <is>
          <t>B</t>
        </is>
      </c>
      <c r="C2115" t="n">
        <v>3801</v>
      </c>
      <c r="D2115" t="inlineStr">
        <is>
          <t>Taylor &amp; Francis Online</t>
        </is>
      </c>
    </row>
    <row r="2116">
      <c r="A2116" t="inlineStr">
        <is>
          <t>Post-Soviet Affairs</t>
        </is>
      </c>
      <c r="B2116" t="inlineStr">
        <is>
          <t>B</t>
        </is>
      </c>
      <c r="C2116" t="n">
        <v>3599</v>
      </c>
      <c r="D2116" t="inlineStr">
        <is>
          <t>Taylor &amp; Francis Online</t>
        </is>
      </c>
    </row>
    <row r="2117">
      <c r="A2117" t="inlineStr">
        <is>
          <t>Prague Economic Papers</t>
        </is>
      </c>
      <c r="B2117" t="inlineStr">
        <is>
          <t>C</t>
        </is>
      </c>
      <c r="C2117" t="n">
        <v>3801</v>
      </c>
      <c r="D2117" t="inlineStr">
        <is>
          <t>University of Economics, Prague</t>
        </is>
      </c>
    </row>
    <row r="2118">
      <c r="A2118" t="inlineStr">
        <is>
          <t>PRism</t>
        </is>
      </c>
      <c r="B2118" t="inlineStr">
        <is>
          <t>B</t>
        </is>
      </c>
      <c r="C2118" t="n">
        <v>3506</v>
      </c>
      <c r="D2118" t="inlineStr">
        <is>
          <t>Center for Culture-Centered Approach to Research and Evaluation
Massey University</t>
        </is>
      </c>
    </row>
    <row r="2119">
      <c r="A2119" t="inlineStr">
        <is>
          <t>Probability Theory and Related Fields</t>
        </is>
      </c>
      <c r="B2119" t="inlineStr">
        <is>
          <t>A*</t>
        </is>
      </c>
      <c r="C2119" t="n">
        <v>4905</v>
      </c>
      <c r="D2119" t="inlineStr">
        <is>
          <t>Springer International Publishing</t>
        </is>
      </c>
    </row>
    <row r="2120">
      <c r="A2120" t="inlineStr">
        <is>
          <t>Problems of Development / Problemas del Desarrollo</t>
        </is>
      </c>
      <c r="B2120" t="inlineStr">
        <is>
          <t>C</t>
        </is>
      </c>
      <c r="C2120" t="n">
        <v>3801</v>
      </c>
      <c r="D2120" t="inlineStr">
        <is>
          <t>National Autonomous University of Mexico</t>
        </is>
      </c>
    </row>
    <row r="2121">
      <c r="A2121" t="inlineStr">
        <is>
          <t>Problems of Economic Transition</t>
        </is>
      </c>
      <c r="B2121" t="inlineStr">
        <is>
          <t>B</t>
        </is>
      </c>
      <c r="C2121" t="n">
        <v>3801</v>
      </c>
      <c r="D2121" t="inlineStr">
        <is>
          <t>Taylor &amp; Francis Online</t>
        </is>
      </c>
    </row>
    <row r="2122">
      <c r="A2122" t="inlineStr">
        <is>
          <t>Production and Operations Management</t>
        </is>
      </c>
      <c r="B2122" t="inlineStr">
        <is>
          <t>A*</t>
        </is>
      </c>
      <c r="C2122" t="n">
        <v>3509</v>
      </c>
      <c r="D2122" t="inlineStr">
        <is>
          <t>Sage Publications</t>
        </is>
      </c>
    </row>
    <row r="2123">
      <c r="A2123" t="inlineStr">
        <is>
          <t>Production Planning and Control</t>
        </is>
      </c>
      <c r="B2123" t="inlineStr">
        <is>
          <t>A</t>
        </is>
      </c>
      <c r="C2123" t="n">
        <v>3507</v>
      </c>
      <c r="D2123" t="inlineStr">
        <is>
          <t>Taylor &amp; Francis Online</t>
        </is>
      </c>
    </row>
    <row r="2124">
      <c r="A2124" t="inlineStr">
        <is>
          <t>Progress in Development Studies</t>
        </is>
      </c>
      <c r="B2124" t="inlineStr">
        <is>
          <t>C</t>
        </is>
      </c>
      <c r="C2124" t="n">
        <v>3801</v>
      </c>
      <c r="D2124" t="inlineStr">
        <is>
          <t>Sage Publications</t>
        </is>
      </c>
    </row>
    <row r="2125">
      <c r="A2125" t="inlineStr">
        <is>
          <t>Project Leadership &amp; Society</t>
        </is>
      </c>
      <c r="B2125" t="inlineStr">
        <is>
          <t>C</t>
        </is>
      </c>
      <c r="C2125" t="n">
        <v>3507</v>
      </c>
      <c r="D2125" t="inlineStr">
        <is>
          <t>Elsevier Ltd</t>
        </is>
      </c>
    </row>
    <row r="2126">
      <c r="A2126" t="inlineStr">
        <is>
          <t>Project Management Journal</t>
        </is>
      </c>
      <c r="B2126" t="inlineStr">
        <is>
          <t>B</t>
        </is>
      </c>
      <c r="C2126" t="n">
        <v>3507</v>
      </c>
      <c r="D2126" t="inlineStr">
        <is>
          <t>Sage Publications</t>
        </is>
      </c>
    </row>
    <row r="2127">
      <c r="A2127" t="inlineStr">
        <is>
          <t>Prometheus: Critical Studies in Innovation</t>
        </is>
      </c>
      <c r="B2127" t="inlineStr">
        <is>
          <t>B</t>
        </is>
      </c>
      <c r="C2127" t="n">
        <v>3507</v>
      </c>
      <c r="D2127" t="inlineStr">
        <is>
          <t>Taylor &amp; Francis Online</t>
        </is>
      </c>
    </row>
    <row r="2128">
      <c r="A2128" t="inlineStr">
        <is>
          <t>Property Management</t>
        </is>
      </c>
      <c r="B2128" t="inlineStr">
        <is>
          <t>B</t>
        </is>
      </c>
      <c r="C2128" t="n">
        <v>3504</v>
      </c>
      <c r="D2128" t="inlineStr">
        <is>
          <t>Emerald Group Publishing</t>
        </is>
      </c>
    </row>
    <row r="2129">
      <c r="A2129" t="inlineStr">
        <is>
          <t>Psychological Bulletin</t>
        </is>
      </c>
      <c r="B2129" t="inlineStr">
        <is>
          <t>A*</t>
        </is>
      </c>
      <c r="C2129" t="n">
        <v>3507</v>
      </c>
      <c r="D2129" t="inlineStr">
        <is>
          <t>American Psychological Association</t>
        </is>
      </c>
    </row>
    <row r="2130">
      <c r="A2130" t="inlineStr">
        <is>
          <t>Psychological Methods</t>
        </is>
      </c>
      <c r="B2130" t="inlineStr">
        <is>
          <t>B</t>
        </is>
      </c>
      <c r="C2130" t="n">
        <v>3507</v>
      </c>
      <c r="D2130" t="inlineStr">
        <is>
          <t>American Psychological Association</t>
        </is>
      </c>
    </row>
    <row r="2131">
      <c r="A2131" t="inlineStr">
        <is>
          <t>Psychological Research</t>
        </is>
      </c>
      <c r="B2131" t="inlineStr">
        <is>
          <t>A</t>
        </is>
      </c>
      <c r="C2131" t="n">
        <v>3507</v>
      </c>
      <c r="D2131" t="inlineStr">
        <is>
          <t>Springer International Publishing</t>
        </is>
      </c>
    </row>
    <row r="2132">
      <c r="A2132" t="inlineStr">
        <is>
          <t>Psychological Review</t>
        </is>
      </c>
      <c r="B2132" t="inlineStr">
        <is>
          <t>A*</t>
        </is>
      </c>
      <c r="C2132" t="n">
        <v>3507</v>
      </c>
      <c r="D2132" t="inlineStr">
        <is>
          <t>American Psychological Association</t>
        </is>
      </c>
    </row>
    <row r="2133">
      <c r="A2133" t="inlineStr">
        <is>
          <t>Psychological Science</t>
        </is>
      </c>
      <c r="B2133" t="inlineStr">
        <is>
          <t>A*</t>
        </is>
      </c>
      <c r="C2133" t="n">
        <v>3507</v>
      </c>
      <c r="D2133" t="inlineStr">
        <is>
          <t>Sage Publications</t>
        </is>
      </c>
    </row>
    <row r="2134">
      <c r="A2134" t="inlineStr">
        <is>
          <t>Psychology &amp; Marketing</t>
        </is>
      </c>
      <c r="B2134" t="inlineStr">
        <is>
          <t>A</t>
        </is>
      </c>
      <c r="C2134" t="n">
        <v>3506</v>
      </c>
      <c r="D2134" t="inlineStr">
        <is>
          <t>Wiley-Blackwell Publishing</t>
        </is>
      </c>
    </row>
    <row r="2135">
      <c r="A2135" t="inlineStr">
        <is>
          <t>Psychology of Women Quarterly</t>
        </is>
      </c>
      <c r="B2135" t="inlineStr">
        <is>
          <t>A</t>
        </is>
      </c>
      <c r="C2135" t="n">
        <v>3507</v>
      </c>
      <c r="D2135" t="inlineStr">
        <is>
          <t>Sage Publications</t>
        </is>
      </c>
    </row>
    <row r="2136">
      <c r="A2136" t="inlineStr">
        <is>
          <t>Public Administration and Development</t>
        </is>
      </c>
      <c r="B2136" t="inlineStr">
        <is>
          <t>A</t>
        </is>
      </c>
      <c r="C2136" t="n">
        <v>3599</v>
      </c>
      <c r="D2136" t="inlineStr">
        <is>
          <t>Wiley-Blackwell Publishing</t>
        </is>
      </c>
    </row>
    <row r="2137">
      <c r="A2137" t="inlineStr">
        <is>
          <t>Public Administration Quarterly</t>
        </is>
      </c>
      <c r="B2137" t="inlineStr">
        <is>
          <t>A</t>
        </is>
      </c>
      <c r="C2137" t="n">
        <v>3599</v>
      </c>
      <c r="D2137" t="inlineStr">
        <is>
          <t>Sage Publications</t>
        </is>
      </c>
    </row>
    <row r="2138">
      <c r="A2138" t="inlineStr">
        <is>
          <t>Public Administration Review</t>
        </is>
      </c>
      <c r="B2138" t="inlineStr">
        <is>
          <t>A</t>
        </is>
      </c>
      <c r="C2138" t="n">
        <v>3599</v>
      </c>
      <c r="D2138" t="inlineStr">
        <is>
          <t>Wiley-Blackwell Publishing</t>
        </is>
      </c>
    </row>
    <row r="2139">
      <c r="A2139" t="inlineStr">
        <is>
          <t>Public Administration: an international journal</t>
        </is>
      </c>
      <c r="B2139" t="inlineStr">
        <is>
          <t>A</t>
        </is>
      </c>
      <c r="C2139" t="n">
        <v>3599</v>
      </c>
      <c r="D2139" t="inlineStr">
        <is>
          <t>Wiley-Blackwell Publishing</t>
        </is>
      </c>
    </row>
    <row r="2140">
      <c r="A2140" t="inlineStr">
        <is>
          <t>Public Budgeting &amp; Finance</t>
        </is>
      </c>
      <c r="B2140" t="inlineStr">
        <is>
          <t>C</t>
        </is>
      </c>
      <c r="C2140" t="n">
        <v>3801</v>
      </c>
      <c r="D2140" t="inlineStr">
        <is>
          <t>Wiley-Blackwell Publishing</t>
        </is>
      </c>
    </row>
    <row r="2141">
      <c r="A2141" t="inlineStr">
        <is>
          <t>Public Choice</t>
        </is>
      </c>
      <c r="B2141" t="inlineStr">
        <is>
          <t>A</t>
        </is>
      </c>
      <c r="C2141" t="n">
        <v>3801</v>
      </c>
      <c r="D2141" t="inlineStr">
        <is>
          <t>Springer International Publishing</t>
        </is>
      </c>
    </row>
    <row r="2142">
      <c r="A2142" t="inlineStr">
        <is>
          <t>Public Finance Analysis / FinanzArchiv</t>
        </is>
      </c>
      <c r="B2142" t="inlineStr">
        <is>
          <t>B</t>
        </is>
      </c>
      <c r="C2142" t="n">
        <v>3502</v>
      </c>
      <c r="D2142" t="inlineStr">
        <is>
          <t>Mohr Siebeck Verlag</t>
        </is>
      </c>
    </row>
    <row r="2143">
      <c r="A2143" t="inlineStr">
        <is>
          <t>Public Finance and Management</t>
        </is>
      </c>
      <c r="B2143" t="inlineStr">
        <is>
          <t>B</t>
        </is>
      </c>
      <c r="C2143" t="n">
        <v>3502</v>
      </c>
      <c r="D2143" t="inlineStr">
        <is>
          <t>Sage Publications</t>
        </is>
      </c>
    </row>
    <row r="2144">
      <c r="A2144" t="inlineStr">
        <is>
          <t>Public Finance Review</t>
        </is>
      </c>
      <c r="B2144" t="inlineStr">
        <is>
          <t>B</t>
        </is>
      </c>
      <c r="C2144" t="n">
        <v>3801</v>
      </c>
      <c r="D2144" t="inlineStr">
        <is>
          <t>Sage Publications</t>
        </is>
      </c>
    </row>
    <row r="2145">
      <c r="A2145" t="inlineStr">
        <is>
          <t>Public Law: the constitutional and administrative law of the Commonwealth</t>
        </is>
      </c>
      <c r="B2145" t="inlineStr">
        <is>
          <t>A</t>
        </is>
      </c>
      <c r="C2145" t="n">
        <v>4801</v>
      </c>
      <c r="D2145" t="inlineStr">
        <is>
          <t>Sweet &amp; Maxwell</t>
        </is>
      </c>
    </row>
    <row r="2146">
      <c r="A2146" t="inlineStr">
        <is>
          <t>Public Management Review</t>
        </is>
      </c>
      <c r="B2146" t="inlineStr">
        <is>
          <t>A</t>
        </is>
      </c>
      <c r="C2146" t="n">
        <v>3507</v>
      </c>
      <c r="D2146" t="inlineStr">
        <is>
          <t>Taylor &amp; Francis Online</t>
        </is>
      </c>
    </row>
    <row r="2147">
      <c r="A2147" t="inlineStr">
        <is>
          <t>Public Money &amp; Management</t>
        </is>
      </c>
      <c r="B2147" t="inlineStr">
        <is>
          <t>A</t>
        </is>
      </c>
      <c r="C2147" t="n">
        <v>3507</v>
      </c>
      <c r="D2147" t="inlineStr">
        <is>
          <t>Taylor &amp; Francis Online</t>
        </is>
      </c>
    </row>
    <row r="2148">
      <c r="A2148" t="inlineStr">
        <is>
          <t>Public Opinion Quarterly</t>
        </is>
      </c>
      <c r="B2148" t="inlineStr">
        <is>
          <t>A</t>
        </is>
      </c>
      <c r="C2148" t="n">
        <v>3599</v>
      </c>
      <c r="D2148" t="inlineStr">
        <is>
          <t>Oxford University Press</t>
        </is>
      </c>
    </row>
    <row r="2149">
      <c r="A2149" t="inlineStr">
        <is>
          <t>Public Performance &amp; Management Review</t>
        </is>
      </c>
      <c r="B2149" t="inlineStr">
        <is>
          <t>B</t>
        </is>
      </c>
      <c r="C2149" t="n">
        <v>3507</v>
      </c>
      <c r="D2149" t="inlineStr">
        <is>
          <t>Taylor &amp; Francis Online</t>
        </is>
      </c>
    </row>
    <row r="2150">
      <c r="A2150" t="inlineStr">
        <is>
          <t>Public Personnel Management</t>
        </is>
      </c>
      <c r="B2150" t="inlineStr">
        <is>
          <t>B</t>
        </is>
      </c>
      <c r="C2150" t="n">
        <v>3507</v>
      </c>
      <c r="D2150" t="inlineStr">
        <is>
          <t>Sage Publications</t>
        </is>
      </c>
    </row>
    <row r="2151">
      <c r="A2151" t="inlineStr">
        <is>
          <t>Public Policy and Administration</t>
        </is>
      </c>
      <c r="B2151" t="inlineStr">
        <is>
          <t>B</t>
        </is>
      </c>
      <c r="C2151" t="n">
        <v>3599</v>
      </c>
      <c r="D2151" t="inlineStr">
        <is>
          <t>Sage Publications</t>
        </is>
      </c>
    </row>
    <row r="2152">
      <c r="A2152" t="inlineStr">
        <is>
          <t>Public Policy Research</t>
        </is>
      </c>
      <c r="B2152" t="inlineStr">
        <is>
          <t>C</t>
        </is>
      </c>
      <c r="C2152" t="n">
        <v>3899</v>
      </c>
      <c r="D2152" t="inlineStr">
        <is>
          <t>Wiley-Blackwell Publishing</t>
        </is>
      </c>
    </row>
    <row r="2153">
      <c r="A2153" t="inlineStr">
        <is>
          <t>Public Relations Inquiry</t>
        </is>
      </c>
      <c r="B2153" t="inlineStr">
        <is>
          <t>B</t>
        </is>
      </c>
      <c r="C2153" t="n">
        <v>3506</v>
      </c>
      <c r="D2153" t="inlineStr">
        <is>
          <t>Sage Publications</t>
        </is>
      </c>
    </row>
    <row r="2154">
      <c r="A2154" t="inlineStr">
        <is>
          <t>Public Relations Review</t>
        </is>
      </c>
      <c r="B2154" t="inlineStr">
        <is>
          <t>A</t>
        </is>
      </c>
      <c r="C2154" t="n">
        <v>3506</v>
      </c>
      <c r="D2154" t="inlineStr">
        <is>
          <t>Elsevier</t>
        </is>
      </c>
    </row>
    <row r="2155">
      <c r="A2155" t="inlineStr">
        <is>
          <t>Publishing Research Quarterly</t>
        </is>
      </c>
      <c r="B2155" t="inlineStr">
        <is>
          <t>C</t>
        </is>
      </c>
      <c r="C2155" t="n">
        <v>3599</v>
      </c>
      <c r="D2155" t="inlineStr">
        <is>
          <t>Springer International Publishing</t>
        </is>
      </c>
    </row>
    <row r="2156">
      <c r="A2156" t="inlineStr">
        <is>
          <t>Q Open: A Journal of Agricultural, Climate, Environmental, Food, Resource, and Rural Development Economics</t>
        </is>
      </c>
      <c r="B2156" t="inlineStr">
        <is>
          <t>C</t>
        </is>
      </c>
      <c r="C2156" t="n">
        <v>3801</v>
      </c>
      <c r="D2156" t="inlineStr">
        <is>
          <t>Oxford Academic</t>
        </is>
      </c>
    </row>
    <row r="2157">
      <c r="A2157" t="inlineStr">
        <is>
          <t>Qualitative Market Research: an international journal</t>
        </is>
      </c>
      <c r="B2157" t="inlineStr">
        <is>
          <t>B</t>
        </is>
      </c>
      <c r="C2157" t="n">
        <v>3506</v>
      </c>
      <c r="D2157" t="inlineStr">
        <is>
          <t>Emerald Group Publishing</t>
        </is>
      </c>
    </row>
    <row r="2158">
      <c r="A2158" t="inlineStr">
        <is>
          <t>Qualitative Research in Accounting and Management</t>
        </is>
      </c>
      <c r="B2158" t="inlineStr">
        <is>
          <t>A</t>
        </is>
      </c>
      <c r="C2158" t="n">
        <v>3501</v>
      </c>
      <c r="D2158" t="inlineStr">
        <is>
          <t>Emerald Group Publishing</t>
        </is>
      </c>
    </row>
    <row r="2159">
      <c r="A2159" t="inlineStr">
        <is>
          <t>Qualitative Research in Financial Markets</t>
        </is>
      </c>
      <c r="B2159" t="inlineStr">
        <is>
          <t>B</t>
        </is>
      </c>
      <c r="C2159" t="n">
        <v>3502</v>
      </c>
      <c r="D2159" t="inlineStr">
        <is>
          <t>Emerald Group Publishing</t>
        </is>
      </c>
    </row>
    <row r="2160">
      <c r="A2160" t="inlineStr">
        <is>
          <t>Qualitative Research in Organizations and Management</t>
        </is>
      </c>
      <c r="B2160" t="inlineStr">
        <is>
          <t>B</t>
        </is>
      </c>
      <c r="C2160" t="n">
        <v>3507</v>
      </c>
      <c r="D2160" t="inlineStr">
        <is>
          <t>Emerald Group Publishing</t>
        </is>
      </c>
    </row>
    <row r="2161">
      <c r="A2161" t="inlineStr">
        <is>
          <t>Quality &amp; Quantity</t>
        </is>
      </c>
      <c r="B2161" t="inlineStr">
        <is>
          <t>B</t>
        </is>
      </c>
      <c r="C2161" t="n">
        <v>3599</v>
      </c>
      <c r="D2161" t="inlineStr">
        <is>
          <t>Springer International Publishing</t>
        </is>
      </c>
    </row>
    <row r="2162">
      <c r="A2162" t="inlineStr">
        <is>
          <t>Quality Management Journal</t>
        </is>
      </c>
      <c r="B2162" t="inlineStr">
        <is>
          <t>B</t>
        </is>
      </c>
      <c r="C2162" t="n">
        <v>3509</v>
      </c>
      <c r="D2162" t="inlineStr">
        <is>
          <t>Taylor &amp; Francis Online</t>
        </is>
      </c>
    </row>
    <row r="2163">
      <c r="A2163" t="inlineStr">
        <is>
          <t>Quality of Life Research</t>
        </is>
      </c>
      <c r="B2163" t="inlineStr">
        <is>
          <t>A</t>
        </is>
      </c>
      <c r="C2163" t="n">
        <v>3599</v>
      </c>
      <c r="D2163" t="inlineStr">
        <is>
          <t>Springer International Publishing</t>
        </is>
      </c>
    </row>
    <row r="2164">
      <c r="A2164" t="inlineStr">
        <is>
          <t>Quality Technology and Quantitative Management</t>
        </is>
      </c>
      <c r="B2164" t="inlineStr">
        <is>
          <t>C</t>
        </is>
      </c>
      <c r="C2164" t="n">
        <v>3503</v>
      </c>
      <c r="D2164" t="inlineStr">
        <is>
          <t>Taylor &amp; Francis</t>
        </is>
      </c>
    </row>
    <row r="2165">
      <c r="A2165" t="inlineStr">
        <is>
          <t>Quantitative Economics</t>
        </is>
      </c>
      <c r="B2165" t="inlineStr">
        <is>
          <t>A*</t>
        </is>
      </c>
      <c r="C2165" t="n">
        <v>3802</v>
      </c>
      <c r="D2165" t="inlineStr">
        <is>
          <t>Wiley-Blackwell Publishing</t>
        </is>
      </c>
    </row>
    <row r="2166">
      <c r="A2166" t="inlineStr">
        <is>
          <t>Quantitative Finance</t>
        </is>
      </c>
      <c r="B2166" t="inlineStr">
        <is>
          <t>A</t>
        </is>
      </c>
      <c r="C2166" t="n">
        <v>3502</v>
      </c>
      <c r="D2166" t="inlineStr">
        <is>
          <t>Taylor &amp; Francis Online</t>
        </is>
      </c>
    </row>
    <row r="2167">
      <c r="A2167" t="inlineStr">
        <is>
          <t>Quantitative Marketing and Economics</t>
        </is>
      </c>
      <c r="B2167" t="inlineStr">
        <is>
          <t>A</t>
        </is>
      </c>
      <c r="C2167" t="n">
        <v>3506</v>
      </c>
      <c r="D2167" t="inlineStr">
        <is>
          <t>Springer International Publishing</t>
        </is>
      </c>
    </row>
    <row r="2168">
      <c r="A2168" t="inlineStr">
        <is>
          <t>Quarterly Journal of Experimental Psychology</t>
        </is>
      </c>
      <c r="B2168" t="inlineStr">
        <is>
          <t>A</t>
        </is>
      </c>
      <c r="C2168" t="n">
        <v>3507</v>
      </c>
      <c r="D2168" t="inlineStr">
        <is>
          <t>Sage Publications</t>
        </is>
      </c>
    </row>
    <row r="2169">
      <c r="A2169" t="inlineStr">
        <is>
          <t>Quarterly Journal of Finance</t>
        </is>
      </c>
      <c r="B2169" t="inlineStr">
        <is>
          <t>A</t>
        </is>
      </c>
      <c r="C2169" t="n">
        <v>3502</v>
      </c>
      <c r="D2169" t="inlineStr">
        <is>
          <t>World Scientific Publishing</t>
        </is>
      </c>
    </row>
    <row r="2170">
      <c r="A2170" t="inlineStr">
        <is>
          <t>Quarterly Journal of Finance and Accounting</t>
        </is>
      </c>
      <c r="B2170" t="inlineStr">
        <is>
          <t>B</t>
        </is>
      </c>
      <c r="C2170" t="n">
        <v>3501</v>
      </c>
      <c r="D2170" t="inlineStr">
        <is>
          <t>Creighton University</t>
        </is>
      </c>
    </row>
    <row r="2171">
      <c r="A2171" t="inlineStr">
        <is>
          <t>Quarterly Journal of Political Science</t>
        </is>
      </c>
      <c r="B2171" t="inlineStr">
        <is>
          <t>B</t>
        </is>
      </c>
      <c r="C2171" t="n">
        <v>3599</v>
      </c>
      <c r="D2171" t="inlineStr">
        <is>
          <t>Now Publishers</t>
        </is>
      </c>
    </row>
    <row r="2172">
      <c r="A2172" t="inlineStr">
        <is>
          <t>Quarterly Review of Economics and Finance</t>
        </is>
      </c>
      <c r="B2172" t="inlineStr">
        <is>
          <t>B</t>
        </is>
      </c>
      <c r="C2172" t="n">
        <v>3801</v>
      </c>
      <c r="D2172" t="inlineStr">
        <is>
          <t>Elsevier</t>
        </is>
      </c>
    </row>
    <row r="2173">
      <c r="A2173" t="inlineStr">
        <is>
          <t>Queen Mary Journal of Intellectual Property</t>
        </is>
      </c>
      <c r="B2173" t="inlineStr">
        <is>
          <t>B</t>
        </is>
      </c>
      <c r="C2173" t="n">
        <v>4801</v>
      </c>
      <c r="D2173" t="inlineStr">
        <is>
          <t>Elgar Online</t>
        </is>
      </c>
    </row>
    <row r="2174">
      <c r="A2174" t="inlineStr">
        <is>
          <t>Quest</t>
        </is>
      </c>
      <c r="B2174" t="inlineStr">
        <is>
          <t>C</t>
        </is>
      </c>
      <c r="C2174" t="n">
        <v>3504</v>
      </c>
      <c r="D2174" t="inlineStr">
        <is>
          <t>Taylor &amp; Francis Online</t>
        </is>
      </c>
    </row>
    <row r="2175">
      <c r="A2175" t="inlineStr">
        <is>
          <t>QUT Law Review</t>
        </is>
      </c>
      <c r="B2175" t="inlineStr">
        <is>
          <t>C</t>
        </is>
      </c>
      <c r="C2175" t="n">
        <v>4801</v>
      </c>
      <c r="D2175" t="inlineStr">
        <is>
          <t>Queensland University of Technology</t>
        </is>
      </c>
    </row>
    <row r="2176">
      <c r="A2176" t="inlineStr">
        <is>
          <t>R&amp;D Management</t>
        </is>
      </c>
      <c r="B2176" t="inlineStr">
        <is>
          <t>A</t>
        </is>
      </c>
      <c r="C2176" t="n">
        <v>3507</v>
      </c>
      <c r="D2176" t="inlineStr">
        <is>
          <t>Wiley-Blackwell Publishing</t>
        </is>
      </c>
    </row>
    <row r="2177">
      <c r="A2177" t="inlineStr">
        <is>
          <t>RAE-Revista de Administracao de Empresas</t>
        </is>
      </c>
      <c r="B2177" t="inlineStr">
        <is>
          <t>C</t>
        </is>
      </c>
      <c r="C2177" t="n">
        <v>3507</v>
      </c>
      <c r="D2177" t="inlineStr">
        <is>
          <t>Fundacao Getulio Vargas School of Business Administration</t>
        </is>
      </c>
    </row>
    <row r="2178">
      <c r="A2178" t="inlineStr">
        <is>
          <t>RAND Journal of Economics</t>
        </is>
      </c>
      <c r="B2178" t="inlineStr">
        <is>
          <t>A*</t>
        </is>
      </c>
      <c r="C2178" t="n">
        <v>3801</v>
      </c>
      <c r="D2178" t="inlineStr">
        <is>
          <t>Wiley-Blackwell Publishing</t>
        </is>
      </c>
    </row>
    <row r="2179">
      <c r="A2179" t="inlineStr">
        <is>
          <t>Rationality and Society</t>
        </is>
      </c>
      <c r="B2179" t="inlineStr">
        <is>
          <t>B</t>
        </is>
      </c>
      <c r="C2179" t="n">
        <v>3599</v>
      </c>
      <c r="D2179" t="inlineStr">
        <is>
          <t>Sage Publications</t>
        </is>
      </c>
    </row>
    <row r="2180">
      <c r="A2180" t="inlineStr">
        <is>
          <t>Reading in Political Economy</t>
        </is>
      </c>
      <c r="B2180" t="inlineStr">
        <is>
          <t>C</t>
        </is>
      </c>
      <c r="C2180" t="n">
        <v>3801</v>
      </c>
      <c r="D2180" t="inlineStr"/>
    </row>
    <row r="2181">
      <c r="A2181" t="inlineStr">
        <is>
          <t>Real Estate Economics</t>
        </is>
      </c>
      <c r="B2181" t="inlineStr">
        <is>
          <t>A</t>
        </is>
      </c>
      <c r="C2181" t="n">
        <v>3502</v>
      </c>
      <c r="D2181" t="inlineStr">
        <is>
          <t>Wiley-Blackwell Publishing</t>
        </is>
      </c>
    </row>
    <row r="2182">
      <c r="A2182" t="inlineStr">
        <is>
          <t>Real Estate Law Journal</t>
        </is>
      </c>
      <c r="B2182" t="inlineStr">
        <is>
          <t>C</t>
        </is>
      </c>
      <c r="C2182" t="n">
        <v>4801</v>
      </c>
      <c r="D2182" t="inlineStr">
        <is>
          <t>Warren, Gorham &amp; Lamont</t>
        </is>
      </c>
    </row>
    <row r="2183">
      <c r="A2183" t="inlineStr">
        <is>
          <t>Real Estate Taxation</t>
        </is>
      </c>
      <c r="B2183" t="inlineStr">
        <is>
          <t>C</t>
        </is>
      </c>
      <c r="C2183" t="n">
        <v>4801</v>
      </c>
      <c r="D2183" t="inlineStr">
        <is>
          <t>Thomson Reuters</t>
        </is>
      </c>
    </row>
    <row r="2184">
      <c r="A2184" t="inlineStr">
        <is>
          <t>Real Property, Trust and Estate Law Journal</t>
        </is>
      </c>
      <c r="B2184" t="inlineStr">
        <is>
          <t>C</t>
        </is>
      </c>
      <c r="C2184" t="n">
        <v>4801</v>
      </c>
      <c r="D2184" t="inlineStr">
        <is>
          <t>American Bar Association</t>
        </is>
      </c>
    </row>
    <row r="2185">
      <c r="A2185" t="inlineStr">
        <is>
          <t>Recherches Economiques de Louvain</t>
        </is>
      </c>
      <c r="B2185" t="inlineStr">
        <is>
          <t>B</t>
        </is>
      </c>
      <c r="C2185" t="n">
        <v>3801</v>
      </c>
      <c r="D2185" t="inlineStr">
        <is>
          <t>De Boeck Superior</t>
        </is>
      </c>
    </row>
    <row r="2186">
      <c r="A2186" t="inlineStr">
        <is>
          <t>Records Management Journal</t>
        </is>
      </c>
      <c r="B2186" t="inlineStr">
        <is>
          <t>C</t>
        </is>
      </c>
      <c r="C2186" t="n">
        <v>4609</v>
      </c>
      <c r="D2186" t="inlineStr">
        <is>
          <t>Emerald Group Publishing</t>
        </is>
      </c>
    </row>
    <row r="2187">
      <c r="A2187" t="inlineStr">
        <is>
          <t>Reflets et Perspectives de la Vie Economique</t>
        </is>
      </c>
      <c r="B2187" t="inlineStr">
        <is>
          <t>C</t>
        </is>
      </c>
      <c r="C2187" t="n">
        <v>3801</v>
      </c>
      <c r="D2187" t="inlineStr">
        <is>
          <t>De Boeck Superior</t>
        </is>
      </c>
    </row>
    <row r="2188">
      <c r="A2188" t="inlineStr">
        <is>
          <t>Regional Science and Urban Economics</t>
        </is>
      </c>
      <c r="B2188" t="inlineStr">
        <is>
          <t>A</t>
        </is>
      </c>
      <c r="C2188" t="n">
        <v>3801</v>
      </c>
      <c r="D2188" t="inlineStr">
        <is>
          <t>Elsevier</t>
        </is>
      </c>
    </row>
    <row r="2189">
      <c r="A2189" t="inlineStr">
        <is>
          <t>Regional Studies</t>
        </is>
      </c>
      <c r="B2189" t="inlineStr">
        <is>
          <t>A*</t>
        </is>
      </c>
      <c r="C2189" t="n">
        <v>3599</v>
      </c>
      <c r="D2189" t="inlineStr">
        <is>
          <t>Taylor &amp; Francis Online</t>
        </is>
      </c>
    </row>
    <row r="2190">
      <c r="A2190" t="inlineStr">
        <is>
          <t>Regional Studies, Regional Science</t>
        </is>
      </c>
      <c r="B2190" t="inlineStr">
        <is>
          <t>A</t>
        </is>
      </c>
      <c r="C2190" t="n">
        <v>3599</v>
      </c>
      <c r="D2190" t="inlineStr">
        <is>
          <t>Taylor &amp; Francis Online</t>
        </is>
      </c>
    </row>
    <row r="2191">
      <c r="A2191" t="inlineStr">
        <is>
          <t>Regulation and Governance</t>
        </is>
      </c>
      <c r="B2191" t="inlineStr">
        <is>
          <t>A</t>
        </is>
      </c>
      <c r="C2191" t="n">
        <v>4801</v>
      </c>
      <c r="D2191" t="inlineStr">
        <is>
          <t>Wiley-Blackwell Publishing</t>
        </is>
      </c>
    </row>
    <row r="2192">
      <c r="A2192" t="inlineStr">
        <is>
          <t>Relations Industrielles/Industrial Relations</t>
        </is>
      </c>
      <c r="B2192" t="inlineStr">
        <is>
          <t>B</t>
        </is>
      </c>
      <c r="C2192" t="n">
        <v>3505</v>
      </c>
      <c r="D2192" t="inlineStr">
        <is>
          <t>Industrial Relations Department, Universite Laval</t>
        </is>
      </c>
    </row>
    <row r="2193">
      <c r="A2193" t="inlineStr">
        <is>
          <t>Reliability Engineering &amp; System Safety</t>
        </is>
      </c>
      <c r="B2193" t="inlineStr">
        <is>
          <t>A</t>
        </is>
      </c>
      <c r="C2193" t="n">
        <v>3505</v>
      </c>
      <c r="D2193" t="inlineStr">
        <is>
          <t>Elsevier</t>
        </is>
      </c>
    </row>
    <row r="2194">
      <c r="A2194" t="inlineStr">
        <is>
          <t>Renewable and Sustainable Energy Reviews</t>
        </is>
      </c>
      <c r="B2194" t="inlineStr">
        <is>
          <t>A</t>
        </is>
      </c>
      <c r="C2194" t="n">
        <v>3801</v>
      </c>
      <c r="D2194" t="inlineStr">
        <is>
          <t>Elsevier ScienceDirect</t>
        </is>
      </c>
    </row>
    <row r="2195">
      <c r="A2195" t="inlineStr">
        <is>
          <t>Research Evaluation</t>
        </is>
      </c>
      <c r="B2195" t="inlineStr">
        <is>
          <t>C</t>
        </is>
      </c>
      <c r="C2195" t="n">
        <v>3507</v>
      </c>
      <c r="D2195" t="inlineStr">
        <is>
          <t>Oxford University Press</t>
        </is>
      </c>
    </row>
    <row r="2196">
      <c r="A2196" t="inlineStr">
        <is>
          <t>Research in Consumer Behavior: a research annual</t>
        </is>
      </c>
      <c r="B2196" t="inlineStr">
        <is>
          <t>C</t>
        </is>
      </c>
      <c r="C2196" t="n">
        <v>3506</v>
      </c>
      <c r="D2196" t="inlineStr">
        <is>
          <t>Emerald Group Publishing</t>
        </is>
      </c>
    </row>
    <row r="2197">
      <c r="A2197" t="inlineStr">
        <is>
          <t>Research in Economics</t>
        </is>
      </c>
      <c r="B2197" t="inlineStr">
        <is>
          <t>B</t>
        </is>
      </c>
      <c r="C2197" t="n">
        <v>3801</v>
      </c>
      <c r="D2197" t="inlineStr">
        <is>
          <t>Elsevier</t>
        </is>
      </c>
    </row>
    <row r="2198">
      <c r="A2198" t="inlineStr">
        <is>
          <t>Research in Experimental Economics</t>
        </is>
      </c>
      <c r="B2198" t="inlineStr">
        <is>
          <t>B</t>
        </is>
      </c>
      <c r="C2198" t="n">
        <v>3801</v>
      </c>
      <c r="D2198" t="inlineStr">
        <is>
          <t>Emerald Group Publishing</t>
        </is>
      </c>
    </row>
    <row r="2199">
      <c r="A2199" t="inlineStr">
        <is>
          <t>Research in Finance</t>
        </is>
      </c>
      <c r="B2199" t="inlineStr">
        <is>
          <t>C</t>
        </is>
      </c>
      <c r="C2199" t="n">
        <v>3502</v>
      </c>
      <c r="D2199" t="inlineStr">
        <is>
          <t>Elsevier</t>
        </is>
      </c>
    </row>
    <row r="2200">
      <c r="A2200" t="inlineStr">
        <is>
          <t>Research in Financial Services</t>
        </is>
      </c>
      <c r="B2200" t="inlineStr">
        <is>
          <t>C</t>
        </is>
      </c>
      <c r="C2200" t="n">
        <v>3502</v>
      </c>
      <c r="D2200" t="inlineStr">
        <is>
          <t>Elsevier</t>
        </is>
      </c>
    </row>
    <row r="2201">
      <c r="A2201" t="inlineStr">
        <is>
          <t>Research in Hospitality Management</t>
        </is>
      </c>
      <c r="B2201" t="inlineStr">
        <is>
          <t>C</t>
        </is>
      </c>
      <c r="C2201" t="n">
        <v>3508</v>
      </c>
      <c r="D2201" t="inlineStr">
        <is>
          <t>Taylor &amp; Francis</t>
        </is>
      </c>
    </row>
    <row r="2202">
      <c r="A2202" t="inlineStr">
        <is>
          <t>Research in International Business and Finance</t>
        </is>
      </c>
      <c r="B2202" t="inlineStr">
        <is>
          <t>A</t>
        </is>
      </c>
      <c r="C2202" t="n">
        <v>3502</v>
      </c>
      <c r="D2202" t="inlineStr">
        <is>
          <t>Elsevier</t>
        </is>
      </c>
    </row>
    <row r="2203">
      <c r="A2203" t="inlineStr">
        <is>
          <t>Research in Organizational Behavior</t>
        </is>
      </c>
      <c r="B2203" t="inlineStr">
        <is>
          <t>A</t>
        </is>
      </c>
      <c r="C2203" t="n">
        <v>3507</v>
      </c>
      <c r="D2203" t="inlineStr">
        <is>
          <t>Elsevier</t>
        </is>
      </c>
    </row>
    <row r="2204">
      <c r="A2204" t="inlineStr">
        <is>
          <t>Research in the History of Economic Thought and Methodology</t>
        </is>
      </c>
      <c r="B2204" t="inlineStr">
        <is>
          <t>C</t>
        </is>
      </c>
      <c r="C2204" t="n">
        <v>3801</v>
      </c>
      <c r="D2204" t="inlineStr">
        <is>
          <t>Emerald Group Publishing</t>
        </is>
      </c>
    </row>
    <row r="2205">
      <c r="A2205" t="inlineStr">
        <is>
          <t>Research in the Sociology of Organizations</t>
        </is>
      </c>
      <c r="B2205" t="inlineStr">
        <is>
          <t>B</t>
        </is>
      </c>
      <c r="C2205" t="n">
        <v>3507</v>
      </c>
      <c r="D2205" t="inlineStr">
        <is>
          <t>Emerald Group Publishing</t>
        </is>
      </c>
    </row>
    <row r="2206">
      <c r="A2206" t="inlineStr">
        <is>
          <t>Research in Transportation Business &amp; Management</t>
        </is>
      </c>
      <c r="B2206" t="inlineStr">
        <is>
          <t>B</t>
        </is>
      </c>
      <c r="C2206" t="n">
        <v>3509</v>
      </c>
      <c r="D2206" t="inlineStr">
        <is>
          <t>Elsevier</t>
        </is>
      </c>
    </row>
    <row r="2207">
      <c r="A2207" t="inlineStr">
        <is>
          <t>Research in Transportation Economics</t>
        </is>
      </c>
      <c r="B2207" t="inlineStr">
        <is>
          <t>B</t>
        </is>
      </c>
      <c r="C2207" t="n">
        <v>3509</v>
      </c>
      <c r="D2207" t="inlineStr">
        <is>
          <t>Elsevier</t>
        </is>
      </c>
    </row>
    <row r="2208">
      <c r="A2208" t="inlineStr">
        <is>
          <t>Research on Professional Responsibility and Ethics in Accounting</t>
        </is>
      </c>
      <c r="B2208" t="inlineStr">
        <is>
          <t>B</t>
        </is>
      </c>
      <c r="C2208" t="n">
        <v>3501</v>
      </c>
      <c r="D2208" t="inlineStr">
        <is>
          <t>Emerald Group Publishing</t>
        </is>
      </c>
    </row>
    <row r="2209">
      <c r="A2209" t="inlineStr">
        <is>
          <t>Research Policy</t>
        </is>
      </c>
      <c r="B2209" t="inlineStr">
        <is>
          <t>A*</t>
        </is>
      </c>
      <c r="C2209" t="n">
        <v>3507</v>
      </c>
      <c r="D2209" t="inlineStr">
        <is>
          <t>Elsevier</t>
        </is>
      </c>
    </row>
    <row r="2210">
      <c r="A2210" t="inlineStr">
        <is>
          <t>Research-Technology Management</t>
        </is>
      </c>
      <c r="B2210" t="inlineStr">
        <is>
          <t>B</t>
        </is>
      </c>
      <c r="C2210" t="n">
        <v>3507</v>
      </c>
      <c r="D2210" t="inlineStr">
        <is>
          <t>Taylor &amp; Francis Online</t>
        </is>
      </c>
    </row>
    <row r="2211">
      <c r="A2211" t="inlineStr">
        <is>
          <t>Resource and Energy Economics</t>
        </is>
      </c>
      <c r="B2211" t="inlineStr">
        <is>
          <t>A</t>
        </is>
      </c>
      <c r="C2211" t="n">
        <v>3801</v>
      </c>
      <c r="D2211" t="inlineStr">
        <is>
          <t>Elsevier</t>
        </is>
      </c>
    </row>
    <row r="2212">
      <c r="A2212" t="inlineStr">
        <is>
          <t>Resources Policy</t>
        </is>
      </c>
      <c r="B2212" t="inlineStr">
        <is>
          <t>B</t>
        </is>
      </c>
      <c r="C2212" t="n">
        <v>3801</v>
      </c>
      <c r="D2212" t="inlineStr">
        <is>
          <t>Elsevier</t>
        </is>
      </c>
    </row>
    <row r="2213">
      <c r="A2213" t="inlineStr">
        <is>
          <t>Restitution Law Review</t>
        </is>
      </c>
      <c r="B2213" t="inlineStr">
        <is>
          <t>A</t>
        </is>
      </c>
      <c r="C2213" t="n">
        <v>4801</v>
      </c>
      <c r="D2213" t="inlineStr">
        <is>
          <t>Marenex Press</t>
        </is>
      </c>
    </row>
    <row r="2214">
      <c r="A2214" t="inlineStr">
        <is>
          <t>Rethinking Marxism</t>
        </is>
      </c>
      <c r="B2214" t="inlineStr">
        <is>
          <t>C</t>
        </is>
      </c>
      <c r="C2214" t="n">
        <v>3899</v>
      </c>
      <c r="D2214" t="inlineStr">
        <is>
          <t>Taylor &amp; Francis Online</t>
        </is>
      </c>
    </row>
    <row r="2215">
      <c r="A2215" t="inlineStr">
        <is>
          <t>Revenue Law Journal</t>
        </is>
      </c>
      <c r="B2215" t="inlineStr">
        <is>
          <t>B</t>
        </is>
      </c>
      <c r="C2215" t="n">
        <v>4801</v>
      </c>
      <c r="D2215" t="inlineStr">
        <is>
          <t>Bond Faculty of Law Review Editorial Committee</t>
        </is>
      </c>
    </row>
    <row r="2216">
      <c r="A2216" t="inlineStr">
        <is>
          <t>Review of Accounting and Finance</t>
        </is>
      </c>
      <c r="B2216" t="inlineStr">
        <is>
          <t>B</t>
        </is>
      </c>
      <c r="C2216" t="n">
        <v>3501</v>
      </c>
      <c r="D2216" t="inlineStr">
        <is>
          <t>Emerald Group Publishing</t>
        </is>
      </c>
    </row>
    <row r="2217">
      <c r="A2217" t="inlineStr">
        <is>
          <t>Review of Accounting Studies</t>
        </is>
      </c>
      <c r="B2217" t="inlineStr">
        <is>
          <t>A*</t>
        </is>
      </c>
      <c r="C2217" t="n">
        <v>3501</v>
      </c>
      <c r="D2217" t="inlineStr">
        <is>
          <t>Springer International Publishing</t>
        </is>
      </c>
    </row>
    <row r="2218">
      <c r="A2218" t="inlineStr">
        <is>
          <t>Review of African Political Economy</t>
        </is>
      </c>
      <c r="B2218" t="inlineStr">
        <is>
          <t>C</t>
        </is>
      </c>
      <c r="C2218" t="n">
        <v>3801</v>
      </c>
      <c r="D2218" t="inlineStr">
        <is>
          <t>Taylor &amp; Francis Online</t>
        </is>
      </c>
    </row>
    <row r="2219">
      <c r="A2219" t="inlineStr">
        <is>
          <t>Review of Asset Pricing Studies</t>
        </is>
      </c>
      <c r="B2219" t="inlineStr">
        <is>
          <t>A*</t>
        </is>
      </c>
      <c r="C2219" t="n">
        <v>3502</v>
      </c>
      <c r="D2219" t="inlineStr">
        <is>
          <t>Oxford University Press</t>
        </is>
      </c>
    </row>
    <row r="2220">
      <c r="A2220" t="inlineStr">
        <is>
          <t>Review of Behavioral Economics</t>
        </is>
      </c>
      <c r="B2220" t="inlineStr">
        <is>
          <t>B</t>
        </is>
      </c>
      <c r="C2220" t="n">
        <v>3801</v>
      </c>
      <c r="D2220" t="inlineStr">
        <is>
          <t>Now Publishers</t>
        </is>
      </c>
    </row>
    <row r="2221">
      <c r="A2221" t="inlineStr">
        <is>
          <t>Review of Behavioral Finance</t>
        </is>
      </c>
      <c r="B2221" t="inlineStr">
        <is>
          <t>B</t>
        </is>
      </c>
      <c r="C2221" t="n">
        <v>3502</v>
      </c>
      <c r="D2221" t="inlineStr">
        <is>
          <t>Emerald Group Publishing Limited</t>
        </is>
      </c>
    </row>
    <row r="2222">
      <c r="A2222" t="inlineStr">
        <is>
          <t>Review of Corporate Finance</t>
        </is>
      </c>
      <c r="B2222" t="inlineStr">
        <is>
          <t>A</t>
        </is>
      </c>
      <c r="C2222" t="n">
        <v>3502</v>
      </c>
      <c r="D2222" t="inlineStr">
        <is>
          <t>Now Publishers</t>
        </is>
      </c>
    </row>
    <row r="2223">
      <c r="A2223" t="inlineStr">
        <is>
          <t>Review of Corporate Finance Studies</t>
        </is>
      </c>
      <c r="B2223" t="inlineStr">
        <is>
          <t>A*</t>
        </is>
      </c>
      <c r="C2223" t="n">
        <v>3502</v>
      </c>
      <c r="D2223" t="inlineStr">
        <is>
          <t>Oxford University Press</t>
        </is>
      </c>
    </row>
    <row r="2224">
      <c r="A2224" t="inlineStr">
        <is>
          <t>Review of Derivatives Research</t>
        </is>
      </c>
      <c r="B2224" t="inlineStr">
        <is>
          <t>B</t>
        </is>
      </c>
      <c r="C2224" t="n">
        <v>3502</v>
      </c>
      <c r="D2224" t="inlineStr">
        <is>
          <t>Springer International Publishing</t>
        </is>
      </c>
    </row>
    <row r="2225">
      <c r="A2225" t="inlineStr">
        <is>
          <t>Review of Development Economics</t>
        </is>
      </c>
      <c r="B2225" t="inlineStr">
        <is>
          <t>A</t>
        </is>
      </c>
      <c r="C2225" t="n">
        <v>3801</v>
      </c>
      <c r="D2225" t="inlineStr">
        <is>
          <t>Wiley-Blackwell Publishing</t>
        </is>
      </c>
    </row>
    <row r="2226">
      <c r="A2226" t="inlineStr">
        <is>
          <t>Review of Economic Analysis</t>
        </is>
      </c>
      <c r="B2226" t="inlineStr">
        <is>
          <t>B</t>
        </is>
      </c>
      <c r="C2226" t="n">
        <v>3801</v>
      </c>
      <c r="D2226" t="inlineStr">
        <is>
          <t>Rimini Centre for Economic Analysis</t>
        </is>
      </c>
    </row>
    <row r="2227">
      <c r="A2227" t="inlineStr">
        <is>
          <t>Review of Economic and Business Studies</t>
        </is>
      </c>
      <c r="B2227" t="inlineStr">
        <is>
          <t>C</t>
        </is>
      </c>
      <c r="C2227" t="n">
        <v>3801</v>
      </c>
      <c r="D2227" t="inlineStr">
        <is>
          <t>Sciendo</t>
        </is>
      </c>
    </row>
    <row r="2228">
      <c r="A2228" t="inlineStr">
        <is>
          <t>Review of Economic Design</t>
        </is>
      </c>
      <c r="B2228" t="inlineStr">
        <is>
          <t>B</t>
        </is>
      </c>
      <c r="C2228" t="n">
        <v>3801</v>
      </c>
      <c r="D2228" t="inlineStr">
        <is>
          <t>Springer International Publishing</t>
        </is>
      </c>
    </row>
    <row r="2229">
      <c r="A2229" t="inlineStr">
        <is>
          <t>Review of Economic Dynamics</t>
        </is>
      </c>
      <c r="B2229" t="inlineStr">
        <is>
          <t>A*</t>
        </is>
      </c>
      <c r="C2229" t="n">
        <v>3801</v>
      </c>
      <c r="D2229" t="inlineStr">
        <is>
          <t>Elsevier</t>
        </is>
      </c>
    </row>
    <row r="2230">
      <c r="A2230" t="inlineStr">
        <is>
          <t>Review of Economics (Jahrbuch fur Wirtschaftswissenschaften)</t>
        </is>
      </c>
      <c r="B2230" t="inlineStr">
        <is>
          <t>C</t>
        </is>
      </c>
      <c r="C2230" t="n">
        <v>3801</v>
      </c>
      <c r="D2230" t="inlineStr">
        <is>
          <t>De Gruyter</t>
        </is>
      </c>
    </row>
    <row r="2231">
      <c r="A2231" t="inlineStr">
        <is>
          <t>Review of Economics and Political Science</t>
        </is>
      </c>
      <c r="B2231" t="inlineStr">
        <is>
          <t>C</t>
        </is>
      </c>
      <c r="C2231" t="n">
        <v>3801</v>
      </c>
      <c r="D2231" t="inlineStr">
        <is>
          <t>Emerald Publishing</t>
        </is>
      </c>
    </row>
    <row r="2232">
      <c r="A2232" t="inlineStr">
        <is>
          <t>Review of Economics of the Household</t>
        </is>
      </c>
      <c r="B2232" t="inlineStr">
        <is>
          <t>A</t>
        </is>
      </c>
      <c r="C2232" t="n">
        <v>3801</v>
      </c>
      <c r="D2232" t="inlineStr">
        <is>
          <t>Springer International Publishing</t>
        </is>
      </c>
    </row>
    <row r="2233">
      <c r="A2233" t="inlineStr">
        <is>
          <t>Review of Environmental Economics and Policy</t>
        </is>
      </c>
      <c r="B2233" t="inlineStr">
        <is>
          <t>A</t>
        </is>
      </c>
      <c r="C2233" t="n">
        <v>3801</v>
      </c>
      <c r="D2233" t="inlineStr">
        <is>
          <t>Oxford University Press</t>
        </is>
      </c>
    </row>
    <row r="2234">
      <c r="A2234" t="inlineStr">
        <is>
          <t>Review of Finance</t>
        </is>
      </c>
      <c r="B2234" t="inlineStr">
        <is>
          <t>A*</t>
        </is>
      </c>
      <c r="C2234" t="n">
        <v>3502</v>
      </c>
      <c r="D2234" t="inlineStr">
        <is>
          <t>Oxford University Press</t>
        </is>
      </c>
    </row>
    <row r="2235">
      <c r="A2235" t="inlineStr">
        <is>
          <t>Review of Financial Economics</t>
        </is>
      </c>
      <c r="B2235" t="inlineStr">
        <is>
          <t>B</t>
        </is>
      </c>
      <c r="C2235" t="n">
        <v>3502</v>
      </c>
      <c r="D2235" t="inlineStr">
        <is>
          <t>Wiley-Blackwell Publishing</t>
        </is>
      </c>
    </row>
    <row r="2236">
      <c r="A2236" t="inlineStr">
        <is>
          <t>Review of Futures Markets</t>
        </is>
      </c>
      <c r="B2236" t="inlineStr">
        <is>
          <t>B</t>
        </is>
      </c>
      <c r="C2236" t="n">
        <v>3502</v>
      </c>
      <c r="D2236" t="inlineStr">
        <is>
          <t>Kent State University, Ohio</t>
        </is>
      </c>
    </row>
    <row r="2237">
      <c r="A2237" t="inlineStr">
        <is>
          <t>Review of Income and Wealth</t>
        </is>
      </c>
      <c r="B2237" t="inlineStr">
        <is>
          <t>A</t>
        </is>
      </c>
      <c r="C2237" t="n">
        <v>3801</v>
      </c>
      <c r="D2237" t="inlineStr">
        <is>
          <t>Wiley-Blackwell Publishing</t>
        </is>
      </c>
    </row>
    <row r="2238">
      <c r="A2238" t="inlineStr">
        <is>
          <t>Review of Industrial Organization</t>
        </is>
      </c>
      <c r="B2238" t="inlineStr">
        <is>
          <t>A</t>
        </is>
      </c>
      <c r="C2238" t="n">
        <v>3801</v>
      </c>
      <c r="D2238" t="inlineStr">
        <is>
          <t>Springer International Publishing</t>
        </is>
      </c>
    </row>
    <row r="2239">
      <c r="A2239" t="inlineStr">
        <is>
          <t>Review of International Business and Strategy</t>
        </is>
      </c>
      <c r="B2239" t="inlineStr">
        <is>
          <t>B</t>
        </is>
      </c>
      <c r="C2239" t="n">
        <v>3507</v>
      </c>
      <c r="D2239" t="inlineStr">
        <is>
          <t>Emerald Group Publishing</t>
        </is>
      </c>
    </row>
    <row r="2240">
      <c r="A2240" t="inlineStr">
        <is>
          <t>Review of International Economics</t>
        </is>
      </c>
      <c r="B2240" t="inlineStr">
        <is>
          <t>A</t>
        </is>
      </c>
      <c r="C2240" t="n">
        <v>3801</v>
      </c>
      <c r="D2240" t="inlineStr">
        <is>
          <t>Wiley-Blackwell Publishing</t>
        </is>
      </c>
    </row>
    <row r="2241">
      <c r="A2241" t="inlineStr">
        <is>
          <t>Review of International Organizations</t>
        </is>
      </c>
      <c r="B2241" t="inlineStr">
        <is>
          <t>C</t>
        </is>
      </c>
      <c r="C2241" t="n">
        <v>3507</v>
      </c>
      <c r="D2241" t="inlineStr">
        <is>
          <t>Springer International Publishing</t>
        </is>
      </c>
    </row>
    <row r="2242">
      <c r="A2242" t="inlineStr">
        <is>
          <t>Review of International Political Economy</t>
        </is>
      </c>
      <c r="B2242" t="inlineStr">
        <is>
          <t>A</t>
        </is>
      </c>
      <c r="C2242" t="n">
        <v>3801</v>
      </c>
      <c r="D2242" t="inlineStr">
        <is>
          <t>Taylor &amp; Francis Online</t>
        </is>
      </c>
    </row>
    <row r="2243">
      <c r="A2243" t="inlineStr">
        <is>
          <t>Review of International Studies</t>
        </is>
      </c>
      <c r="B2243" t="inlineStr">
        <is>
          <t>B</t>
        </is>
      </c>
      <c r="C2243" t="n">
        <v>3599</v>
      </c>
      <c r="D2243" t="inlineStr">
        <is>
          <t>Cambridge University Press</t>
        </is>
      </c>
    </row>
    <row r="2244">
      <c r="A2244" t="inlineStr">
        <is>
          <t>Review of Islamic Economics</t>
        </is>
      </c>
      <c r="B2244" t="inlineStr">
        <is>
          <t>C</t>
        </is>
      </c>
      <c r="C2244" t="n">
        <v>3801</v>
      </c>
      <c r="D2244" t="inlineStr">
        <is>
          <t>International Association of Islamic Economics and the Islamic Foundation</t>
        </is>
      </c>
    </row>
    <row r="2245">
      <c r="A2245" t="inlineStr">
        <is>
          <t>Review of Keynesian Economics</t>
        </is>
      </c>
      <c r="B2245" t="inlineStr">
        <is>
          <t>C</t>
        </is>
      </c>
      <c r="C2245" t="n">
        <v>3801</v>
      </c>
      <c r="D2245" t="inlineStr">
        <is>
          <t>Edward Elgar Publishing</t>
        </is>
      </c>
    </row>
    <row r="2246">
      <c r="A2246" t="inlineStr">
        <is>
          <t>Review of Law &amp; Economics</t>
        </is>
      </c>
      <c r="B2246" t="inlineStr">
        <is>
          <t>B</t>
        </is>
      </c>
      <c r="C2246" t="n">
        <v>3801</v>
      </c>
      <c r="D2246" t="inlineStr">
        <is>
          <t>De Gruyter</t>
        </is>
      </c>
    </row>
    <row r="2247">
      <c r="A2247" t="inlineStr">
        <is>
          <t>Review of Managerial Science</t>
        </is>
      </c>
      <c r="B2247" t="inlineStr">
        <is>
          <t>A</t>
        </is>
      </c>
      <c r="C2247" t="n">
        <v>3507</v>
      </c>
      <c r="D2247" t="inlineStr">
        <is>
          <t>Springer Nature</t>
        </is>
      </c>
    </row>
    <row r="2248">
      <c r="A2248" t="inlineStr">
        <is>
          <t>Review of Marketing and Agricultural Economics</t>
        </is>
      </c>
      <c r="B2248" t="inlineStr">
        <is>
          <t>C</t>
        </is>
      </c>
      <c r="C2248" t="n">
        <v>3899</v>
      </c>
      <c r="D2248" t="inlineStr">
        <is>
          <t>Australian Agricultural Economics Society</t>
        </is>
      </c>
    </row>
    <row r="2249">
      <c r="A2249" t="inlineStr">
        <is>
          <t>Review of Marketing Science</t>
        </is>
      </c>
      <c r="B2249" t="inlineStr">
        <is>
          <t>C</t>
        </is>
      </c>
      <c r="C2249" t="n">
        <v>3506</v>
      </c>
      <c r="D2249" t="inlineStr">
        <is>
          <t>De Gruyter</t>
        </is>
      </c>
    </row>
    <row r="2250">
      <c r="A2250" t="inlineStr">
        <is>
          <t>Review of Middle East Economics and Finance</t>
        </is>
      </c>
      <c r="B2250" t="inlineStr">
        <is>
          <t>C</t>
        </is>
      </c>
      <c r="C2250" t="n">
        <v>3801</v>
      </c>
      <c r="D2250" t="inlineStr">
        <is>
          <t>De Gruyter</t>
        </is>
      </c>
    </row>
    <row r="2251">
      <c r="A2251" t="inlineStr">
        <is>
          <t>Review of Pacific Basin Financial Markets and Policies</t>
        </is>
      </c>
      <c r="B2251" t="inlineStr">
        <is>
          <t>B</t>
        </is>
      </c>
      <c r="C2251" t="n">
        <v>3502</v>
      </c>
      <c r="D2251" t="inlineStr">
        <is>
          <t>World Scientific Publishing</t>
        </is>
      </c>
    </row>
    <row r="2252">
      <c r="A2252" t="inlineStr">
        <is>
          <t>Review of Political Economy</t>
        </is>
      </c>
      <c r="B2252" t="inlineStr">
        <is>
          <t>B</t>
        </is>
      </c>
      <c r="C2252" t="n">
        <v>3801</v>
      </c>
      <c r="D2252" t="inlineStr">
        <is>
          <t>Taylor &amp; Francis Online</t>
        </is>
      </c>
    </row>
    <row r="2253">
      <c r="A2253" t="inlineStr">
        <is>
          <t>Review of Public Personnel Administration</t>
        </is>
      </c>
      <c r="B2253" t="inlineStr">
        <is>
          <t>B</t>
        </is>
      </c>
      <c r="C2253" t="n">
        <v>3505</v>
      </c>
      <c r="D2253" t="inlineStr">
        <is>
          <t>Sage Publications</t>
        </is>
      </c>
    </row>
    <row r="2254">
      <c r="A2254" t="inlineStr">
        <is>
          <t>Review of Quantitative Finance and Accounting</t>
        </is>
      </c>
      <c r="B2254" t="inlineStr">
        <is>
          <t>B</t>
        </is>
      </c>
      <c r="C2254" t="n">
        <v>3502</v>
      </c>
      <c r="D2254" t="inlineStr">
        <is>
          <t>Springer International Publishing</t>
        </is>
      </c>
    </row>
    <row r="2255">
      <c r="A2255" t="inlineStr">
        <is>
          <t>Review of Radical Political Economics</t>
        </is>
      </c>
      <c r="B2255" t="inlineStr">
        <is>
          <t>B</t>
        </is>
      </c>
      <c r="C2255" t="n">
        <v>3801</v>
      </c>
      <c r="D2255" t="inlineStr">
        <is>
          <t>Sage Publications</t>
        </is>
      </c>
    </row>
    <row r="2256">
      <c r="A2256" t="inlineStr">
        <is>
          <t>Review of Regional Studies</t>
        </is>
      </c>
      <c r="B2256" t="inlineStr">
        <is>
          <t>C</t>
        </is>
      </c>
      <c r="C2256" t="n">
        <v>3599</v>
      </c>
      <c r="D2256" t="inlineStr">
        <is>
          <t>Southern Regional Science Association</t>
        </is>
      </c>
    </row>
    <row r="2257">
      <c r="A2257" t="inlineStr">
        <is>
          <t>Review of Social Economy</t>
        </is>
      </c>
      <c r="B2257" t="inlineStr">
        <is>
          <t>B</t>
        </is>
      </c>
      <c r="C2257" t="n">
        <v>3801</v>
      </c>
      <c r="D2257" t="inlineStr">
        <is>
          <t>Taylor &amp; Francis Online</t>
        </is>
      </c>
    </row>
    <row r="2258">
      <c r="A2258" t="inlineStr">
        <is>
          <t>Review of the Economic Research on Copyright Issues</t>
        </is>
      </c>
      <c r="B2258" t="inlineStr">
        <is>
          <t>B</t>
        </is>
      </c>
      <c r="C2258" t="n">
        <v>4801</v>
      </c>
      <c r="D2258" t="inlineStr">
        <is>
          <t>Society for Economic Research on Copyright Issues</t>
        </is>
      </c>
    </row>
    <row r="2259">
      <c r="A2259" t="inlineStr">
        <is>
          <t>Review of Urban &amp; Regional Development Studies</t>
        </is>
      </c>
      <c r="B2259" t="inlineStr">
        <is>
          <t>B</t>
        </is>
      </c>
      <c r="C2259" t="n">
        <v>3801</v>
      </c>
      <c r="D2259" t="inlineStr">
        <is>
          <t>Wiley-Blackwell Publishing</t>
        </is>
      </c>
    </row>
    <row r="2260">
      <c r="A2260" t="inlineStr">
        <is>
          <t>Review of World Economics</t>
        </is>
      </c>
      <c r="B2260" t="inlineStr">
        <is>
          <t>B</t>
        </is>
      </c>
      <c r="C2260" t="n">
        <v>3801</v>
      </c>
      <c r="D2260" t="inlineStr">
        <is>
          <t>Springer International Publishing</t>
        </is>
      </c>
    </row>
    <row r="2261">
      <c r="A2261" t="inlineStr">
        <is>
          <t>Review on Economic Cycles</t>
        </is>
      </c>
      <c r="B2261" t="inlineStr">
        <is>
          <t>C</t>
        </is>
      </c>
      <c r="C2261" t="n">
        <v>3801</v>
      </c>
      <c r="D2261" t="inlineStr">
        <is>
          <t>The International Association of Economic Cycles</t>
        </is>
      </c>
    </row>
    <row r="2262">
      <c r="A2262" t="inlineStr">
        <is>
          <t>Revista de Economia</t>
        </is>
      </c>
      <c r="B2262" t="inlineStr">
        <is>
          <t>C</t>
        </is>
      </c>
      <c r="C2262" t="n">
        <v>3803</v>
      </c>
      <c r="D2262" t="inlineStr">
        <is>
          <t>Universidade Federal do Parana</t>
        </is>
      </c>
    </row>
    <row r="2263">
      <c r="A2263" t="inlineStr">
        <is>
          <t>Revista do CAAP</t>
        </is>
      </c>
      <c r="B2263" t="inlineStr">
        <is>
          <t>C</t>
        </is>
      </c>
      <c r="C2263" t="n">
        <v>4801</v>
      </c>
      <c r="D2263" t="inlineStr">
        <is>
          <t>Federal University of Minas Gerais</t>
        </is>
      </c>
    </row>
    <row r="2264">
      <c r="A2264" t="inlineStr">
        <is>
          <t>Revue d'Etudes Comparatives Est-Ouest: economies et techniques de planification - droit et sciences sociales</t>
        </is>
      </c>
      <c r="B2264" t="inlineStr">
        <is>
          <t>B</t>
        </is>
      </c>
      <c r="C2264" t="n">
        <v>3801</v>
      </c>
      <c r="D2264" t="inlineStr">
        <is>
          <t>Centre national de la recherche scientifique</t>
        </is>
      </c>
    </row>
    <row r="2265">
      <c r="A2265" t="inlineStr">
        <is>
          <t>Revue de l'OFCE</t>
        </is>
      </c>
      <c r="B2265" t="inlineStr">
        <is>
          <t>C</t>
        </is>
      </c>
      <c r="C2265" t="n">
        <v>3801</v>
      </c>
      <c r="D2265" t="inlineStr">
        <is>
          <t>CAIRN International</t>
        </is>
      </c>
    </row>
    <row r="2266">
      <c r="A2266" t="inlineStr">
        <is>
          <t>Richmond Journal of Global Law and Business</t>
        </is>
      </c>
      <c r="B2266" t="inlineStr">
        <is>
          <t>C</t>
        </is>
      </c>
      <c r="C2266" t="n">
        <v>4801</v>
      </c>
      <c r="D2266" t="inlineStr">
        <is>
          <t>University of Richmond</t>
        </is>
      </c>
    </row>
    <row r="2267">
      <c r="A2267" t="inlineStr">
        <is>
          <t>Rikkyo Economic Review</t>
        </is>
      </c>
      <c r="B2267" t="inlineStr">
        <is>
          <t>C</t>
        </is>
      </c>
      <c r="C2267" t="n">
        <v>3801</v>
      </c>
      <c r="D2267" t="inlineStr">
        <is>
          <t>Economic Society of Rikkyo University</t>
        </is>
      </c>
    </row>
    <row r="2268">
      <c r="A2268" t="inlineStr">
        <is>
          <t>Risk Management</t>
        </is>
      </c>
      <c r="B2268" t="inlineStr">
        <is>
          <t>C</t>
        </is>
      </c>
      <c r="C2268" t="n">
        <v>3507</v>
      </c>
      <c r="D2268" t="inlineStr">
        <is>
          <t>Springer International Publishing</t>
        </is>
      </c>
    </row>
    <row r="2269">
      <c r="A2269" t="inlineStr">
        <is>
          <t>Risk Management and Insurance Review</t>
        </is>
      </c>
      <c r="B2269" t="inlineStr">
        <is>
          <t>C</t>
        </is>
      </c>
      <c r="C2269" t="n">
        <v>3502</v>
      </c>
      <c r="D2269" t="inlineStr">
        <is>
          <t>Wiley-Blackwell Publishing</t>
        </is>
      </c>
    </row>
    <row r="2270">
      <c r="A2270" t="inlineStr">
        <is>
          <t>Romanian Economic Business Review</t>
        </is>
      </c>
      <c r="B2270" t="inlineStr">
        <is>
          <t>C</t>
        </is>
      </c>
      <c r="C2270" t="n">
        <v>3899</v>
      </c>
      <c r="D2270" t="inlineStr">
        <is>
          <t>Romanian-American University</t>
        </is>
      </c>
    </row>
    <row r="2271">
      <c r="A2271" t="inlineStr">
        <is>
          <t>Romanian Journal of Economic Forecasting</t>
        </is>
      </c>
      <c r="B2271" t="inlineStr">
        <is>
          <t>C</t>
        </is>
      </c>
      <c r="C2271" t="n">
        <v>3802</v>
      </c>
      <c r="D2271" t="inlineStr">
        <is>
          <t>Institute for Economic Forecasting (IEF)</t>
        </is>
      </c>
    </row>
    <row r="2272">
      <c r="A2272" t="inlineStr">
        <is>
          <t>Russian Journal of Economics</t>
        </is>
      </c>
      <c r="B2272" t="inlineStr">
        <is>
          <t>C</t>
        </is>
      </c>
      <c r="C2272" t="n">
        <v>3801</v>
      </c>
      <c r="D2272" t="inlineStr">
        <is>
          <t>Non-profit partnership "Redaktsiya zhurnala Voprosy Ekonomiki"</t>
        </is>
      </c>
    </row>
    <row r="2273">
      <c r="A2273" t="inlineStr">
        <is>
          <t>Rutgers Business Law Review</t>
        </is>
      </c>
      <c r="B2273" t="inlineStr">
        <is>
          <t>C</t>
        </is>
      </c>
      <c r="C2273" t="n">
        <v>4801</v>
      </c>
      <c r="D2273" t="inlineStr">
        <is>
          <t>Rutgers University</t>
        </is>
      </c>
    </row>
    <row r="2274">
      <c r="A2274" t="inlineStr">
        <is>
          <t>Rutgers Business Review</t>
        </is>
      </c>
      <c r="B2274" t="inlineStr">
        <is>
          <t>B</t>
        </is>
      </c>
      <c r="C2274" t="n">
        <v>3507</v>
      </c>
      <c r="D2274" t="inlineStr">
        <is>
          <t>Rutgers Business School</t>
        </is>
      </c>
    </row>
    <row r="2275">
      <c r="A2275" t="inlineStr">
        <is>
          <t>Rutgers Computer and Technology Law Journal</t>
        </is>
      </c>
      <c r="B2275" t="inlineStr">
        <is>
          <t>B</t>
        </is>
      </c>
      <c r="C2275" t="n">
        <v>4801</v>
      </c>
      <c r="D2275" t="inlineStr">
        <is>
          <t>Rutgers Law School</t>
        </is>
      </c>
    </row>
    <row r="2276">
      <c r="A2276" t="inlineStr">
        <is>
          <t>Safety Science</t>
        </is>
      </c>
      <c r="B2276" t="inlineStr">
        <is>
          <t>A</t>
        </is>
      </c>
      <c r="C2276" t="n">
        <v>3505</v>
      </c>
      <c r="D2276" t="inlineStr">
        <is>
          <t>Elsevier</t>
        </is>
      </c>
    </row>
    <row r="2277">
      <c r="A2277" t="inlineStr">
        <is>
          <t>Scandinavian Actuarial Journal</t>
        </is>
      </c>
      <c r="B2277" t="inlineStr">
        <is>
          <t>A</t>
        </is>
      </c>
      <c r="C2277" t="n">
        <v>3502</v>
      </c>
      <c r="D2277" t="inlineStr">
        <is>
          <t>Taylor &amp; Francis Online</t>
        </is>
      </c>
    </row>
    <row r="2278">
      <c r="A2278" t="inlineStr">
        <is>
          <t>Scandinavian Economic History Review</t>
        </is>
      </c>
      <c r="B2278" t="inlineStr">
        <is>
          <t>C</t>
        </is>
      </c>
      <c r="C2278" t="n">
        <v>3801</v>
      </c>
      <c r="D2278" t="inlineStr">
        <is>
          <t>Taylor &amp; Francis Online</t>
        </is>
      </c>
    </row>
    <row r="2279">
      <c r="A2279" t="inlineStr">
        <is>
          <t>Scandinavian Journal of Economics</t>
        </is>
      </c>
      <c r="B2279" t="inlineStr">
        <is>
          <t>A</t>
        </is>
      </c>
      <c r="C2279" t="n">
        <v>3801</v>
      </c>
      <c r="D2279" t="inlineStr">
        <is>
          <t>Wiley-Blackwell Publishing</t>
        </is>
      </c>
    </row>
    <row r="2280">
      <c r="A2280" t="inlineStr">
        <is>
          <t>Scandinavian Journal of Hospitality and Tourism</t>
        </is>
      </c>
      <c r="B2280" t="inlineStr">
        <is>
          <t>A</t>
        </is>
      </c>
      <c r="C2280" t="n">
        <v>3508</v>
      </c>
      <c r="D2280" t="inlineStr">
        <is>
          <t>Taylor &amp; Francis Online</t>
        </is>
      </c>
    </row>
    <row r="2281">
      <c r="A2281" t="inlineStr">
        <is>
          <t>Scandinavian Journal of Information Systems</t>
        </is>
      </c>
      <c r="B2281" t="inlineStr">
        <is>
          <t>A</t>
        </is>
      </c>
      <c r="C2281" t="n">
        <v>4609</v>
      </c>
      <c r="D2281" t="inlineStr">
        <is>
          <t>University of Aalborg</t>
        </is>
      </c>
    </row>
    <row r="2282">
      <c r="A2282" t="inlineStr">
        <is>
          <t>Scandinavian Journal of Management</t>
        </is>
      </c>
      <c r="B2282" t="inlineStr">
        <is>
          <t>B</t>
        </is>
      </c>
      <c r="C2282" t="n">
        <v>3507</v>
      </c>
      <c r="D2282" t="inlineStr">
        <is>
          <t>Elsevier</t>
        </is>
      </c>
    </row>
    <row r="2283">
      <c r="A2283" t="inlineStr">
        <is>
          <t>Scandinavian Journal of Statistics</t>
        </is>
      </c>
      <c r="B2283" t="inlineStr">
        <is>
          <t>A</t>
        </is>
      </c>
      <c r="C2283" t="n">
        <v>4905</v>
      </c>
      <c r="D2283" t="inlineStr">
        <is>
          <t>Wiley-Blackwell Publishing</t>
        </is>
      </c>
    </row>
    <row r="2284">
      <c r="A2284" t="inlineStr">
        <is>
          <t>Science &amp; Society</t>
        </is>
      </c>
      <c r="B2284" t="inlineStr">
        <is>
          <t>B</t>
        </is>
      </c>
      <c r="C2284" t="n">
        <v>3801</v>
      </c>
      <c r="D2284" t="inlineStr">
        <is>
          <t>S&amp;S Quarterly, Inc.</t>
        </is>
      </c>
    </row>
    <row r="2285">
      <c r="A2285" t="inlineStr">
        <is>
          <t>Science and Public Policy</t>
        </is>
      </c>
      <c r="B2285" t="inlineStr">
        <is>
          <t>C</t>
        </is>
      </c>
      <c r="C2285" t="n">
        <v>3599</v>
      </c>
      <c r="D2285" t="inlineStr">
        <is>
          <t>Oxford University Press</t>
        </is>
      </c>
    </row>
    <row r="2286">
      <c r="A2286" t="inlineStr">
        <is>
          <t>Science Communication</t>
        </is>
      </c>
      <c r="B2286" t="inlineStr">
        <is>
          <t>A</t>
        </is>
      </c>
      <c r="C2286" t="n">
        <v>3599</v>
      </c>
      <c r="D2286" t="inlineStr">
        <is>
          <t>Sage Publications</t>
        </is>
      </c>
    </row>
    <row r="2287">
      <c r="A2287" t="inlineStr">
        <is>
          <t>Science, Technology and Society</t>
        </is>
      </c>
      <c r="B2287" t="inlineStr">
        <is>
          <t>B</t>
        </is>
      </c>
      <c r="C2287" t="n">
        <v>4609</v>
      </c>
      <c r="D2287" t="inlineStr">
        <is>
          <t>Sage Publications</t>
        </is>
      </c>
    </row>
    <row r="2288">
      <c r="A2288" t="inlineStr">
        <is>
          <t>Science, Technology, &amp; Human Values</t>
        </is>
      </c>
      <c r="B2288" t="inlineStr">
        <is>
          <t>A</t>
        </is>
      </c>
      <c r="C2288" t="n">
        <v>3503</v>
      </c>
      <c r="D2288" t="inlineStr">
        <is>
          <t>Sage Publications</t>
        </is>
      </c>
    </row>
    <row r="2289">
      <c r="A2289" t="inlineStr">
        <is>
          <t>Scientometrics</t>
        </is>
      </c>
      <c r="B2289" t="inlineStr">
        <is>
          <t>A</t>
        </is>
      </c>
      <c r="C2289" t="n">
        <v>3599</v>
      </c>
      <c r="D2289" t="inlineStr">
        <is>
          <t>Springer International Publishing</t>
        </is>
      </c>
    </row>
    <row r="2290">
      <c r="A2290" t="inlineStr">
        <is>
          <t>Scottish Journal of Political Economy</t>
        </is>
      </c>
      <c r="B2290" t="inlineStr">
        <is>
          <t>A</t>
        </is>
      </c>
      <c r="C2290" t="n">
        <v>3801</v>
      </c>
      <c r="D2290" t="inlineStr">
        <is>
          <t>Wiley-Blackwell Publishing</t>
        </is>
      </c>
    </row>
    <row r="2291">
      <c r="A2291" t="inlineStr">
        <is>
          <t>Security Dialogue</t>
        </is>
      </c>
      <c r="B2291" t="inlineStr">
        <is>
          <t>A</t>
        </is>
      </c>
      <c r="C2291" t="n">
        <v>3599</v>
      </c>
      <c r="D2291" t="inlineStr">
        <is>
          <t>Sage Publications</t>
        </is>
      </c>
    </row>
    <row r="2292">
      <c r="A2292" t="inlineStr">
        <is>
          <t>Security Studies</t>
        </is>
      </c>
      <c r="B2292" t="inlineStr">
        <is>
          <t>B</t>
        </is>
      </c>
      <c r="C2292" t="n">
        <v>3599</v>
      </c>
      <c r="D2292" t="inlineStr">
        <is>
          <t>Taylor &amp; Francis Online</t>
        </is>
      </c>
    </row>
    <row r="2293">
      <c r="A2293" t="inlineStr">
        <is>
          <t>Selection and Development Review</t>
        </is>
      </c>
      <c r="B2293" t="inlineStr">
        <is>
          <t>C</t>
        </is>
      </c>
      <c r="C2293" t="n">
        <v>3505</v>
      </c>
      <c r="D2293" t="inlineStr">
        <is>
          <t>British Psychological Society</t>
        </is>
      </c>
    </row>
    <row r="2294">
      <c r="A2294" t="inlineStr">
        <is>
          <t>Seoul Journal of Business</t>
        </is>
      </c>
      <c r="B2294" t="inlineStr">
        <is>
          <t>C</t>
        </is>
      </c>
      <c r="C2294" t="n">
        <v>3507</v>
      </c>
      <c r="D2294" t="inlineStr">
        <is>
          <t>Seoul National University</t>
        </is>
      </c>
    </row>
    <row r="2295">
      <c r="A2295" t="inlineStr">
        <is>
          <t>SERIEs: Journal of the Spanish Economic Association</t>
        </is>
      </c>
      <c r="B2295" t="inlineStr">
        <is>
          <t>B</t>
        </is>
      </c>
      <c r="C2295" t="n">
        <v>3801</v>
      </c>
      <c r="D2295" t="inlineStr">
        <is>
          <t>Springer International Publishing</t>
        </is>
      </c>
    </row>
    <row r="2296">
      <c r="A2296" t="inlineStr">
        <is>
          <t>Service Business</t>
        </is>
      </c>
      <c r="B2296" t="inlineStr">
        <is>
          <t>B</t>
        </is>
      </c>
      <c r="C2296" t="n">
        <v>3506</v>
      </c>
      <c r="D2296" t="inlineStr">
        <is>
          <t>Springer International Publishing</t>
        </is>
      </c>
    </row>
    <row r="2297">
      <c r="A2297" t="inlineStr">
        <is>
          <t>Service Industries Journal</t>
        </is>
      </c>
      <c r="B2297" t="inlineStr">
        <is>
          <t>B</t>
        </is>
      </c>
      <c r="C2297" t="n">
        <v>3507</v>
      </c>
      <c r="D2297" t="inlineStr">
        <is>
          <t>Taylor &amp; Francis Online</t>
        </is>
      </c>
    </row>
    <row r="2298">
      <c r="A2298" t="inlineStr">
        <is>
          <t>Service Science</t>
        </is>
      </c>
      <c r="B2298" t="inlineStr">
        <is>
          <t>B</t>
        </is>
      </c>
      <c r="C2298" t="n">
        <v>3507</v>
      </c>
      <c r="D2298" t="inlineStr">
        <is>
          <t>INFORMS</t>
        </is>
      </c>
    </row>
    <row r="2299">
      <c r="A2299" t="inlineStr">
        <is>
          <t>Services Marketing Quarterly</t>
        </is>
      </c>
      <c r="B2299" t="inlineStr">
        <is>
          <t>B</t>
        </is>
      </c>
      <c r="C2299" t="n">
        <v>3506</v>
      </c>
      <c r="D2299" t="inlineStr">
        <is>
          <t>Taylor &amp; Francis Online</t>
        </is>
      </c>
    </row>
    <row r="2300">
      <c r="A2300" t="inlineStr">
        <is>
          <t>Sex Roles</t>
        </is>
      </c>
      <c r="B2300" t="inlineStr">
        <is>
          <t>A</t>
        </is>
      </c>
      <c r="C2300" t="n">
        <v>3507</v>
      </c>
      <c r="D2300" t="inlineStr">
        <is>
          <t>Springer International Publishing</t>
        </is>
      </c>
    </row>
    <row r="2301">
      <c r="A2301" t="inlineStr">
        <is>
          <t>SIAM Journal on Applied Mathematics</t>
        </is>
      </c>
      <c r="B2301" t="inlineStr">
        <is>
          <t>A</t>
        </is>
      </c>
      <c r="C2301" t="n">
        <v>3502</v>
      </c>
      <c r="D2301" t="inlineStr">
        <is>
          <t>SIAM Publications Online</t>
        </is>
      </c>
    </row>
    <row r="2302">
      <c r="A2302" t="inlineStr">
        <is>
          <t>SIAM Journal on Financial Mathematics</t>
        </is>
      </c>
      <c r="B2302" t="inlineStr">
        <is>
          <t>B</t>
        </is>
      </c>
      <c r="C2302" t="n">
        <v>3502</v>
      </c>
      <c r="D2302" t="inlineStr">
        <is>
          <t>Society for Industrial and Applied Mathematics</t>
        </is>
      </c>
    </row>
    <row r="2303">
      <c r="A2303" t="inlineStr">
        <is>
          <t>Singapore Academy of Law Journal</t>
        </is>
      </c>
      <c r="B2303" t="inlineStr">
        <is>
          <t>C</t>
        </is>
      </c>
      <c r="C2303" t="n">
        <v>4801</v>
      </c>
      <c r="D2303" t="inlineStr">
        <is>
          <t>Singapore Academy of Law</t>
        </is>
      </c>
    </row>
    <row r="2304">
      <c r="A2304" t="inlineStr">
        <is>
          <t>Singapore Economic Review</t>
        </is>
      </c>
      <c r="B2304" t="inlineStr">
        <is>
          <t>B</t>
        </is>
      </c>
      <c r="C2304" t="n">
        <v>3801</v>
      </c>
      <c r="D2304" t="inlineStr">
        <is>
          <t>World Scientific Publishing</t>
        </is>
      </c>
    </row>
    <row r="2305">
      <c r="A2305" t="inlineStr">
        <is>
          <t>Singapore Journal of Legal Studies</t>
        </is>
      </c>
      <c r="B2305" t="inlineStr">
        <is>
          <t>A</t>
        </is>
      </c>
      <c r="C2305" t="n">
        <v>4801</v>
      </c>
      <c r="D2305" t="inlineStr">
        <is>
          <t>National University of Singapore</t>
        </is>
      </c>
    </row>
    <row r="2306">
      <c r="A2306" t="inlineStr">
        <is>
          <t>Small Business Economics</t>
        </is>
      </c>
      <c r="B2306" t="inlineStr">
        <is>
          <t>A</t>
        </is>
      </c>
      <c r="C2306" t="n">
        <v>3507</v>
      </c>
      <c r="D2306" t="inlineStr">
        <is>
          <t>Springer International Publishing</t>
        </is>
      </c>
    </row>
    <row r="2307">
      <c r="A2307" t="inlineStr">
        <is>
          <t>Small Enterprise Research</t>
        </is>
      </c>
      <c r="B2307" t="inlineStr">
        <is>
          <t>B</t>
        </is>
      </c>
      <c r="C2307" t="n">
        <v>3507</v>
      </c>
      <c r="D2307" t="inlineStr">
        <is>
          <t>Taylor &amp; Francis Online</t>
        </is>
      </c>
    </row>
    <row r="2308">
      <c r="A2308" t="inlineStr">
        <is>
          <t>Small Group Research</t>
        </is>
      </c>
      <c r="B2308" t="inlineStr">
        <is>
          <t>A</t>
        </is>
      </c>
      <c r="C2308" t="n">
        <v>3507</v>
      </c>
      <c r="D2308" t="inlineStr">
        <is>
          <t>Sage Publications</t>
        </is>
      </c>
    </row>
    <row r="2309">
      <c r="A2309" t="inlineStr">
        <is>
          <t>Smart and Sustainable Built Environment</t>
        </is>
      </c>
      <c r="B2309" t="inlineStr">
        <is>
          <t>C</t>
        </is>
      </c>
      <c r="C2309" t="n">
        <v>3504</v>
      </c>
      <c r="D2309" t="inlineStr">
        <is>
          <t>Emerald Group Publishing Ltd</t>
        </is>
      </c>
    </row>
    <row r="2310">
      <c r="A2310" t="inlineStr">
        <is>
          <t>Soccer &amp; Society</t>
        </is>
      </c>
      <c r="B2310" t="inlineStr">
        <is>
          <t>C</t>
        </is>
      </c>
      <c r="C2310" t="n">
        <v>3504</v>
      </c>
      <c r="D2310" t="inlineStr">
        <is>
          <t>Taylor &amp; Francis Online</t>
        </is>
      </c>
    </row>
    <row r="2311">
      <c r="A2311" t="inlineStr">
        <is>
          <t>Social and Economic Studies</t>
        </is>
      </c>
      <c r="B2311" t="inlineStr">
        <is>
          <t>C</t>
        </is>
      </c>
      <c r="C2311" t="n">
        <v>3801</v>
      </c>
      <c r="D2311" t="inlineStr">
        <is>
          <t>Sir Arthur Lewis Institute of Social and Economic Studies, The University of the West Indies</t>
        </is>
      </c>
    </row>
    <row r="2312">
      <c r="A2312" t="inlineStr">
        <is>
          <t>Social and Environmental Accountability Journal</t>
        </is>
      </c>
      <c r="B2312" t="inlineStr">
        <is>
          <t>B</t>
        </is>
      </c>
      <c r="C2312" t="n">
        <v>3501</v>
      </c>
      <c r="D2312" t="inlineStr">
        <is>
          <t>Taylor &amp; Francis Online</t>
        </is>
      </c>
    </row>
    <row r="2313">
      <c r="A2313" t="inlineStr">
        <is>
          <t>Social Choice and Welfare</t>
        </is>
      </c>
      <c r="B2313" t="inlineStr">
        <is>
          <t>A</t>
        </is>
      </c>
      <c r="C2313" t="n">
        <v>3801</v>
      </c>
      <c r="D2313" t="inlineStr">
        <is>
          <t>Springer International Publishing</t>
        </is>
      </c>
    </row>
    <row r="2314">
      <c r="A2314" t="inlineStr">
        <is>
          <t>Social Enterprise Journal</t>
        </is>
      </c>
      <c r="B2314" t="inlineStr">
        <is>
          <t>C</t>
        </is>
      </c>
      <c r="C2314" t="n">
        <v>3507</v>
      </c>
      <c r="D2314" t="inlineStr">
        <is>
          <t>Emerald Group Publishing</t>
        </is>
      </c>
    </row>
    <row r="2315">
      <c r="A2315" t="inlineStr">
        <is>
          <t>Social Forces</t>
        </is>
      </c>
      <c r="B2315" t="inlineStr">
        <is>
          <t>A</t>
        </is>
      </c>
      <c r="C2315" t="n">
        <v>3507</v>
      </c>
      <c r="D2315" t="inlineStr">
        <is>
          <t>Oxford University Press</t>
        </is>
      </c>
    </row>
    <row r="2316">
      <c r="A2316" t="inlineStr">
        <is>
          <t>Social Indicators Research</t>
        </is>
      </c>
      <c r="B2316" t="inlineStr">
        <is>
          <t>A</t>
        </is>
      </c>
      <c r="C2316" t="n">
        <v>3599</v>
      </c>
      <c r="D2316" t="inlineStr">
        <is>
          <t>Springer International Publishing</t>
        </is>
      </c>
    </row>
    <row r="2317">
      <c r="A2317" t="inlineStr">
        <is>
          <t>Social Justice Research</t>
        </is>
      </c>
      <c r="B2317" t="inlineStr">
        <is>
          <t>B</t>
        </is>
      </c>
      <c r="C2317" t="n">
        <v>3599</v>
      </c>
      <c r="D2317" t="inlineStr">
        <is>
          <t>Springer International Publishing</t>
        </is>
      </c>
    </row>
    <row r="2318">
      <c r="A2318" t="inlineStr">
        <is>
          <t>Social Marketing Quarterly</t>
        </is>
      </c>
      <c r="B2318" t="inlineStr">
        <is>
          <t>B</t>
        </is>
      </c>
      <c r="C2318" t="n">
        <v>3506</v>
      </c>
      <c r="D2318" t="inlineStr">
        <is>
          <t>Sage Publications</t>
        </is>
      </c>
    </row>
    <row r="2319">
      <c r="A2319" t="inlineStr">
        <is>
          <t>Social Policy &amp; Administration</t>
        </is>
      </c>
      <c r="B2319" t="inlineStr">
        <is>
          <t>A</t>
        </is>
      </c>
      <c r="C2319" t="n">
        <v>3599</v>
      </c>
      <c r="D2319" t="inlineStr">
        <is>
          <t>Wiley-Blackwell Publishing</t>
        </is>
      </c>
    </row>
    <row r="2320">
      <c r="A2320" t="inlineStr">
        <is>
          <t>Social Problems</t>
        </is>
      </c>
      <c r="B2320" t="inlineStr">
        <is>
          <t>A</t>
        </is>
      </c>
      <c r="C2320" t="n">
        <v>3507</v>
      </c>
      <c r="D2320" t="inlineStr">
        <is>
          <t>Oxford University Press</t>
        </is>
      </c>
    </row>
    <row r="2321">
      <c r="A2321" t="inlineStr">
        <is>
          <t>Social Psychological and Personality Science</t>
        </is>
      </c>
      <c r="B2321" t="inlineStr">
        <is>
          <t>B</t>
        </is>
      </c>
      <c r="C2321" t="n">
        <v>3507</v>
      </c>
      <c r="D2321" t="inlineStr">
        <is>
          <t>Sage Publications</t>
        </is>
      </c>
    </row>
    <row r="2322">
      <c r="A2322" t="inlineStr">
        <is>
          <t>Social Responsibility Journal</t>
        </is>
      </c>
      <c r="B2322" t="inlineStr">
        <is>
          <t>B</t>
        </is>
      </c>
      <c r="C2322" t="n">
        <v>3501</v>
      </c>
      <c r="D2322" t="inlineStr">
        <is>
          <t>Emerald Group Publishing</t>
        </is>
      </c>
    </row>
    <row r="2323">
      <c r="A2323" t="inlineStr">
        <is>
          <t>Social Science &amp; Medicine</t>
        </is>
      </c>
      <c r="B2323" t="inlineStr">
        <is>
          <t>A</t>
        </is>
      </c>
      <c r="C2323" t="n">
        <v>3899</v>
      </c>
      <c r="D2323" t="inlineStr">
        <is>
          <t>Elsevier ScienceDirect</t>
        </is>
      </c>
    </row>
    <row r="2324">
      <c r="A2324" t="inlineStr">
        <is>
          <t>Social Science Information</t>
        </is>
      </c>
      <c r="B2324" t="inlineStr">
        <is>
          <t>C</t>
        </is>
      </c>
      <c r="C2324" t="n">
        <v>3507</v>
      </c>
      <c r="D2324" t="inlineStr">
        <is>
          <t>Sage Publications</t>
        </is>
      </c>
    </row>
    <row r="2325">
      <c r="A2325" t="inlineStr">
        <is>
          <t>Social Science Japan Journal</t>
        </is>
      </c>
      <c r="B2325" t="inlineStr">
        <is>
          <t>C</t>
        </is>
      </c>
      <c r="C2325" t="n">
        <v>3599</v>
      </c>
      <c r="D2325" t="inlineStr">
        <is>
          <t>Oxford University Press</t>
        </is>
      </c>
    </row>
    <row r="2326">
      <c r="A2326" t="inlineStr">
        <is>
          <t>Social Science Quarterly</t>
        </is>
      </c>
      <c r="B2326" t="inlineStr">
        <is>
          <t>B</t>
        </is>
      </c>
      <c r="C2326" t="n">
        <v>3599</v>
      </c>
      <c r="D2326" t="inlineStr">
        <is>
          <t>Wiley-Blackwell Publishing</t>
        </is>
      </c>
    </row>
    <row r="2327">
      <c r="A2327" t="inlineStr">
        <is>
          <t>Social Service Review</t>
        </is>
      </c>
      <c r="B2327" t="inlineStr">
        <is>
          <t>B</t>
        </is>
      </c>
      <c r="C2327" t="n">
        <v>3507</v>
      </c>
      <c r="D2327" t="inlineStr">
        <is>
          <t>The University of Chicago Press</t>
        </is>
      </c>
    </row>
    <row r="2328">
      <c r="A2328" t="inlineStr">
        <is>
          <t>Society and Business Review</t>
        </is>
      </c>
      <c r="B2328" t="inlineStr">
        <is>
          <t>B</t>
        </is>
      </c>
      <c r="C2328" t="n">
        <v>3507</v>
      </c>
      <c r="D2328" t="inlineStr">
        <is>
          <t>Emerald Group Publishing</t>
        </is>
      </c>
    </row>
    <row r="2329">
      <c r="A2329" t="inlineStr">
        <is>
          <t>Society and Economy in Central and Eastern Europe</t>
        </is>
      </c>
      <c r="B2329" t="inlineStr">
        <is>
          <t>C</t>
        </is>
      </c>
      <c r="C2329" t="n">
        <v>3801</v>
      </c>
      <c r="D2329" t="inlineStr">
        <is>
          <t>Akademiai Kiado</t>
        </is>
      </c>
    </row>
    <row r="2330">
      <c r="A2330" t="inlineStr">
        <is>
          <t>Socio-Economic Planning Sciences</t>
        </is>
      </c>
      <c r="B2330" t="inlineStr">
        <is>
          <t>C</t>
        </is>
      </c>
      <c r="C2330" t="n">
        <v>3899</v>
      </c>
      <c r="D2330" t="inlineStr">
        <is>
          <t>Elsevier</t>
        </is>
      </c>
    </row>
    <row r="2331">
      <c r="A2331" t="inlineStr">
        <is>
          <t>Socio-Economic Review</t>
        </is>
      </c>
      <c r="B2331" t="inlineStr">
        <is>
          <t>A</t>
        </is>
      </c>
      <c r="C2331" t="n">
        <v>3801</v>
      </c>
      <c r="D2331" t="inlineStr">
        <is>
          <t>Oxford University Press</t>
        </is>
      </c>
    </row>
    <row r="2332">
      <c r="A2332" t="inlineStr">
        <is>
          <t>SocioEconomic Challenges</t>
        </is>
      </c>
      <c r="B2332" t="inlineStr">
        <is>
          <t>C</t>
        </is>
      </c>
      <c r="C2332" t="n">
        <v>3801</v>
      </c>
      <c r="D2332" t="inlineStr">
        <is>
          <t>Sumy State University</t>
        </is>
      </c>
    </row>
    <row r="2333">
      <c r="A2333" t="inlineStr">
        <is>
          <t>Sociological Inquiry</t>
        </is>
      </c>
      <c r="B2333" t="inlineStr">
        <is>
          <t>A</t>
        </is>
      </c>
      <c r="C2333" t="n">
        <v>3507</v>
      </c>
      <c r="D2333" t="inlineStr">
        <is>
          <t>Wiley-Blackwell Publishing</t>
        </is>
      </c>
    </row>
    <row r="2334">
      <c r="A2334" t="inlineStr">
        <is>
          <t>Sociological Methodology</t>
        </is>
      </c>
      <c r="B2334" t="inlineStr">
        <is>
          <t>A</t>
        </is>
      </c>
      <c r="C2334" t="n">
        <v>3507</v>
      </c>
      <c r="D2334" t="inlineStr">
        <is>
          <t>Sage Publications</t>
        </is>
      </c>
    </row>
    <row r="2335">
      <c r="A2335" t="inlineStr">
        <is>
          <t>Sociological Theory</t>
        </is>
      </c>
      <c r="B2335" t="inlineStr">
        <is>
          <t>A</t>
        </is>
      </c>
      <c r="C2335" t="n">
        <v>3507</v>
      </c>
      <c r="D2335" t="inlineStr">
        <is>
          <t>Sage Publications</t>
        </is>
      </c>
    </row>
    <row r="2336">
      <c r="A2336" t="inlineStr">
        <is>
          <t>Sociologie du Travail</t>
        </is>
      </c>
      <c r="B2336" t="inlineStr">
        <is>
          <t>B</t>
        </is>
      </c>
      <c r="C2336" t="n">
        <v>3505</v>
      </c>
      <c r="D2336" t="inlineStr">
        <is>
          <t>Elsevier</t>
        </is>
      </c>
    </row>
    <row r="2337">
      <c r="A2337" t="inlineStr">
        <is>
          <t>Sociology</t>
        </is>
      </c>
      <c r="B2337" t="inlineStr">
        <is>
          <t>A*</t>
        </is>
      </c>
      <c r="C2337" t="n">
        <v>3507</v>
      </c>
      <c r="D2337" t="inlineStr">
        <is>
          <t>Sage Publications</t>
        </is>
      </c>
    </row>
    <row r="2338">
      <c r="A2338" t="inlineStr">
        <is>
          <t>Sociology of Sport Journal</t>
        </is>
      </c>
      <c r="B2338" t="inlineStr">
        <is>
          <t>A</t>
        </is>
      </c>
      <c r="C2338" t="n">
        <v>3504</v>
      </c>
      <c r="D2338" t="inlineStr">
        <is>
          <t>Human Kinetics Publishers, Inc.</t>
        </is>
      </c>
    </row>
    <row r="2339">
      <c r="A2339" t="inlineStr">
        <is>
          <t>South African Journal of Accounting Research</t>
        </is>
      </c>
      <c r="B2339" t="inlineStr">
        <is>
          <t>C</t>
        </is>
      </c>
      <c r="C2339" t="n">
        <v>3501</v>
      </c>
      <c r="D2339" t="inlineStr">
        <is>
          <t>Routledge</t>
        </is>
      </c>
    </row>
    <row r="2340">
      <c r="A2340" t="inlineStr">
        <is>
          <t>South African Journal of Business Management</t>
        </is>
      </c>
      <c r="B2340" t="inlineStr">
        <is>
          <t>C</t>
        </is>
      </c>
      <c r="C2340" t="n">
        <v>3507</v>
      </c>
      <c r="D2340" t="inlineStr">
        <is>
          <t>African Online Scientific Information Systems</t>
        </is>
      </c>
    </row>
    <row r="2341">
      <c r="A2341" t="inlineStr">
        <is>
          <t>South African Journal of Economic and Management Sciences</t>
        </is>
      </c>
      <c r="B2341" t="inlineStr">
        <is>
          <t>C</t>
        </is>
      </c>
      <c r="C2341" t="n">
        <v>3801</v>
      </c>
      <c r="D2341" t="inlineStr">
        <is>
          <t>AOSIS</t>
        </is>
      </c>
    </row>
    <row r="2342">
      <c r="A2342" t="inlineStr">
        <is>
          <t>South African Journal of Economics</t>
        </is>
      </c>
      <c r="B2342" t="inlineStr">
        <is>
          <t>B</t>
        </is>
      </c>
      <c r="C2342" t="n">
        <v>3801</v>
      </c>
      <c r="D2342" t="inlineStr">
        <is>
          <t>Wiley-Blackwell Publishing</t>
        </is>
      </c>
    </row>
    <row r="2343">
      <c r="A2343" t="inlineStr">
        <is>
          <t>South African Statistical Journal</t>
        </is>
      </c>
      <c r="B2343" t="inlineStr">
        <is>
          <t>B</t>
        </is>
      </c>
      <c r="C2343" t="n">
        <v>3502</v>
      </c>
      <c r="D2343" t="inlineStr">
        <is>
          <t>South African Statiscal Association</t>
        </is>
      </c>
    </row>
    <row r="2344">
      <c r="A2344" t="inlineStr">
        <is>
          <t>South Asia Economic Journal</t>
        </is>
      </c>
      <c r="B2344" t="inlineStr">
        <is>
          <t>C</t>
        </is>
      </c>
      <c r="C2344" t="n">
        <v>3801</v>
      </c>
      <c r="D2344" t="inlineStr">
        <is>
          <t>Sage Publications</t>
        </is>
      </c>
    </row>
    <row r="2345">
      <c r="A2345" t="inlineStr">
        <is>
          <t>South Asian Journal of Business and Management Cases</t>
        </is>
      </c>
      <c r="B2345" t="inlineStr">
        <is>
          <t>C</t>
        </is>
      </c>
      <c r="C2345" t="n">
        <v>3507</v>
      </c>
      <c r="D2345" t="inlineStr">
        <is>
          <t>Sage Publications</t>
        </is>
      </c>
    </row>
    <row r="2346">
      <c r="A2346" t="inlineStr">
        <is>
          <t>South Asian Journal of Business Studies</t>
        </is>
      </c>
      <c r="B2346" t="inlineStr">
        <is>
          <t>B</t>
        </is>
      </c>
      <c r="C2346" t="n">
        <v>3507</v>
      </c>
      <c r="D2346" t="inlineStr">
        <is>
          <t>Emerald Group Publishing</t>
        </is>
      </c>
    </row>
    <row r="2347">
      <c r="A2347" t="inlineStr">
        <is>
          <t>South Asian Journal of Human Resources Management</t>
        </is>
      </c>
      <c r="B2347" t="inlineStr">
        <is>
          <t>C</t>
        </is>
      </c>
      <c r="C2347" t="n">
        <v>3505</v>
      </c>
      <c r="D2347" t="inlineStr">
        <is>
          <t>Sage Publications</t>
        </is>
      </c>
    </row>
    <row r="2348">
      <c r="A2348" t="inlineStr">
        <is>
          <t>South Asian Journal of Macroeconomics and Public Finance</t>
        </is>
      </c>
      <c r="B2348" t="inlineStr">
        <is>
          <t>C</t>
        </is>
      </c>
      <c r="C2348" t="n">
        <v>3801</v>
      </c>
      <c r="D2348" t="inlineStr">
        <is>
          <t>Sage Publications</t>
        </is>
      </c>
    </row>
    <row r="2349">
      <c r="A2349" t="inlineStr">
        <is>
          <t>South Asian Journal of Management</t>
        </is>
      </c>
      <c r="B2349" t="inlineStr">
        <is>
          <t>C</t>
        </is>
      </c>
      <c r="C2349" t="n">
        <v>3507</v>
      </c>
      <c r="D2349" t="inlineStr">
        <is>
          <t>Association of Management Development Institutions in South Asia (AMDISA)</t>
        </is>
      </c>
    </row>
    <row r="2350">
      <c r="A2350" t="inlineStr">
        <is>
          <t>South Carolina Journal of International Law and Business</t>
        </is>
      </c>
      <c r="B2350" t="inlineStr">
        <is>
          <t>C</t>
        </is>
      </c>
      <c r="C2350" t="n">
        <v>4801</v>
      </c>
      <c r="D2350" t="inlineStr">
        <is>
          <t>University of South Carolina</t>
        </is>
      </c>
    </row>
    <row r="2351">
      <c r="A2351" t="inlineStr">
        <is>
          <t>Southern Business and Economic Journal</t>
        </is>
      </c>
      <c r="B2351" t="inlineStr">
        <is>
          <t>C</t>
        </is>
      </c>
      <c r="C2351" t="n">
        <v>3801</v>
      </c>
      <c r="D2351" t="inlineStr">
        <is>
          <t>Auburn Montgomery College of Business</t>
        </is>
      </c>
    </row>
    <row r="2352">
      <c r="A2352" t="inlineStr">
        <is>
          <t>Southern Economic Journal</t>
        </is>
      </c>
      <c r="B2352" t="inlineStr">
        <is>
          <t>A</t>
        </is>
      </c>
      <c r="C2352" t="n">
        <v>3801</v>
      </c>
      <c r="D2352" t="inlineStr">
        <is>
          <t>Wiley-Blackwell Publishing</t>
        </is>
      </c>
    </row>
    <row r="2353">
      <c r="A2353" t="inlineStr">
        <is>
          <t>Spanish Accounting Review / Revista de Contabilidad</t>
        </is>
      </c>
      <c r="B2353" t="inlineStr">
        <is>
          <t>B</t>
        </is>
      </c>
      <c r="C2353" t="n">
        <v>3501</v>
      </c>
      <c r="D2353" t="inlineStr">
        <is>
          <t>ASEPUC (Associacion Espanola de Profesores Universitarios de Contabilidad)</t>
        </is>
      </c>
    </row>
    <row r="2354">
      <c r="A2354" t="inlineStr">
        <is>
          <t>Spanish Economic Review</t>
        </is>
      </c>
      <c r="B2354" t="inlineStr">
        <is>
          <t>B</t>
        </is>
      </c>
      <c r="C2354" t="n">
        <v>3801</v>
      </c>
      <c r="D2354" t="inlineStr">
        <is>
          <t>Springer International Publishing</t>
        </is>
      </c>
    </row>
    <row r="2355">
      <c r="A2355" t="inlineStr">
        <is>
          <t>Spanish Journal of Finance and Accounting</t>
        </is>
      </c>
      <c r="B2355" t="inlineStr">
        <is>
          <t>B</t>
        </is>
      </c>
      <c r="C2355" t="n">
        <v>3501</v>
      </c>
      <c r="D2355" t="inlineStr">
        <is>
          <t>Taylor &amp; Francis Online</t>
        </is>
      </c>
    </row>
    <row r="2356">
      <c r="A2356" t="inlineStr">
        <is>
          <t>Spanish Journal of Marketing – ESIC</t>
        </is>
      </c>
      <c r="B2356" t="inlineStr">
        <is>
          <t>B</t>
        </is>
      </c>
      <c r="C2356" t="n">
        <v>3506</v>
      </c>
      <c r="D2356" t="inlineStr">
        <is>
          <t>Emerald Group Publishing</t>
        </is>
      </c>
    </row>
    <row r="2357">
      <c r="A2357" t="inlineStr">
        <is>
          <t>Spanish Review of Financial Economics</t>
        </is>
      </c>
      <c r="B2357" t="inlineStr">
        <is>
          <t>C</t>
        </is>
      </c>
      <c r="C2357" t="n">
        <v>3502</v>
      </c>
      <c r="D2357" t="inlineStr">
        <is>
          <t>AEFIN</t>
        </is>
      </c>
    </row>
    <row r="2358">
      <c r="A2358" t="inlineStr">
        <is>
          <t>Spatial Economic Analysis</t>
        </is>
      </c>
      <c r="B2358" t="inlineStr">
        <is>
          <t>B</t>
        </is>
      </c>
      <c r="C2358" t="n">
        <v>3801</v>
      </c>
      <c r="D2358" t="inlineStr">
        <is>
          <t>Taylor &amp; Francis Online</t>
        </is>
      </c>
    </row>
    <row r="2359">
      <c r="A2359" t="inlineStr">
        <is>
          <t>Sport in Society</t>
        </is>
      </c>
      <c r="B2359" t="inlineStr">
        <is>
          <t>B</t>
        </is>
      </c>
      <c r="C2359" t="n">
        <v>3504</v>
      </c>
      <c r="D2359" t="inlineStr">
        <is>
          <t>Taylor &amp; Francis Online</t>
        </is>
      </c>
    </row>
    <row r="2360">
      <c r="A2360" t="inlineStr">
        <is>
          <t>Sport Management Education Journal</t>
        </is>
      </c>
      <c r="B2360" t="inlineStr">
        <is>
          <t>C</t>
        </is>
      </c>
      <c r="C2360" t="n">
        <v>3504</v>
      </c>
      <c r="D2360" t="inlineStr">
        <is>
          <t>Human Kinetics Publishers, Inc.</t>
        </is>
      </c>
    </row>
    <row r="2361">
      <c r="A2361" t="inlineStr">
        <is>
          <t>Sport Management Review</t>
        </is>
      </c>
      <c r="B2361" t="inlineStr">
        <is>
          <t>A</t>
        </is>
      </c>
      <c r="C2361" t="n">
        <v>3504</v>
      </c>
      <c r="D2361" t="inlineStr">
        <is>
          <t>Elsevier</t>
        </is>
      </c>
    </row>
    <row r="2362">
      <c r="A2362" t="inlineStr">
        <is>
          <t>Sport Marketing Quarterly</t>
        </is>
      </c>
      <c r="B2362" t="inlineStr">
        <is>
          <t>B</t>
        </is>
      </c>
      <c r="C2362" t="n">
        <v>3506</v>
      </c>
      <c r="D2362" t="inlineStr">
        <is>
          <t>Sage Publications</t>
        </is>
      </c>
    </row>
    <row r="2363">
      <c r="A2363" t="inlineStr">
        <is>
          <t>Sport Psychologist</t>
        </is>
      </c>
      <c r="B2363" t="inlineStr">
        <is>
          <t>B</t>
        </is>
      </c>
      <c r="C2363" t="n">
        <v>3504</v>
      </c>
      <c r="D2363" t="inlineStr">
        <is>
          <t>Human Kinetics Publishers, Inc.</t>
        </is>
      </c>
    </row>
    <row r="2364">
      <c r="A2364" t="inlineStr">
        <is>
          <t>Sport, Business and Management</t>
        </is>
      </c>
      <c r="B2364" t="inlineStr">
        <is>
          <t>B</t>
        </is>
      </c>
      <c r="C2364" t="n">
        <v>3504</v>
      </c>
      <c r="D2364" t="inlineStr">
        <is>
          <t>Emerald Group Publishing Limited</t>
        </is>
      </c>
    </row>
    <row r="2365">
      <c r="A2365" t="inlineStr">
        <is>
          <t>Sport, Education and Society</t>
        </is>
      </c>
      <c r="B2365" t="inlineStr">
        <is>
          <t>B</t>
        </is>
      </c>
      <c r="C2365" t="n">
        <v>3504</v>
      </c>
      <c r="D2365" t="inlineStr">
        <is>
          <t>Taylor &amp; Francis Online</t>
        </is>
      </c>
    </row>
    <row r="2366">
      <c r="A2366" t="inlineStr">
        <is>
          <t>Sporting Traditions</t>
        </is>
      </c>
      <c r="B2366" t="inlineStr">
        <is>
          <t>C</t>
        </is>
      </c>
      <c r="C2366" t="n">
        <v>3504</v>
      </c>
      <c r="D2366" t="inlineStr">
        <is>
          <t>Australian Society for Sports History Publications</t>
        </is>
      </c>
    </row>
    <row r="2367">
      <c r="A2367" t="inlineStr">
        <is>
          <t>Sri Lanka Economic Journal</t>
        </is>
      </c>
      <c r="B2367" t="inlineStr">
        <is>
          <t>C</t>
        </is>
      </c>
      <c r="C2367" t="n">
        <v>3801</v>
      </c>
      <c r="D2367" t="inlineStr">
        <is>
          <t>Sri Lanka Economic Association (SLEA), Colombo</t>
        </is>
      </c>
    </row>
    <row r="2368">
      <c r="A2368" t="inlineStr">
        <is>
          <t>Sri Lankan Journal of Agricultural Economics</t>
        </is>
      </c>
      <c r="B2368" t="inlineStr">
        <is>
          <t>C</t>
        </is>
      </c>
      <c r="C2368" t="n">
        <v>3801</v>
      </c>
      <c r="D2368" t="inlineStr">
        <is>
          <t>Sri Lanka Agricultural Economics Association</t>
        </is>
      </c>
    </row>
    <row r="2369">
      <c r="A2369" t="inlineStr">
        <is>
          <t>Stanford Journal of International Law</t>
        </is>
      </c>
      <c r="B2369" t="inlineStr">
        <is>
          <t>A</t>
        </is>
      </c>
      <c r="C2369" t="n">
        <v>4801</v>
      </c>
      <c r="D2369" t="inlineStr">
        <is>
          <t>Stanford University Press</t>
        </is>
      </c>
    </row>
    <row r="2370">
      <c r="A2370" t="inlineStr">
        <is>
          <t>Stanford Journal of Law, Business and Finance</t>
        </is>
      </c>
      <c r="B2370" t="inlineStr">
        <is>
          <t>A</t>
        </is>
      </c>
      <c r="C2370" t="n">
        <v>4801</v>
      </c>
      <c r="D2370" t="inlineStr">
        <is>
          <t>Stanford University Press</t>
        </is>
      </c>
    </row>
    <row r="2371">
      <c r="A2371" t="inlineStr">
        <is>
          <t>Stanford Social Innovation Review</t>
        </is>
      </c>
      <c r="B2371" t="inlineStr">
        <is>
          <t>B</t>
        </is>
      </c>
      <c r="C2371" t="n">
        <v>3507</v>
      </c>
      <c r="D2371" t="inlineStr">
        <is>
          <t>Stanford Center on Philanthropy and Civil Society</t>
        </is>
      </c>
    </row>
    <row r="2372">
      <c r="A2372" t="inlineStr">
        <is>
          <t>Statistica Neerlandica</t>
        </is>
      </c>
      <c r="B2372" t="inlineStr">
        <is>
          <t>A</t>
        </is>
      </c>
      <c r="C2372" t="n">
        <v>4905</v>
      </c>
      <c r="D2372" t="inlineStr">
        <is>
          <t>Wiley-Blackwell Publishing</t>
        </is>
      </c>
    </row>
    <row r="2373">
      <c r="A2373" t="inlineStr">
        <is>
          <t>Statistica Sinica</t>
        </is>
      </c>
      <c r="B2373" t="inlineStr">
        <is>
          <t>A</t>
        </is>
      </c>
      <c r="C2373" t="n">
        <v>4905</v>
      </c>
      <c r="D2373" t="inlineStr">
        <is>
          <t>Statistica Sinica</t>
        </is>
      </c>
    </row>
    <row r="2374">
      <c r="A2374" t="inlineStr">
        <is>
          <t>Statistical Inference for Stochastic Processes</t>
        </is>
      </c>
      <c r="B2374" t="inlineStr">
        <is>
          <t>C</t>
        </is>
      </c>
      <c r="C2374" t="n">
        <v>4905</v>
      </c>
      <c r="D2374" t="inlineStr">
        <is>
          <t>Springer International Publishing</t>
        </is>
      </c>
    </row>
    <row r="2375">
      <c r="A2375" t="inlineStr">
        <is>
          <t>Statistical Journal of the IAOS</t>
        </is>
      </c>
      <c r="B2375" t="inlineStr">
        <is>
          <t>C</t>
        </is>
      </c>
      <c r="C2375" t="n">
        <v>4905</v>
      </c>
      <c r="D2375" t="inlineStr">
        <is>
          <t>Sage Publications</t>
        </is>
      </c>
    </row>
    <row r="2376">
      <c r="A2376" t="inlineStr">
        <is>
          <t>Statistical Methodology</t>
        </is>
      </c>
      <c r="B2376" t="inlineStr">
        <is>
          <t>C</t>
        </is>
      </c>
      <c r="C2376" t="n">
        <v>4905</v>
      </c>
      <c r="D2376" t="inlineStr">
        <is>
          <t>Elsevier</t>
        </is>
      </c>
    </row>
    <row r="2377">
      <c r="A2377" t="inlineStr">
        <is>
          <t>Statistical Methods and Applications</t>
        </is>
      </c>
      <c r="B2377" t="inlineStr">
        <is>
          <t>C</t>
        </is>
      </c>
      <c r="C2377" t="n">
        <v>4905</v>
      </c>
      <c r="D2377" t="inlineStr">
        <is>
          <t>Springer International Publishing</t>
        </is>
      </c>
    </row>
    <row r="2378">
      <c r="A2378" t="inlineStr">
        <is>
          <t>Statistical Methods In Medical Research</t>
        </is>
      </c>
      <c r="B2378" t="inlineStr">
        <is>
          <t>B</t>
        </is>
      </c>
      <c r="C2378" t="n">
        <v>4905</v>
      </c>
      <c r="D2378" t="inlineStr">
        <is>
          <t>Sage Publications</t>
        </is>
      </c>
    </row>
    <row r="2379">
      <c r="A2379" t="inlineStr">
        <is>
          <t>Statistical Modelling</t>
        </is>
      </c>
      <c r="B2379" t="inlineStr">
        <is>
          <t>B</t>
        </is>
      </c>
      <c r="C2379" t="n">
        <v>4905</v>
      </c>
      <c r="D2379" t="inlineStr">
        <is>
          <t>Sage Publications</t>
        </is>
      </c>
    </row>
    <row r="2380">
      <c r="A2380" t="inlineStr">
        <is>
          <t>Statistical Papers</t>
        </is>
      </c>
      <c r="B2380" t="inlineStr">
        <is>
          <t>B</t>
        </is>
      </c>
      <c r="C2380" t="n">
        <v>4905</v>
      </c>
      <c r="D2380" t="inlineStr">
        <is>
          <t>Springer International Publishing</t>
        </is>
      </c>
    </row>
    <row r="2381">
      <c r="A2381" t="inlineStr">
        <is>
          <t>Statistical Science</t>
        </is>
      </c>
      <c r="B2381" t="inlineStr">
        <is>
          <t>A</t>
        </is>
      </c>
      <c r="C2381" t="n">
        <v>4905</v>
      </c>
      <c r="D2381" t="inlineStr">
        <is>
          <t>Institute of Mathematical Statistics</t>
        </is>
      </c>
    </row>
    <row r="2382">
      <c r="A2382" t="inlineStr">
        <is>
          <t>Statistics</t>
        </is>
      </c>
      <c r="B2382" t="inlineStr">
        <is>
          <t>B</t>
        </is>
      </c>
      <c r="C2382" t="n">
        <v>4905</v>
      </c>
      <c r="D2382" t="inlineStr">
        <is>
          <t>Taylor &amp; Francis Online</t>
        </is>
      </c>
    </row>
    <row r="2383">
      <c r="A2383" t="inlineStr">
        <is>
          <t>Statistics &amp; Probability Letters</t>
        </is>
      </c>
      <c r="B2383" t="inlineStr">
        <is>
          <t>B</t>
        </is>
      </c>
      <c r="C2383" t="n">
        <v>4905</v>
      </c>
      <c r="D2383" t="inlineStr">
        <is>
          <t>Elsevier</t>
        </is>
      </c>
    </row>
    <row r="2384">
      <c r="A2384" t="inlineStr">
        <is>
          <t>Statistics &amp; Risk Modeling</t>
        </is>
      </c>
      <c r="B2384" t="inlineStr">
        <is>
          <t>C</t>
        </is>
      </c>
      <c r="C2384" t="n">
        <v>4905</v>
      </c>
      <c r="D2384" t="inlineStr">
        <is>
          <t>De Gruyter</t>
        </is>
      </c>
    </row>
    <row r="2385">
      <c r="A2385" t="inlineStr">
        <is>
          <t>Statistics and Computing</t>
        </is>
      </c>
      <c r="B2385" t="inlineStr">
        <is>
          <t>A</t>
        </is>
      </c>
      <c r="C2385" t="n">
        <v>4905</v>
      </c>
      <c r="D2385" t="inlineStr">
        <is>
          <t>Springer International Publishing</t>
        </is>
      </c>
    </row>
    <row r="2386">
      <c r="A2386" t="inlineStr">
        <is>
          <t>Statistics Education Research Journal</t>
        </is>
      </c>
      <c r="B2386" t="inlineStr">
        <is>
          <t>B</t>
        </is>
      </c>
      <c r="C2386" t="n">
        <v>4905</v>
      </c>
      <c r="D2386" t="inlineStr">
        <is>
          <t>International Association for Statistical Education</t>
        </is>
      </c>
    </row>
    <row r="2387">
      <c r="A2387" t="inlineStr">
        <is>
          <t>Statistics in Medicine</t>
        </is>
      </c>
      <c r="B2387" t="inlineStr">
        <is>
          <t>A</t>
        </is>
      </c>
      <c r="C2387" t="n">
        <v>4905</v>
      </c>
      <c r="D2387" t="inlineStr">
        <is>
          <t>Wiley-Blackwell Publishing</t>
        </is>
      </c>
    </row>
    <row r="2388">
      <c r="A2388" t="inlineStr">
        <is>
          <t>Statute Law Review</t>
        </is>
      </c>
      <c r="B2388" t="inlineStr">
        <is>
          <t>A</t>
        </is>
      </c>
      <c r="C2388" t="n">
        <v>4801</v>
      </c>
      <c r="D2388" t="inlineStr">
        <is>
          <t>Oxford University Press</t>
        </is>
      </c>
    </row>
    <row r="2389">
      <c r="A2389" t="inlineStr">
        <is>
          <t>Stochastic Analysis and Applications</t>
        </is>
      </c>
      <c r="B2389" t="inlineStr">
        <is>
          <t>B</t>
        </is>
      </c>
      <c r="C2389" t="n">
        <v>4905</v>
      </c>
      <c r="D2389" t="inlineStr">
        <is>
          <t>Taylor &amp; Francis Online</t>
        </is>
      </c>
    </row>
    <row r="2390">
      <c r="A2390" t="inlineStr">
        <is>
          <t>Stochastic Environmental Research and Risk Assessment</t>
        </is>
      </c>
      <c r="B2390" t="inlineStr">
        <is>
          <t>B</t>
        </is>
      </c>
      <c r="C2390" t="n">
        <v>4905</v>
      </c>
      <c r="D2390" t="inlineStr">
        <is>
          <t>Springer International Publishing</t>
        </is>
      </c>
    </row>
    <row r="2391">
      <c r="A2391" t="inlineStr">
        <is>
          <t>Stochastic Models</t>
        </is>
      </c>
      <c r="B2391" t="inlineStr">
        <is>
          <t>B</t>
        </is>
      </c>
      <c r="C2391" t="n">
        <v>4905</v>
      </c>
      <c r="D2391" t="inlineStr">
        <is>
          <t>Taylor &amp; Francis Online</t>
        </is>
      </c>
    </row>
    <row r="2392">
      <c r="A2392" t="inlineStr">
        <is>
          <t>Stochastic Processes and their Applications</t>
        </is>
      </c>
      <c r="B2392" t="inlineStr">
        <is>
          <t>A</t>
        </is>
      </c>
      <c r="C2392" t="n">
        <v>4905</v>
      </c>
      <c r="D2392" t="inlineStr">
        <is>
          <t>Elsevier</t>
        </is>
      </c>
    </row>
    <row r="2393">
      <c r="A2393" t="inlineStr">
        <is>
          <t>Stochastics: an international journal of probability and stochastic processes</t>
        </is>
      </c>
      <c r="B2393" t="inlineStr">
        <is>
          <t>B</t>
        </is>
      </c>
      <c r="C2393" t="n">
        <v>4905</v>
      </c>
      <c r="D2393" t="inlineStr">
        <is>
          <t>Taylor &amp; Francis Online</t>
        </is>
      </c>
    </row>
    <row r="2394">
      <c r="A2394" t="inlineStr">
        <is>
          <t>Strategic Change: Briefings in Entrepreurial Finance</t>
        </is>
      </c>
      <c r="B2394" t="inlineStr">
        <is>
          <t>B</t>
        </is>
      </c>
      <c r="C2394" t="n">
        <v>3507</v>
      </c>
      <c r="D2394" t="inlineStr">
        <is>
          <t>Wiley-Blackwell Publishing</t>
        </is>
      </c>
    </row>
    <row r="2395">
      <c r="A2395" t="inlineStr">
        <is>
          <t>Strategic Entrepreneurship Journal</t>
        </is>
      </c>
      <c r="B2395" t="inlineStr">
        <is>
          <t>A</t>
        </is>
      </c>
      <c r="C2395" t="n">
        <v>3507</v>
      </c>
      <c r="D2395" t="inlineStr">
        <is>
          <t>Wiley-Blackwell Publishing</t>
        </is>
      </c>
    </row>
    <row r="2396">
      <c r="A2396" t="inlineStr">
        <is>
          <t>Strategic Management Journal</t>
        </is>
      </c>
      <c r="B2396" t="inlineStr">
        <is>
          <t>A*</t>
        </is>
      </c>
      <c r="C2396" t="n">
        <v>3507</v>
      </c>
      <c r="D2396" t="inlineStr">
        <is>
          <t>Wiley-Blackwell Publishing</t>
        </is>
      </c>
    </row>
    <row r="2397">
      <c r="A2397" t="inlineStr">
        <is>
          <t>Strategic Organization</t>
        </is>
      </c>
      <c r="B2397" t="inlineStr">
        <is>
          <t>A</t>
        </is>
      </c>
      <c r="C2397" t="n">
        <v>3507</v>
      </c>
      <c r="D2397" t="inlineStr">
        <is>
          <t>Sage Publications</t>
        </is>
      </c>
    </row>
    <row r="2398">
      <c r="A2398" t="inlineStr">
        <is>
          <t>Strategy &amp; Leadership</t>
        </is>
      </c>
      <c r="B2398" t="inlineStr">
        <is>
          <t>C</t>
        </is>
      </c>
      <c r="C2398" t="n">
        <v>3507</v>
      </c>
      <c r="D2398" t="inlineStr">
        <is>
          <t>Emerald Group Publishing</t>
        </is>
      </c>
    </row>
    <row r="2399">
      <c r="A2399" t="inlineStr">
        <is>
          <t>Strategy Science</t>
        </is>
      </c>
      <c r="B2399" t="inlineStr">
        <is>
          <t>A</t>
        </is>
      </c>
      <c r="C2399" t="n">
        <v>3507</v>
      </c>
      <c r="D2399" t="inlineStr">
        <is>
          <t>INFORMS</t>
        </is>
      </c>
    </row>
    <row r="2400">
      <c r="A2400" t="inlineStr">
        <is>
          <t>Stress and Health</t>
        </is>
      </c>
      <c r="B2400" t="inlineStr">
        <is>
          <t>A</t>
        </is>
      </c>
      <c r="C2400" t="n">
        <v>3507</v>
      </c>
      <c r="D2400" t="inlineStr">
        <is>
          <t>Wiley-Blackwell Publishing</t>
        </is>
      </c>
    </row>
    <row r="2401">
      <c r="A2401" t="inlineStr">
        <is>
          <t>Structural Change and Economic Dynamics</t>
        </is>
      </c>
      <c r="B2401" t="inlineStr">
        <is>
          <t>B</t>
        </is>
      </c>
      <c r="C2401" t="n">
        <v>3801</v>
      </c>
      <c r="D2401" t="inlineStr">
        <is>
          <t>Elsevier</t>
        </is>
      </c>
    </row>
    <row r="2402">
      <c r="A2402" t="inlineStr">
        <is>
          <t>Structural Equation Modelling: A Multidisciplinary Journal</t>
        </is>
      </c>
      <c r="B2402" t="inlineStr">
        <is>
          <t>A</t>
        </is>
      </c>
      <c r="C2402" t="n">
        <v>3507</v>
      </c>
      <c r="D2402" t="inlineStr">
        <is>
          <t>Taylor &amp; Francis Online</t>
        </is>
      </c>
    </row>
    <row r="2403">
      <c r="A2403" t="inlineStr">
        <is>
          <t>Studi Economici e Sociali: rivista di vita economica</t>
        </is>
      </c>
      <c r="B2403" t="inlineStr">
        <is>
          <t>C</t>
        </is>
      </c>
      <c r="C2403" t="n">
        <v>3801</v>
      </c>
      <c r="D2403" t="inlineStr">
        <is>
          <t>Centro Studi G. Toniolo</t>
        </is>
      </c>
    </row>
    <row r="2404">
      <c r="A2404" t="inlineStr">
        <is>
          <t>Studies in Agricultural Economics</t>
        </is>
      </c>
      <c r="B2404" t="inlineStr">
        <is>
          <t>C</t>
        </is>
      </c>
      <c r="C2404" t="n">
        <v>3899</v>
      </c>
      <c r="D2404" t="inlineStr">
        <is>
          <t>Research Institute of Agricultural Economics and the Hungarian Academy of Sciences</t>
        </is>
      </c>
    </row>
    <row r="2405">
      <c r="A2405" t="inlineStr">
        <is>
          <t>Studies in Business and Economics</t>
        </is>
      </c>
      <c r="B2405" t="inlineStr">
        <is>
          <t>C</t>
        </is>
      </c>
      <c r="C2405" t="n">
        <v>3801</v>
      </c>
      <c r="D2405" t="inlineStr">
        <is>
          <t>Sciendo</t>
        </is>
      </c>
    </row>
    <row r="2406">
      <c r="A2406" t="inlineStr">
        <is>
          <t>Studies in Comparative International Development</t>
        </is>
      </c>
      <c r="B2406" t="inlineStr">
        <is>
          <t>A</t>
        </is>
      </c>
      <c r="C2406" t="n">
        <v>3599</v>
      </c>
      <c r="D2406" t="inlineStr">
        <is>
          <t>Springer International Publishing</t>
        </is>
      </c>
    </row>
    <row r="2407">
      <c r="A2407" t="inlineStr">
        <is>
          <t>Studies in Economics and Finance</t>
        </is>
      </c>
      <c r="B2407" t="inlineStr">
        <is>
          <t>B</t>
        </is>
      </c>
      <c r="C2407" t="n">
        <v>3801</v>
      </c>
      <c r="D2407" t="inlineStr">
        <is>
          <t>Emerald Group Publishing</t>
        </is>
      </c>
    </row>
    <row r="2408">
      <c r="A2408" t="inlineStr">
        <is>
          <t>Studies in Higher Education</t>
        </is>
      </c>
      <c r="B2408" t="inlineStr">
        <is>
          <t>A</t>
        </is>
      </c>
      <c r="C2408" t="n">
        <v>3505</v>
      </c>
      <c r="D2408" t="inlineStr">
        <is>
          <t>Taylor &amp; Francis Online</t>
        </is>
      </c>
    </row>
    <row r="2409">
      <c r="A2409" t="inlineStr">
        <is>
          <t>Studies in Microeconomics</t>
        </is>
      </c>
      <c r="B2409" t="inlineStr">
        <is>
          <t>C</t>
        </is>
      </c>
      <c r="C2409" t="n">
        <v>3803</v>
      </c>
      <c r="D2409" t="inlineStr">
        <is>
          <t>Sage Publications</t>
        </is>
      </c>
    </row>
    <row r="2410">
      <c r="A2410" t="inlineStr">
        <is>
          <t>Studies in Nonlinear Dynamics &amp; Econometrics</t>
        </is>
      </c>
      <c r="B2410" t="inlineStr">
        <is>
          <t>A</t>
        </is>
      </c>
      <c r="C2410" t="n">
        <v>3802</v>
      </c>
      <c r="D2410" t="inlineStr">
        <is>
          <t>De Gruyter</t>
        </is>
      </c>
    </row>
    <row r="2411">
      <c r="A2411" t="inlineStr">
        <is>
          <t>Studies in Political Economy: a socialist review</t>
        </is>
      </c>
      <c r="B2411" t="inlineStr">
        <is>
          <t>C</t>
        </is>
      </c>
      <c r="C2411" t="n">
        <v>3801</v>
      </c>
      <c r="D2411" t="inlineStr">
        <is>
          <t>Taylor &amp; Francis Online</t>
        </is>
      </c>
    </row>
    <row r="2412">
      <c r="A2412" t="inlineStr">
        <is>
          <t>Suffolk University Law Review</t>
        </is>
      </c>
      <c r="B2412" t="inlineStr">
        <is>
          <t>B</t>
        </is>
      </c>
      <c r="C2412" t="n">
        <v>4801</v>
      </c>
      <c r="D2412" t="inlineStr">
        <is>
          <t>Suffolk University Law School</t>
        </is>
      </c>
    </row>
    <row r="2413">
      <c r="A2413" t="inlineStr">
        <is>
          <t>Supply Chain Forum: An International Journal</t>
        </is>
      </c>
      <c r="B2413" t="inlineStr">
        <is>
          <t>C</t>
        </is>
      </c>
      <c r="C2413" t="n">
        <v>3509</v>
      </c>
      <c r="D2413" t="inlineStr">
        <is>
          <t>Taylor &amp; Francis</t>
        </is>
      </c>
    </row>
    <row r="2414">
      <c r="A2414" t="inlineStr">
        <is>
          <t>Supply Chain Management Review</t>
        </is>
      </c>
      <c r="B2414" t="inlineStr">
        <is>
          <t>B</t>
        </is>
      </c>
      <c r="C2414" t="n">
        <v>3509</v>
      </c>
      <c r="D2414" t="inlineStr">
        <is>
          <t>Peerless Media</t>
        </is>
      </c>
    </row>
    <row r="2415">
      <c r="A2415" t="inlineStr">
        <is>
          <t>Supply Chain Management: an international journal</t>
        </is>
      </c>
      <c r="B2415" t="inlineStr">
        <is>
          <t>A</t>
        </is>
      </c>
      <c r="C2415" t="n">
        <v>3509</v>
      </c>
      <c r="D2415" t="inlineStr">
        <is>
          <t>Emerald Group Publishing</t>
        </is>
      </c>
    </row>
    <row r="2416">
      <c r="A2416" t="inlineStr">
        <is>
          <t>Survival</t>
        </is>
      </c>
      <c r="B2416" t="inlineStr">
        <is>
          <t>B</t>
        </is>
      </c>
      <c r="C2416" t="n">
        <v>3599</v>
      </c>
      <c r="D2416" t="inlineStr">
        <is>
          <t>Taylor &amp; Francis Online</t>
        </is>
      </c>
    </row>
    <row r="2417">
      <c r="A2417" t="inlineStr">
        <is>
          <t>Sustainability Accounting, Management and Policy Journal</t>
        </is>
      </c>
      <c r="B2417" t="inlineStr">
        <is>
          <t>A</t>
        </is>
      </c>
      <c r="C2417" t="n">
        <v>3501</v>
      </c>
      <c r="D2417" t="inlineStr">
        <is>
          <t>Emerald Publishing</t>
        </is>
      </c>
    </row>
    <row r="2418">
      <c r="A2418" t="inlineStr">
        <is>
          <t>Sustainable Development</t>
        </is>
      </c>
      <c r="B2418" t="inlineStr">
        <is>
          <t>C</t>
        </is>
      </c>
      <c r="C2418" t="n">
        <v>3899</v>
      </c>
      <c r="D2418" t="inlineStr">
        <is>
          <t>Wiley-Blackwell Publishing</t>
        </is>
      </c>
    </row>
    <row r="2419">
      <c r="A2419" t="inlineStr">
        <is>
          <t>Sustainable Futures</t>
        </is>
      </c>
      <c r="B2419" t="inlineStr">
        <is>
          <t>C</t>
        </is>
      </c>
      <c r="C2419" t="n">
        <v>3507</v>
      </c>
      <c r="D2419" t="inlineStr">
        <is>
          <t>Elsevier Ltd</t>
        </is>
      </c>
    </row>
    <row r="2420">
      <c r="A2420" t="inlineStr">
        <is>
          <t>Swedish Economic Policy Review</t>
        </is>
      </c>
      <c r="B2420" t="inlineStr">
        <is>
          <t>C</t>
        </is>
      </c>
      <c r="C2420" t="n">
        <v>3801</v>
      </c>
      <c r="D2420" t="inlineStr">
        <is>
          <t>The Economic Council of Sweden</t>
        </is>
      </c>
    </row>
    <row r="2421">
      <c r="A2421" t="inlineStr">
        <is>
          <t>Syracuse Journal of International Law and Commerce</t>
        </is>
      </c>
      <c r="B2421" t="inlineStr">
        <is>
          <t>C</t>
        </is>
      </c>
      <c r="C2421" t="n">
        <v>4801</v>
      </c>
      <c r="D2421" t="inlineStr">
        <is>
          <t>Syracuse University</t>
        </is>
      </c>
    </row>
    <row r="2422">
      <c r="A2422" t="inlineStr">
        <is>
          <t>System Dynamics Review</t>
        </is>
      </c>
      <c r="B2422" t="inlineStr">
        <is>
          <t>A</t>
        </is>
      </c>
      <c r="C2422" t="n">
        <v>3503</v>
      </c>
      <c r="D2422" t="inlineStr">
        <is>
          <t>Wiley-Blackwell Publishing</t>
        </is>
      </c>
    </row>
    <row r="2423">
      <c r="A2423" t="inlineStr">
        <is>
          <t>Systemic Practice and Action Research</t>
        </is>
      </c>
      <c r="B2423" t="inlineStr">
        <is>
          <t>B</t>
        </is>
      </c>
      <c r="C2423" t="n">
        <v>3503</v>
      </c>
      <c r="D2423" t="inlineStr">
        <is>
          <t>Springer International Publishing</t>
        </is>
      </c>
    </row>
    <row r="2424">
      <c r="A2424" t="inlineStr">
        <is>
          <t>Systems Research and Behavioral Science</t>
        </is>
      </c>
      <c r="B2424" t="inlineStr">
        <is>
          <t>A</t>
        </is>
      </c>
      <c r="C2424" t="n">
        <v>3503</v>
      </c>
      <c r="D2424" t="inlineStr">
        <is>
          <t>Wiley-Blackwell Publishing</t>
        </is>
      </c>
    </row>
    <row r="2425">
      <c r="A2425" t="inlineStr">
        <is>
          <t>Tarsadalom es Gazdasag</t>
        </is>
      </c>
      <c r="B2425" t="inlineStr">
        <is>
          <t>C</t>
        </is>
      </c>
      <c r="C2425" t="n">
        <v>3801</v>
      </c>
      <c r="D2425" t="inlineStr">
        <is>
          <t>Akademiai Kiado</t>
        </is>
      </c>
    </row>
    <row r="2426">
      <c r="A2426" t="inlineStr">
        <is>
          <t>Tax Law Review</t>
        </is>
      </c>
      <c r="B2426" t="inlineStr">
        <is>
          <t>A</t>
        </is>
      </c>
      <c r="C2426" t="n">
        <v>4801</v>
      </c>
      <c r="D2426" t="inlineStr">
        <is>
          <t>New York University School of Law</t>
        </is>
      </c>
    </row>
    <row r="2427">
      <c r="A2427" t="inlineStr">
        <is>
          <t>Tax Notes</t>
        </is>
      </c>
      <c r="B2427" t="inlineStr">
        <is>
          <t>C</t>
        </is>
      </c>
      <c r="C2427" t="n">
        <v>4801</v>
      </c>
      <c r="D2427" t="inlineStr">
        <is>
          <t>Tax Analysts and Advocates, Washington, D.C.</t>
        </is>
      </c>
    </row>
    <row r="2428">
      <c r="A2428" t="inlineStr">
        <is>
          <t>Tax Policy Journal</t>
        </is>
      </c>
      <c r="B2428" t="inlineStr">
        <is>
          <t>C</t>
        </is>
      </c>
      <c r="C2428" t="n">
        <v>4801</v>
      </c>
      <c r="D2428" t="inlineStr">
        <is>
          <t>Tax &amp; Super Australia, Taxpayers Research Foundation</t>
        </is>
      </c>
    </row>
    <row r="2429">
      <c r="A2429" t="inlineStr">
        <is>
          <t>Tax Specialist</t>
        </is>
      </c>
      <c r="B2429" t="inlineStr">
        <is>
          <t>B</t>
        </is>
      </c>
      <c r="C2429" t="n">
        <v>4801</v>
      </c>
      <c r="D2429" t="inlineStr">
        <is>
          <t>Tax Institute</t>
        </is>
      </c>
    </row>
    <row r="2430">
      <c r="A2430" t="inlineStr">
        <is>
          <t>Taxation in Australia</t>
        </is>
      </c>
      <c r="B2430" t="inlineStr">
        <is>
          <t>C</t>
        </is>
      </c>
      <c r="C2430" t="n">
        <v>4801</v>
      </c>
      <c r="D2430" t="inlineStr">
        <is>
          <t>Tax Institute</t>
        </is>
      </c>
    </row>
    <row r="2431">
      <c r="A2431" t="inlineStr">
        <is>
          <t>Teaching Business and Economics</t>
        </is>
      </c>
      <c r="B2431" t="inlineStr">
        <is>
          <t>C</t>
        </is>
      </c>
      <c r="C2431" t="n">
        <v>3801</v>
      </c>
      <c r="D2431" t="inlineStr">
        <is>
          <t>Economics and Business Education Association</t>
        </is>
      </c>
    </row>
    <row r="2432">
      <c r="A2432" t="inlineStr">
        <is>
          <t>Team Performance Management</t>
        </is>
      </c>
      <c r="B2432" t="inlineStr">
        <is>
          <t>C</t>
        </is>
      </c>
      <c r="C2432" t="n">
        <v>3507</v>
      </c>
      <c r="D2432" t="inlineStr">
        <is>
          <t>Emerald Group Publishing</t>
        </is>
      </c>
    </row>
    <row r="2433">
      <c r="A2433" t="inlineStr">
        <is>
          <t>Technological Forecasting and Social Change</t>
        </is>
      </c>
      <c r="B2433" t="inlineStr">
        <is>
          <t>A</t>
        </is>
      </c>
      <c r="C2433" t="n">
        <v>3503</v>
      </c>
      <c r="D2433" t="inlineStr">
        <is>
          <t>Elsevier</t>
        </is>
      </c>
    </row>
    <row r="2434">
      <c r="A2434" t="inlineStr">
        <is>
          <t>Technological Sustainability</t>
        </is>
      </c>
      <c r="B2434" t="inlineStr">
        <is>
          <t>C</t>
        </is>
      </c>
      <c r="C2434" t="n">
        <v>3507</v>
      </c>
      <c r="D2434" t="inlineStr">
        <is>
          <t>Emerald Publishing</t>
        </is>
      </c>
    </row>
    <row r="2435">
      <c r="A2435" t="inlineStr">
        <is>
          <t>Technology Analysis and Strategic Management</t>
        </is>
      </c>
      <c r="B2435" t="inlineStr">
        <is>
          <t>B</t>
        </is>
      </c>
      <c r="C2435" t="n">
        <v>3507</v>
      </c>
      <c r="D2435" t="inlineStr">
        <is>
          <t>Taylor &amp; Francis Online</t>
        </is>
      </c>
    </row>
    <row r="2436">
      <c r="A2436" t="inlineStr">
        <is>
          <t>Technology in Society</t>
        </is>
      </c>
      <c r="B2436" t="inlineStr">
        <is>
          <t>C</t>
        </is>
      </c>
      <c r="C2436" t="n">
        <v>4609</v>
      </c>
      <c r="D2436" t="inlineStr">
        <is>
          <t>Elsevier</t>
        </is>
      </c>
    </row>
    <row r="2437">
      <c r="A2437" t="inlineStr">
        <is>
          <t>Technometrics</t>
        </is>
      </c>
      <c r="B2437" t="inlineStr">
        <is>
          <t>A</t>
        </is>
      </c>
      <c r="C2437" t="n">
        <v>3503</v>
      </c>
      <c r="D2437" t="inlineStr">
        <is>
          <t>American Statistical Association</t>
        </is>
      </c>
    </row>
    <row r="2438">
      <c r="A2438" t="inlineStr">
        <is>
          <t>Technovation</t>
        </is>
      </c>
      <c r="B2438" t="inlineStr">
        <is>
          <t>A</t>
        </is>
      </c>
      <c r="C2438" t="n">
        <v>3507</v>
      </c>
      <c r="D2438" t="inlineStr">
        <is>
          <t>Elsevier</t>
        </is>
      </c>
    </row>
    <row r="2439">
      <c r="A2439" t="inlineStr">
        <is>
          <t>Telematics and Informatics</t>
        </is>
      </c>
      <c r="B2439" t="inlineStr">
        <is>
          <t>C</t>
        </is>
      </c>
      <c r="C2439" t="n">
        <v>4609</v>
      </c>
      <c r="D2439" t="inlineStr">
        <is>
          <t>Elsevier</t>
        </is>
      </c>
    </row>
    <row r="2440">
      <c r="A2440" t="inlineStr">
        <is>
          <t>Teoros: revue de recherche en tourisme</t>
        </is>
      </c>
      <c r="B2440" t="inlineStr">
        <is>
          <t>C</t>
        </is>
      </c>
      <c r="C2440" t="n">
        <v>3508</v>
      </c>
      <c r="D2440" t="inlineStr">
        <is>
          <t>ESG UQAM, Belgrade</t>
        </is>
      </c>
    </row>
    <row r="2441">
      <c r="A2441" t="inlineStr">
        <is>
          <t>Texas International Law Journal</t>
        </is>
      </c>
      <c r="B2441" t="inlineStr">
        <is>
          <t>A</t>
        </is>
      </c>
      <c r="C2441" t="n">
        <v>4801</v>
      </c>
      <c r="D2441" t="inlineStr">
        <is>
          <t>University of Texas School of Law</t>
        </is>
      </c>
    </row>
    <row r="2442">
      <c r="A2442" t="inlineStr">
        <is>
          <t>The Accounting Review</t>
        </is>
      </c>
      <c r="B2442" t="inlineStr">
        <is>
          <t>A*</t>
        </is>
      </c>
      <c r="C2442" t="n">
        <v>3501</v>
      </c>
      <c r="D2442" t="inlineStr">
        <is>
          <t>American Accounting Association</t>
        </is>
      </c>
    </row>
    <row r="2443">
      <c r="A2443" t="inlineStr">
        <is>
          <t>The Adam Smith Review</t>
        </is>
      </c>
      <c r="B2443" t="inlineStr">
        <is>
          <t>B</t>
        </is>
      </c>
      <c r="C2443" t="n">
        <v>3899</v>
      </c>
      <c r="D2443" t="inlineStr">
        <is>
          <t>The International Adam Smith Society</t>
        </is>
      </c>
    </row>
    <row r="2444">
      <c r="A2444" t="inlineStr">
        <is>
          <t>The American Economic Review</t>
        </is>
      </c>
      <c r="B2444" t="inlineStr">
        <is>
          <t>A*</t>
        </is>
      </c>
      <c r="C2444" t="n">
        <v>3801</v>
      </c>
      <c r="D2444" t="inlineStr">
        <is>
          <t>American Economic Association</t>
        </is>
      </c>
    </row>
    <row r="2445">
      <c r="A2445" t="inlineStr">
        <is>
          <t>The American Sociologist</t>
        </is>
      </c>
      <c r="B2445" t="inlineStr">
        <is>
          <t>B</t>
        </is>
      </c>
      <c r="C2445" t="n">
        <v>3599</v>
      </c>
      <c r="D2445" t="inlineStr">
        <is>
          <t>Springer International Publishing</t>
        </is>
      </c>
    </row>
    <row r="2446">
      <c r="A2446" t="inlineStr">
        <is>
          <t>The American Statistician (AMSTAT)</t>
        </is>
      </c>
      <c r="B2446" t="inlineStr">
        <is>
          <t>B</t>
        </is>
      </c>
      <c r="C2446" t="n">
        <v>4905</v>
      </c>
      <c r="D2446" t="inlineStr">
        <is>
          <t>Taylor &amp; Francis Online</t>
        </is>
      </c>
    </row>
    <row r="2447">
      <c r="A2447" t="inlineStr">
        <is>
          <t>The Annals of Regional Science: international journal of urban, regional and environmental research and policy</t>
        </is>
      </c>
      <c r="B2447" t="inlineStr">
        <is>
          <t>B</t>
        </is>
      </c>
      <c r="C2447" t="n">
        <v>3801</v>
      </c>
      <c r="D2447" t="inlineStr">
        <is>
          <t>Springer International Publishing</t>
        </is>
      </c>
    </row>
    <row r="2448">
      <c r="A2448" t="inlineStr">
        <is>
          <t>The Australian Economic Review</t>
        </is>
      </c>
      <c r="B2448" t="inlineStr">
        <is>
          <t>B</t>
        </is>
      </c>
      <c r="C2448" t="n">
        <v>3801</v>
      </c>
      <c r="D2448" t="inlineStr">
        <is>
          <t>Wiley-Blackwell Publishing</t>
        </is>
      </c>
    </row>
    <row r="2449">
      <c r="A2449" t="inlineStr">
        <is>
          <t>The Australian Journal of Agricultural and Resource Economics</t>
        </is>
      </c>
      <c r="B2449" t="inlineStr">
        <is>
          <t>A</t>
        </is>
      </c>
      <c r="C2449" t="n">
        <v>3801</v>
      </c>
      <c r="D2449" t="inlineStr">
        <is>
          <t>Wiley-Blackwell Publishing</t>
        </is>
      </c>
    </row>
    <row r="2450">
      <c r="A2450" t="inlineStr">
        <is>
          <t>The Baltic Journal of Road and Bridge Engineering</t>
        </is>
      </c>
      <c r="B2450" t="inlineStr">
        <is>
          <t>C</t>
        </is>
      </c>
      <c r="C2450" t="n">
        <v>3509</v>
      </c>
      <c r="D2450" t="inlineStr">
        <is>
          <t>Vilnius Gediminas Technical University</t>
        </is>
      </c>
    </row>
    <row r="2451">
      <c r="A2451" t="inlineStr">
        <is>
          <t>The BE Journal of Economic Analysis and Policy</t>
        </is>
      </c>
      <c r="B2451" t="inlineStr">
        <is>
          <t>A</t>
        </is>
      </c>
      <c r="C2451" t="n">
        <v>3803</v>
      </c>
      <c r="D2451" t="inlineStr">
        <is>
          <t>De Gruyter</t>
        </is>
      </c>
    </row>
    <row r="2452">
      <c r="A2452" t="inlineStr">
        <is>
          <t>The BE Journal of Macroeconomics</t>
        </is>
      </c>
      <c r="B2452" t="inlineStr">
        <is>
          <t>A</t>
        </is>
      </c>
      <c r="C2452" t="n">
        <v>3803</v>
      </c>
      <c r="D2452" t="inlineStr">
        <is>
          <t>De Gruyter</t>
        </is>
      </c>
    </row>
    <row r="2453">
      <c r="A2453" t="inlineStr">
        <is>
          <t>The BE Journal of Theoretical Economics</t>
        </is>
      </c>
      <c r="B2453" t="inlineStr">
        <is>
          <t>A</t>
        </is>
      </c>
      <c r="C2453" t="n">
        <v>3803</v>
      </c>
      <c r="D2453" t="inlineStr">
        <is>
          <t>De Gruyter</t>
        </is>
      </c>
    </row>
    <row r="2454">
      <c r="A2454" t="inlineStr">
        <is>
          <t>The Bottom Line</t>
        </is>
      </c>
      <c r="B2454" t="inlineStr">
        <is>
          <t>C</t>
        </is>
      </c>
      <c r="C2454" t="n">
        <v>3503</v>
      </c>
      <c r="D2454" t="inlineStr">
        <is>
          <t>Emerald</t>
        </is>
      </c>
    </row>
    <row r="2455">
      <c r="A2455" t="inlineStr">
        <is>
          <t>The Brooklyn Journal of Corporate, Financial and Commercial Law</t>
        </is>
      </c>
      <c r="B2455" t="inlineStr">
        <is>
          <t>C</t>
        </is>
      </c>
      <c r="C2455" t="n">
        <v>4801</v>
      </c>
      <c r="D2455" t="inlineStr">
        <is>
          <t>Brooklyn Law School</t>
        </is>
      </c>
    </row>
    <row r="2456">
      <c r="A2456" t="inlineStr">
        <is>
          <t>The Business Lawyer</t>
        </is>
      </c>
      <c r="B2456" t="inlineStr">
        <is>
          <t>A</t>
        </is>
      </c>
      <c r="C2456" t="n">
        <v>4801</v>
      </c>
      <c r="D2456" t="inlineStr">
        <is>
          <t>American Bar Association</t>
        </is>
      </c>
    </row>
    <row r="2457">
      <c r="A2457" t="inlineStr">
        <is>
          <t>The CASE Journal</t>
        </is>
      </c>
      <c r="B2457" t="inlineStr">
        <is>
          <t>C</t>
        </is>
      </c>
      <c r="C2457" t="n">
        <v>3507</v>
      </c>
      <c r="D2457" t="inlineStr">
        <is>
          <t>Emerald Publishing</t>
        </is>
      </c>
    </row>
    <row r="2458">
      <c r="A2458" t="inlineStr">
        <is>
          <t>The China Quarterly</t>
        </is>
      </c>
      <c r="B2458" t="inlineStr">
        <is>
          <t>A</t>
        </is>
      </c>
      <c r="C2458" t="n">
        <v>3599</v>
      </c>
      <c r="D2458" t="inlineStr">
        <is>
          <t>Cambridge University Press</t>
        </is>
      </c>
    </row>
    <row r="2459">
      <c r="A2459" t="inlineStr">
        <is>
          <t>The China Review: an interdisciplinary journal on greater China</t>
        </is>
      </c>
      <c r="B2459" t="inlineStr">
        <is>
          <t>C</t>
        </is>
      </c>
      <c r="C2459" t="n">
        <v>3599</v>
      </c>
      <c r="D2459" t="inlineStr">
        <is>
          <t>Chinese University of Hong Kong Press</t>
        </is>
      </c>
    </row>
    <row r="2460">
      <c r="A2460" t="inlineStr">
        <is>
          <t>The Chinese Economy: translation and studies</t>
        </is>
      </c>
      <c r="B2460" t="inlineStr">
        <is>
          <t>B</t>
        </is>
      </c>
      <c r="C2460" t="n">
        <v>3801</v>
      </c>
      <c r="D2460" t="inlineStr">
        <is>
          <t>Taylor &amp; Francis Online</t>
        </is>
      </c>
    </row>
    <row r="2461">
      <c r="A2461" t="inlineStr">
        <is>
          <t>The Corporate Governance Law Review</t>
        </is>
      </c>
      <c r="B2461" t="inlineStr">
        <is>
          <t>C</t>
        </is>
      </c>
      <c r="C2461" t="n">
        <v>4801</v>
      </c>
      <c r="D2461" t="inlineStr">
        <is>
          <t>Corporate Research Group</t>
        </is>
      </c>
    </row>
    <row r="2462">
      <c r="A2462" t="inlineStr">
        <is>
          <t>The Economic and Labour Relations Review</t>
        </is>
      </c>
      <c r="B2462" t="inlineStr">
        <is>
          <t>B</t>
        </is>
      </c>
      <c r="C2462" t="n">
        <v>3801</v>
      </c>
      <c r="D2462" t="inlineStr">
        <is>
          <t>Sage Publications</t>
        </is>
      </c>
    </row>
    <row r="2463">
      <c r="A2463" t="inlineStr">
        <is>
          <t>The Economic History Review: a journal of economic and social history</t>
        </is>
      </c>
      <c r="B2463" t="inlineStr">
        <is>
          <t>A*</t>
        </is>
      </c>
      <c r="C2463" t="n">
        <v>3801</v>
      </c>
      <c r="D2463" t="inlineStr">
        <is>
          <t>Wiley-Blackwell Publishing</t>
        </is>
      </c>
    </row>
    <row r="2464">
      <c r="A2464" t="inlineStr">
        <is>
          <t>The Economic Journal</t>
        </is>
      </c>
      <c r="B2464" t="inlineStr">
        <is>
          <t>A*</t>
        </is>
      </c>
      <c r="C2464" t="n">
        <v>3801</v>
      </c>
      <c r="D2464" t="inlineStr">
        <is>
          <t>Wiley-Blackwell Publishing</t>
        </is>
      </c>
    </row>
    <row r="2465">
      <c r="A2465" t="inlineStr">
        <is>
          <t>The Economic Record</t>
        </is>
      </c>
      <c r="B2465" t="inlineStr">
        <is>
          <t>A</t>
        </is>
      </c>
      <c r="C2465" t="n">
        <v>3801</v>
      </c>
      <c r="D2465" t="inlineStr">
        <is>
          <t>Wiley-Blackwell Publishing</t>
        </is>
      </c>
    </row>
    <row r="2466">
      <c r="A2466" t="inlineStr">
        <is>
          <t>The Electronic Journal of Statistics</t>
        </is>
      </c>
      <c r="B2466" t="inlineStr">
        <is>
          <t>A</t>
        </is>
      </c>
      <c r="C2466" t="n">
        <v>4905</v>
      </c>
      <c r="D2466" t="inlineStr">
        <is>
          <t>The Institute of Mathematical Statistics and the Bernoulli Society</t>
        </is>
      </c>
    </row>
    <row r="2467">
      <c r="A2467" t="inlineStr">
        <is>
          <t>The European Accounting Review</t>
        </is>
      </c>
      <c r="B2467" t="inlineStr">
        <is>
          <t>A*</t>
        </is>
      </c>
      <c r="C2467" t="n">
        <v>3501</v>
      </c>
      <c r="D2467" t="inlineStr">
        <is>
          <t>Taylor &amp; Francis Online</t>
        </is>
      </c>
    </row>
    <row r="2468">
      <c r="A2468" t="inlineStr">
        <is>
          <t>The European Journal of Finance</t>
        </is>
      </c>
      <c r="B2468" t="inlineStr">
        <is>
          <t>A</t>
        </is>
      </c>
      <c r="C2468" t="n">
        <v>3502</v>
      </c>
      <c r="D2468" t="inlineStr">
        <is>
          <t>Taylor &amp; Francis Online</t>
        </is>
      </c>
    </row>
    <row r="2469">
      <c r="A2469" t="inlineStr">
        <is>
          <t>The Florida Tax Review</t>
        </is>
      </c>
      <c r="B2469" t="inlineStr">
        <is>
          <t>A</t>
        </is>
      </c>
      <c r="C2469" t="n">
        <v>4801</v>
      </c>
      <c r="D2469" t="inlineStr">
        <is>
          <t>University of Florida Press</t>
        </is>
      </c>
    </row>
    <row r="2470">
      <c r="A2470" t="inlineStr">
        <is>
          <t>The Geneva Papers on Risk and Insurance - Issues and Practice</t>
        </is>
      </c>
      <c r="B2470" t="inlineStr">
        <is>
          <t>B</t>
        </is>
      </c>
      <c r="C2470" t="n">
        <v>3502</v>
      </c>
      <c r="D2470" t="inlineStr">
        <is>
          <t>Springer International Publishing</t>
        </is>
      </c>
    </row>
    <row r="2471">
      <c r="A2471" t="inlineStr">
        <is>
          <t>The Geneva Risk and Insurance Review</t>
        </is>
      </c>
      <c r="B2471" t="inlineStr">
        <is>
          <t>B</t>
        </is>
      </c>
      <c r="C2471" t="n">
        <v>3502</v>
      </c>
      <c r="D2471" t="inlineStr">
        <is>
          <t>Springer International Publishing</t>
        </is>
      </c>
    </row>
    <row r="2472">
      <c r="A2472" t="inlineStr">
        <is>
          <t>The Independent Review: a journal of political economy</t>
        </is>
      </c>
      <c r="B2472" t="inlineStr">
        <is>
          <t>C</t>
        </is>
      </c>
      <c r="C2472" t="n">
        <v>3801</v>
      </c>
      <c r="D2472" t="inlineStr">
        <is>
          <t>Independent Institute</t>
        </is>
      </c>
    </row>
    <row r="2473">
      <c r="A2473" t="inlineStr">
        <is>
          <t>The Indonesian Journal of Accounting Research</t>
        </is>
      </c>
      <c r="B2473" t="inlineStr">
        <is>
          <t>C</t>
        </is>
      </c>
      <c r="C2473" t="n">
        <v>3501</v>
      </c>
      <c r="D2473" t="inlineStr">
        <is>
          <t>Indonesian Institute of Accountants -Compartment of Accounting Educators</t>
        </is>
      </c>
    </row>
    <row r="2474">
      <c r="A2474" t="inlineStr">
        <is>
          <t>The Information Society</t>
        </is>
      </c>
      <c r="B2474" t="inlineStr">
        <is>
          <t>A</t>
        </is>
      </c>
      <c r="C2474" t="n">
        <v>4609</v>
      </c>
      <c r="D2474" t="inlineStr">
        <is>
          <t>Taylor &amp; Francis Online</t>
        </is>
      </c>
    </row>
    <row r="2475">
      <c r="A2475" t="inlineStr">
        <is>
          <t>The International Journal of Accounting</t>
        </is>
      </c>
      <c r="B2475" t="inlineStr">
        <is>
          <t>A</t>
        </is>
      </c>
      <c r="C2475" t="n">
        <v>3501</v>
      </c>
      <c r="D2475" t="inlineStr">
        <is>
          <t>World Scientific Publishing</t>
        </is>
      </c>
    </row>
    <row r="2476">
      <c r="A2476" t="inlineStr">
        <is>
          <t>The International Journal of Comparative Labour Law and Industrial Relations</t>
        </is>
      </c>
      <c r="B2476" t="inlineStr">
        <is>
          <t>B</t>
        </is>
      </c>
      <c r="C2476" t="n">
        <v>4801</v>
      </c>
      <c r="D2476" t="inlineStr">
        <is>
          <t>Kluwer Law International</t>
        </is>
      </c>
    </row>
    <row r="2477">
      <c r="A2477" t="inlineStr">
        <is>
          <t>The International Journal of Digital Accounting Research</t>
        </is>
      </c>
      <c r="B2477" t="inlineStr">
        <is>
          <t>B</t>
        </is>
      </c>
      <c r="C2477" t="n">
        <v>3501</v>
      </c>
      <c r="D2477" t="inlineStr">
        <is>
          <t>Rutgers University</t>
        </is>
      </c>
    </row>
    <row r="2478">
      <c r="A2478" t="inlineStr">
        <is>
          <t>The International Journal of Environmental, Cultural, Economic and Social Sustainability: Annual Review</t>
        </is>
      </c>
      <c r="B2478" t="inlineStr">
        <is>
          <t>C</t>
        </is>
      </c>
      <c r="C2478" t="n">
        <v>3507</v>
      </c>
      <c r="D2478" t="inlineStr">
        <is>
          <t>Common Ground Publishing Pty Ltd</t>
        </is>
      </c>
    </row>
    <row r="2479">
      <c r="A2479" t="inlineStr">
        <is>
          <t>The International Journal of Logistics Management</t>
        </is>
      </c>
      <c r="B2479" t="inlineStr">
        <is>
          <t>A</t>
        </is>
      </c>
      <c r="C2479" t="n">
        <v>3509</v>
      </c>
      <c r="D2479" t="inlineStr">
        <is>
          <t>Emerald Group Publishing</t>
        </is>
      </c>
    </row>
    <row r="2480">
      <c r="A2480" t="inlineStr">
        <is>
          <t>The International Journal of Management Education</t>
        </is>
      </c>
      <c r="B2480" t="inlineStr">
        <is>
          <t>B</t>
        </is>
      </c>
      <c r="C2480" t="n">
        <v>3507</v>
      </c>
      <c r="D2480" t="inlineStr">
        <is>
          <t>Elsevier</t>
        </is>
      </c>
    </row>
    <row r="2481">
      <c r="A2481" t="inlineStr">
        <is>
          <t>The IUP Journal of Agricultural Economics</t>
        </is>
      </c>
      <c r="B2481" t="inlineStr">
        <is>
          <t>C</t>
        </is>
      </c>
      <c r="C2481" t="n">
        <v>3899</v>
      </c>
      <c r="D2481" t="inlineStr">
        <is>
          <t>IUP Publications</t>
        </is>
      </c>
    </row>
    <row r="2482">
      <c r="A2482" t="inlineStr">
        <is>
          <t>The IUP Journal of Applied Economics (previously ICFAI)</t>
        </is>
      </c>
      <c r="B2482" t="inlineStr">
        <is>
          <t>C</t>
        </is>
      </c>
      <c r="C2482" t="n">
        <v>3801</v>
      </c>
      <c r="D2482" t="inlineStr">
        <is>
          <t>IUP Publications</t>
        </is>
      </c>
    </row>
    <row r="2483">
      <c r="A2483" t="inlineStr">
        <is>
          <t>The IUP Journal of Applied Finance</t>
        </is>
      </c>
      <c r="B2483" t="inlineStr">
        <is>
          <t>C</t>
        </is>
      </c>
      <c r="C2483" t="n">
        <v>3502</v>
      </c>
      <c r="D2483" t="inlineStr">
        <is>
          <t>IUP Publications</t>
        </is>
      </c>
    </row>
    <row r="2484">
      <c r="A2484" t="inlineStr">
        <is>
          <t>The IUP Journal of Managerial Economics</t>
        </is>
      </c>
      <c r="B2484" t="inlineStr">
        <is>
          <t>C</t>
        </is>
      </c>
      <c r="C2484" t="n">
        <v>3899</v>
      </c>
      <c r="D2484" t="inlineStr">
        <is>
          <t>IUP Publications</t>
        </is>
      </c>
    </row>
    <row r="2485">
      <c r="A2485" t="inlineStr">
        <is>
          <t>The IUP Journal of Monetary Economics (previously ICFAI)</t>
        </is>
      </c>
      <c r="B2485" t="inlineStr">
        <is>
          <t>C</t>
        </is>
      </c>
      <c r="C2485" t="n">
        <v>3801</v>
      </c>
      <c r="D2485" t="inlineStr">
        <is>
          <t>IUP Publications</t>
        </is>
      </c>
    </row>
    <row r="2486">
      <c r="A2486" t="inlineStr">
        <is>
          <t>The IUP Journal of Public Finance</t>
        </is>
      </c>
      <c r="B2486" t="inlineStr">
        <is>
          <t>C</t>
        </is>
      </c>
      <c r="C2486" t="n">
        <v>3801</v>
      </c>
      <c r="D2486" t="inlineStr">
        <is>
          <t>IUP Publications</t>
        </is>
      </c>
    </row>
    <row r="2487">
      <c r="A2487" t="inlineStr">
        <is>
          <t>The Japanese Political Economy</t>
        </is>
      </c>
      <c r="B2487" t="inlineStr">
        <is>
          <t>B</t>
        </is>
      </c>
      <c r="C2487" t="n">
        <v>3801</v>
      </c>
      <c r="D2487" t="inlineStr">
        <is>
          <t>Taylor &amp; Francis Online</t>
        </is>
      </c>
    </row>
    <row r="2488">
      <c r="A2488" t="inlineStr">
        <is>
          <t>The Journal of Alternative Investments</t>
        </is>
      </c>
      <c r="B2488" t="inlineStr">
        <is>
          <t>B</t>
        </is>
      </c>
      <c r="C2488" t="n">
        <v>3502</v>
      </c>
      <c r="D2488" t="inlineStr">
        <is>
          <t>S&amp;P Global</t>
        </is>
      </c>
    </row>
    <row r="2489">
      <c r="A2489" t="inlineStr">
        <is>
          <t>The Journal of Applied Behavioral Science</t>
        </is>
      </c>
      <c r="B2489" t="inlineStr">
        <is>
          <t>B</t>
        </is>
      </c>
      <c r="C2489" t="n">
        <v>3507</v>
      </c>
      <c r="D2489" t="inlineStr">
        <is>
          <t>Sage Publications</t>
        </is>
      </c>
    </row>
    <row r="2490">
      <c r="A2490" t="inlineStr">
        <is>
          <t>The Journal of Asset Management</t>
        </is>
      </c>
      <c r="B2490" t="inlineStr">
        <is>
          <t>B</t>
        </is>
      </c>
      <c r="C2490" t="n">
        <v>3502</v>
      </c>
      <c r="D2490" t="inlineStr">
        <is>
          <t>Springer International Publishing</t>
        </is>
      </c>
    </row>
    <row r="2491">
      <c r="A2491" t="inlineStr">
        <is>
          <t>The Journal of Derivatives</t>
        </is>
      </c>
      <c r="B2491" t="inlineStr">
        <is>
          <t>A</t>
        </is>
      </c>
      <c r="C2491" t="n">
        <v>3502</v>
      </c>
      <c r="D2491" t="inlineStr">
        <is>
          <t>S&amp;P Global</t>
        </is>
      </c>
    </row>
    <row r="2492">
      <c r="A2492" t="inlineStr">
        <is>
          <t>The Journal of Development Effectiveness</t>
        </is>
      </c>
      <c r="B2492" t="inlineStr">
        <is>
          <t>C</t>
        </is>
      </c>
      <c r="C2492" t="n">
        <v>3801</v>
      </c>
      <c r="D2492" t="inlineStr">
        <is>
          <t>Taylor &amp; Francis Online</t>
        </is>
      </c>
    </row>
    <row r="2493">
      <c r="A2493" t="inlineStr">
        <is>
          <t>The Journal of Econometric Study of Northeast Asia (JESNA)</t>
        </is>
      </c>
      <c r="B2493" t="inlineStr">
        <is>
          <t>C</t>
        </is>
      </c>
      <c r="C2493" t="n">
        <v>3802</v>
      </c>
      <c r="D2493" t="inlineStr">
        <is>
          <t>Economic Research Institute for Northeast Asia Kitakyusyu: International Centre for the Study of East Asian Development, Niigata, Japan</t>
        </is>
      </c>
    </row>
    <row r="2494">
      <c r="A2494" t="inlineStr">
        <is>
          <t>The Journal of Economic Asymmetries</t>
        </is>
      </c>
      <c r="B2494" t="inlineStr">
        <is>
          <t>B</t>
        </is>
      </c>
      <c r="C2494" t="n">
        <v>3801</v>
      </c>
      <c r="D2494" t="inlineStr">
        <is>
          <t>Elsevier</t>
        </is>
      </c>
    </row>
    <row r="2495">
      <c r="A2495" t="inlineStr">
        <is>
          <t>The Journal of Economic Education</t>
        </is>
      </c>
      <c r="B2495" t="inlineStr">
        <is>
          <t>B</t>
        </is>
      </c>
      <c r="C2495" t="n">
        <v>3801</v>
      </c>
      <c r="D2495" t="inlineStr">
        <is>
          <t>Taylor &amp; Francis Online</t>
        </is>
      </c>
    </row>
    <row r="2496">
      <c r="A2496" t="inlineStr">
        <is>
          <t>The Journal of Economic History</t>
        </is>
      </c>
      <c r="B2496" t="inlineStr">
        <is>
          <t>A*</t>
        </is>
      </c>
      <c r="C2496" t="n">
        <v>3801</v>
      </c>
      <c r="D2496" t="inlineStr">
        <is>
          <t>Cambridge University Press</t>
        </is>
      </c>
    </row>
    <row r="2497">
      <c r="A2497" t="inlineStr">
        <is>
          <t>The Journal of Economic Inequality</t>
        </is>
      </c>
      <c r="B2497" t="inlineStr">
        <is>
          <t>A</t>
        </is>
      </c>
      <c r="C2497" t="n">
        <v>3801</v>
      </c>
      <c r="D2497" t="inlineStr">
        <is>
          <t>Springer International Publishing</t>
        </is>
      </c>
    </row>
    <row r="2498">
      <c r="A2498" t="inlineStr">
        <is>
          <t>The Journal of Finance</t>
        </is>
      </c>
      <c r="B2498" t="inlineStr">
        <is>
          <t>A*</t>
        </is>
      </c>
      <c r="C2498" t="n">
        <v>3502</v>
      </c>
      <c r="D2498" t="inlineStr">
        <is>
          <t>American Finance Association</t>
        </is>
      </c>
    </row>
    <row r="2499">
      <c r="A2499" t="inlineStr">
        <is>
          <t>The Journal of Finance and Data Science</t>
        </is>
      </c>
      <c r="B2499" t="inlineStr">
        <is>
          <t>B</t>
        </is>
      </c>
      <c r="C2499" t="n">
        <v>3502</v>
      </c>
      <c r="D2499" t="inlineStr">
        <is>
          <t>KeAi Communications Co., Ltd.</t>
        </is>
      </c>
    </row>
    <row r="2500">
      <c r="A2500" t="inlineStr">
        <is>
          <t>The Journal of Fixed Income</t>
        </is>
      </c>
      <c r="B2500" t="inlineStr">
        <is>
          <t>A</t>
        </is>
      </c>
      <c r="C2500" t="n">
        <v>3502</v>
      </c>
      <c r="D2500" t="inlineStr">
        <is>
          <t>S&amp;P Global</t>
        </is>
      </c>
    </row>
    <row r="2501">
      <c r="A2501" t="inlineStr">
        <is>
          <t>The Journal of Futures Markets</t>
        </is>
      </c>
      <c r="B2501" t="inlineStr">
        <is>
          <t>A</t>
        </is>
      </c>
      <c r="C2501" t="n">
        <v>3502</v>
      </c>
      <c r="D2501" t="inlineStr">
        <is>
          <t>Wiley-Blackwell Publishing</t>
        </is>
      </c>
    </row>
    <row r="2502">
      <c r="A2502" t="inlineStr">
        <is>
          <t>The Journal of Gambling Business and Economics</t>
        </is>
      </c>
      <c r="B2502" t="inlineStr">
        <is>
          <t>B</t>
        </is>
      </c>
      <c r="C2502" t="n">
        <v>3801</v>
      </c>
      <c r="D2502" t="inlineStr">
        <is>
          <t>University of Buckingham Press</t>
        </is>
      </c>
    </row>
    <row r="2503">
      <c r="A2503" t="inlineStr">
        <is>
          <t>Journal of Hospitality &amp; Tourism Cases</t>
        </is>
      </c>
      <c r="B2503" t="inlineStr">
        <is>
          <t>C</t>
        </is>
      </c>
      <c r="C2503" t="n">
        <v>3508</v>
      </c>
      <c r="D2503" t="inlineStr">
        <is>
          <t>Sage Publications</t>
        </is>
      </c>
    </row>
    <row r="2504">
      <c r="A2504" t="inlineStr">
        <is>
          <t>The Journal of Industrial Economics</t>
        </is>
      </c>
      <c r="B2504" t="inlineStr">
        <is>
          <t>A*</t>
        </is>
      </c>
      <c r="C2504" t="n">
        <v>3801</v>
      </c>
      <c r="D2504" t="inlineStr">
        <is>
          <t>Wiley-Blackwell Publishing</t>
        </is>
      </c>
    </row>
    <row r="2505">
      <c r="A2505" t="inlineStr">
        <is>
          <t>The Journal of International Maritime Law</t>
        </is>
      </c>
      <c r="B2505" t="inlineStr">
        <is>
          <t>C</t>
        </is>
      </c>
      <c r="C2505" t="n">
        <v>4801</v>
      </c>
      <c r="D2505" t="inlineStr">
        <is>
          <t>Lawtext Publishing</t>
        </is>
      </c>
    </row>
    <row r="2506">
      <c r="A2506" t="inlineStr">
        <is>
          <t>The Journal of International Trade and Economic Development: an international and comparative review</t>
        </is>
      </c>
      <c r="B2506" t="inlineStr">
        <is>
          <t>B</t>
        </is>
      </c>
      <c r="C2506" t="n">
        <v>3801</v>
      </c>
      <c r="D2506" t="inlineStr">
        <is>
          <t>Taylor &amp; Francis Online</t>
        </is>
      </c>
    </row>
    <row r="2507">
      <c r="A2507" t="inlineStr">
        <is>
          <t>The Journal of Law and Economics</t>
        </is>
      </c>
      <c r="B2507" t="inlineStr">
        <is>
          <t>A*</t>
        </is>
      </c>
      <c r="C2507" t="n">
        <v>3801</v>
      </c>
      <c r="D2507" t="inlineStr">
        <is>
          <t>University of Chicago Law School</t>
        </is>
      </c>
    </row>
    <row r="2508">
      <c r="A2508" t="inlineStr">
        <is>
          <t>The Journal of Pacific Studies</t>
        </is>
      </c>
      <c r="B2508" t="inlineStr">
        <is>
          <t>C</t>
        </is>
      </c>
      <c r="C2508" t="n">
        <v>3899</v>
      </c>
      <c r="D2508" t="inlineStr">
        <is>
          <t>University of South Pacific</t>
        </is>
      </c>
    </row>
    <row r="2509">
      <c r="A2509" t="inlineStr">
        <is>
          <t>The Journal of Portfolio Management</t>
        </is>
      </c>
      <c r="B2509" t="inlineStr">
        <is>
          <t>A</t>
        </is>
      </c>
      <c r="C2509" t="n">
        <v>3502</v>
      </c>
      <c r="D2509" t="inlineStr">
        <is>
          <t>S&amp;P Global</t>
        </is>
      </c>
    </row>
    <row r="2510">
      <c r="A2510" t="inlineStr">
        <is>
          <t>The Journal of Prediction Markets</t>
        </is>
      </c>
      <c r="B2510" t="inlineStr">
        <is>
          <t>B</t>
        </is>
      </c>
      <c r="C2510" t="n">
        <v>3801</v>
      </c>
      <c r="D2510" t="inlineStr">
        <is>
          <t>University of Buckingham Press</t>
        </is>
      </c>
    </row>
    <row r="2511">
      <c r="A2511" t="inlineStr">
        <is>
          <t>The Journal of Private Equity</t>
        </is>
      </c>
      <c r="B2511" t="inlineStr">
        <is>
          <t>C</t>
        </is>
      </c>
      <c r="C2511" t="n">
        <v>3502</v>
      </c>
      <c r="D2511" t="inlineStr">
        <is>
          <t>Institutional Investor Journals Group</t>
        </is>
      </c>
    </row>
    <row r="2512">
      <c r="A2512" t="inlineStr">
        <is>
          <t>The Journal of Risk Finance</t>
        </is>
      </c>
      <c r="B2512" t="inlineStr">
        <is>
          <t>B</t>
        </is>
      </c>
      <c r="C2512" t="n">
        <v>3502</v>
      </c>
      <c r="D2512" t="inlineStr">
        <is>
          <t>Emerald Group Publishing</t>
        </is>
      </c>
    </row>
    <row r="2513">
      <c r="A2513" t="inlineStr">
        <is>
          <t>The Journal of Risk Model Validation</t>
        </is>
      </c>
      <c r="B2513" t="inlineStr">
        <is>
          <t>C</t>
        </is>
      </c>
      <c r="C2513" t="n">
        <v>3502</v>
      </c>
      <c r="D2513" t="inlineStr">
        <is>
          <t>Risk Waters Group.</t>
        </is>
      </c>
    </row>
    <row r="2514">
      <c r="A2514" t="inlineStr">
        <is>
          <t>The Journal of Structured Finance</t>
        </is>
      </c>
      <c r="B2514" t="inlineStr">
        <is>
          <t>C</t>
        </is>
      </c>
      <c r="C2514" t="n">
        <v>3502</v>
      </c>
      <c r="D2514" t="inlineStr">
        <is>
          <t>S&amp;P Global</t>
        </is>
      </c>
    </row>
    <row r="2515">
      <c r="A2515" t="inlineStr">
        <is>
          <t>The Journal of Trading</t>
        </is>
      </c>
      <c r="B2515" t="inlineStr">
        <is>
          <t>C</t>
        </is>
      </c>
      <c r="C2515" t="n">
        <v>3502</v>
      </c>
      <c r="D2515" t="inlineStr">
        <is>
          <t>Institutional Investor Journals Group</t>
        </is>
      </c>
    </row>
    <row r="2516">
      <c r="A2516" t="inlineStr">
        <is>
          <t>The Journal of Wealth Management</t>
        </is>
      </c>
      <c r="B2516" t="inlineStr">
        <is>
          <t>B</t>
        </is>
      </c>
      <c r="C2516" t="n">
        <v>3502</v>
      </c>
      <c r="D2516" t="inlineStr">
        <is>
          <t>S&amp;P Global</t>
        </is>
      </c>
    </row>
    <row r="2517">
      <c r="A2517" t="inlineStr">
        <is>
          <t>The Journal of World Intellectual Property</t>
        </is>
      </c>
      <c r="B2517" t="inlineStr">
        <is>
          <t>C</t>
        </is>
      </c>
      <c r="C2517" t="n">
        <v>4801</v>
      </c>
      <c r="D2517" t="inlineStr">
        <is>
          <t>Wiley-Blackwell Publishing</t>
        </is>
      </c>
    </row>
    <row r="2518">
      <c r="A2518" t="inlineStr">
        <is>
          <t>The Leadership Quarterly</t>
        </is>
      </c>
      <c r="B2518" t="inlineStr">
        <is>
          <t>A*</t>
        </is>
      </c>
      <c r="C2518" t="n">
        <v>3507</v>
      </c>
      <c r="D2518" t="inlineStr">
        <is>
          <t>Elsevier</t>
        </is>
      </c>
    </row>
    <row r="2519">
      <c r="A2519" t="inlineStr">
        <is>
          <t>The Learning Organization</t>
        </is>
      </c>
      <c r="B2519" t="inlineStr">
        <is>
          <t>C</t>
        </is>
      </c>
      <c r="C2519" t="n">
        <v>3507</v>
      </c>
      <c r="D2519" t="inlineStr">
        <is>
          <t>Emerald Publishing</t>
        </is>
      </c>
    </row>
    <row r="2520">
      <c r="A2520" t="inlineStr">
        <is>
          <t>The Milbank Quarterly</t>
        </is>
      </c>
      <c r="B2520" t="inlineStr">
        <is>
          <t>B</t>
        </is>
      </c>
      <c r="C2520" t="n">
        <v>3599</v>
      </c>
      <c r="D2520" t="inlineStr">
        <is>
          <t>Wiley-Blackwell Publishing</t>
        </is>
      </c>
    </row>
    <row r="2521">
      <c r="A2521" t="inlineStr">
        <is>
          <t>The Modern Law Review</t>
        </is>
      </c>
      <c r="B2521" t="inlineStr">
        <is>
          <t>A*</t>
        </is>
      </c>
      <c r="C2521" t="n">
        <v>4801</v>
      </c>
      <c r="D2521" t="inlineStr">
        <is>
          <t>Wiley-Blackwell Publishing</t>
        </is>
      </c>
    </row>
    <row r="2522">
      <c r="A2522" t="inlineStr">
        <is>
          <t>The North American Journal of Economics and Finance</t>
        </is>
      </c>
      <c r="B2522" t="inlineStr">
        <is>
          <t>B</t>
        </is>
      </c>
      <c r="C2522" t="n">
        <v>3801</v>
      </c>
      <c r="D2522" t="inlineStr">
        <is>
          <t>Elsevier</t>
        </is>
      </c>
    </row>
    <row r="2523">
      <c r="A2523" t="inlineStr">
        <is>
          <t>The Pacific Review</t>
        </is>
      </c>
      <c r="B2523" t="inlineStr">
        <is>
          <t>A</t>
        </is>
      </c>
      <c r="C2523" t="n">
        <v>3599</v>
      </c>
      <c r="D2523" t="inlineStr">
        <is>
          <t>Taylor &amp; Francis Online</t>
        </is>
      </c>
    </row>
    <row r="2524">
      <c r="A2524" t="inlineStr">
        <is>
          <t>The Quarterly Journal of Austrian Economics</t>
        </is>
      </c>
      <c r="B2524" t="inlineStr">
        <is>
          <t>C</t>
        </is>
      </c>
      <c r="C2524" t="n">
        <v>3801</v>
      </c>
      <c r="D2524" t="inlineStr">
        <is>
          <t>Springer International Publishing</t>
        </is>
      </c>
    </row>
    <row r="2525">
      <c r="A2525" t="inlineStr">
        <is>
          <t>The Quarterly Journal of Economics</t>
        </is>
      </c>
      <c r="B2525" t="inlineStr">
        <is>
          <t>A*</t>
        </is>
      </c>
      <c r="C2525" t="n">
        <v>3801</v>
      </c>
      <c r="D2525" t="inlineStr">
        <is>
          <t>MIT Press</t>
        </is>
      </c>
    </row>
    <row r="2526">
      <c r="A2526" t="inlineStr">
        <is>
          <t>The Review of Austrian Economics</t>
        </is>
      </c>
      <c r="B2526" t="inlineStr">
        <is>
          <t>C</t>
        </is>
      </c>
      <c r="C2526" t="n">
        <v>3801</v>
      </c>
      <c r="D2526" t="inlineStr">
        <is>
          <t>Springer International Publishing</t>
        </is>
      </c>
    </row>
    <row r="2527">
      <c r="A2527" t="inlineStr">
        <is>
          <t>The Review of Black Political Economy</t>
        </is>
      </c>
      <c r="B2527" t="inlineStr">
        <is>
          <t>C</t>
        </is>
      </c>
      <c r="C2527" t="n">
        <v>3801</v>
      </c>
      <c r="D2527" t="inlineStr">
        <is>
          <t>Springer International Publishing</t>
        </is>
      </c>
    </row>
    <row r="2528">
      <c r="A2528" t="inlineStr">
        <is>
          <t>The Review of Economic Studies</t>
        </is>
      </c>
      <c r="B2528" t="inlineStr">
        <is>
          <t>A*</t>
        </is>
      </c>
      <c r="C2528" t="n">
        <v>3801</v>
      </c>
      <c r="D2528" t="inlineStr">
        <is>
          <t>Oxford University Press</t>
        </is>
      </c>
    </row>
    <row r="2529">
      <c r="A2529" t="inlineStr">
        <is>
          <t>The Review of Economics and Statistics</t>
        </is>
      </c>
      <c r="B2529" t="inlineStr">
        <is>
          <t>A*</t>
        </is>
      </c>
      <c r="C2529" t="n">
        <v>3801</v>
      </c>
      <c r="D2529" t="inlineStr">
        <is>
          <t>The MIT Press</t>
        </is>
      </c>
    </row>
    <row r="2530">
      <c r="A2530" t="inlineStr">
        <is>
          <t>The Review of Financial Studies</t>
        </is>
      </c>
      <c r="B2530" t="inlineStr">
        <is>
          <t>A*</t>
        </is>
      </c>
      <c r="C2530" t="n">
        <v>3502</v>
      </c>
      <c r="D2530" t="inlineStr">
        <is>
          <t>Oxford University Press</t>
        </is>
      </c>
    </row>
    <row r="2531">
      <c r="A2531" t="inlineStr">
        <is>
          <t>The Review of Network Economics</t>
        </is>
      </c>
      <c r="B2531" t="inlineStr">
        <is>
          <t>B</t>
        </is>
      </c>
      <c r="C2531" t="n">
        <v>3801</v>
      </c>
      <c r="D2531" t="inlineStr">
        <is>
          <t>De Gruyter</t>
        </is>
      </c>
    </row>
    <row r="2532">
      <c r="A2532" t="inlineStr">
        <is>
          <t>The Social Science Journal</t>
        </is>
      </c>
      <c r="B2532" t="inlineStr">
        <is>
          <t>C</t>
        </is>
      </c>
      <c r="C2532" t="n">
        <v>3599</v>
      </c>
      <c r="D2532" t="inlineStr">
        <is>
          <t>Elsevier</t>
        </is>
      </c>
    </row>
    <row r="2533">
      <c r="A2533" t="inlineStr">
        <is>
          <t>The Sociological Review</t>
        </is>
      </c>
      <c r="B2533" t="inlineStr">
        <is>
          <t>A</t>
        </is>
      </c>
      <c r="C2533" t="n">
        <v>3507</v>
      </c>
      <c r="D2533" t="inlineStr">
        <is>
          <t>Sage Publications</t>
        </is>
      </c>
    </row>
    <row r="2534">
      <c r="A2534" t="inlineStr">
        <is>
          <t>The Sydney Law Review</t>
        </is>
      </c>
      <c r="B2534" t="inlineStr">
        <is>
          <t>A*</t>
        </is>
      </c>
      <c r="C2534" t="n">
        <v>4801</v>
      </c>
      <c r="D2534" t="inlineStr">
        <is>
          <t>Sydney Law School</t>
        </is>
      </c>
    </row>
    <row r="2535">
      <c r="A2535" t="inlineStr">
        <is>
          <t>The Tax Lawyer</t>
        </is>
      </c>
      <c r="B2535" t="inlineStr">
        <is>
          <t>B</t>
        </is>
      </c>
      <c r="C2535" t="n">
        <v>4801</v>
      </c>
      <c r="D2535" t="inlineStr">
        <is>
          <t>American Bar Association</t>
        </is>
      </c>
    </row>
    <row r="2536">
      <c r="A2536" t="inlineStr">
        <is>
          <t>The TQM Journal</t>
        </is>
      </c>
      <c r="B2536" t="inlineStr">
        <is>
          <t>B</t>
        </is>
      </c>
      <c r="C2536" t="n">
        <v>3507</v>
      </c>
      <c r="D2536" t="inlineStr">
        <is>
          <t>Emerald Group Publishing</t>
        </is>
      </c>
    </row>
    <row r="2537">
      <c r="A2537" t="inlineStr">
        <is>
          <t>The UNE Law Journal</t>
        </is>
      </c>
      <c r="B2537" t="inlineStr">
        <is>
          <t>C</t>
        </is>
      </c>
      <c r="C2537" t="n">
        <v>4801</v>
      </c>
      <c r="D2537" t="inlineStr">
        <is>
          <t>University of New England</t>
        </is>
      </c>
    </row>
    <row r="2538">
      <c r="A2538" t="inlineStr">
        <is>
          <t>The World Bank Economic Review</t>
        </is>
      </c>
      <c r="B2538" t="inlineStr">
        <is>
          <t>A</t>
        </is>
      </c>
      <c r="C2538" t="n">
        <v>3801</v>
      </c>
      <c r="D2538" t="inlineStr">
        <is>
          <t>Oxford University Press</t>
        </is>
      </c>
    </row>
    <row r="2539">
      <c r="A2539" t="inlineStr">
        <is>
          <t>The World Economy</t>
        </is>
      </c>
      <c r="B2539" t="inlineStr">
        <is>
          <t>A</t>
        </is>
      </c>
      <c r="C2539" t="n">
        <v>3801</v>
      </c>
      <c r="D2539" t="inlineStr">
        <is>
          <t>Wiley-Blackwell Publishing</t>
        </is>
      </c>
    </row>
    <row r="2540">
      <c r="A2540" t="inlineStr">
        <is>
          <t>The Yale Law Journal</t>
        </is>
      </c>
      <c r="B2540" t="inlineStr">
        <is>
          <t>A*</t>
        </is>
      </c>
      <c r="C2540" t="n">
        <v>4801</v>
      </c>
      <c r="D2540" t="inlineStr">
        <is>
          <t>The Yale Law Journal Company, Inc.</t>
        </is>
      </c>
    </row>
    <row r="2541">
      <c r="A2541" t="inlineStr">
        <is>
          <t>Theoretical and Applied Economics</t>
        </is>
      </c>
      <c r="B2541" t="inlineStr">
        <is>
          <t>C</t>
        </is>
      </c>
      <c r="C2541" t="n">
        <v>3803</v>
      </c>
      <c r="D2541" t="inlineStr">
        <is>
          <t>General Association of Economists from Romania</t>
        </is>
      </c>
    </row>
    <row r="2542">
      <c r="A2542" t="inlineStr">
        <is>
          <t>Theoretical Economics</t>
        </is>
      </c>
      <c r="B2542" t="inlineStr">
        <is>
          <t>A*</t>
        </is>
      </c>
      <c r="C2542" t="n">
        <v>3803</v>
      </c>
      <c r="D2542" t="inlineStr">
        <is>
          <t>The Econometric Society</t>
        </is>
      </c>
    </row>
    <row r="2543">
      <c r="A2543" t="inlineStr">
        <is>
          <t>Theory and Decision: an international journal for multidisciplinary advances in decision sciences</t>
        </is>
      </c>
      <c r="B2543" t="inlineStr">
        <is>
          <t>A</t>
        </is>
      </c>
      <c r="C2543" t="n">
        <v>3803</v>
      </c>
      <c r="D2543" t="inlineStr">
        <is>
          <t>Springer International Publishing</t>
        </is>
      </c>
    </row>
    <row r="2544">
      <c r="A2544" t="inlineStr">
        <is>
          <t>Theory of Probability and its Applications</t>
        </is>
      </c>
      <c r="B2544" t="inlineStr">
        <is>
          <t>A</t>
        </is>
      </c>
      <c r="C2544" t="n">
        <v>4905</v>
      </c>
      <c r="D2544" t="inlineStr">
        <is>
          <t>SIAM Publications Online</t>
        </is>
      </c>
    </row>
    <row r="2545">
      <c r="A2545" t="inlineStr">
        <is>
          <t>Third Sector Review</t>
        </is>
      </c>
      <c r="B2545" t="inlineStr">
        <is>
          <t>C</t>
        </is>
      </c>
      <c r="C2545" t="n">
        <v>3507</v>
      </c>
      <c r="D2545" t="inlineStr">
        <is>
          <t>Australia and New Zealand Third Sector Research Inc. (ANZTSR)</t>
        </is>
      </c>
    </row>
    <row r="2546">
      <c r="A2546" t="inlineStr">
        <is>
          <t>Third World Quarterly</t>
        </is>
      </c>
      <c r="B2546" t="inlineStr">
        <is>
          <t>A</t>
        </is>
      </c>
      <c r="C2546" t="n">
        <v>3599</v>
      </c>
      <c r="D2546" t="inlineStr">
        <is>
          <t>Taylor &amp; Francis Online</t>
        </is>
      </c>
    </row>
    <row r="2547">
      <c r="A2547" t="inlineStr">
        <is>
          <t>Thunderbird International Business Review</t>
        </is>
      </c>
      <c r="B2547" t="inlineStr">
        <is>
          <t>B</t>
        </is>
      </c>
      <c r="C2547" t="n">
        <v>3507</v>
      </c>
      <c r="D2547" t="inlineStr">
        <is>
          <t>Wiley-Blackwell Publishing</t>
        </is>
      </c>
    </row>
    <row r="2548">
      <c r="A2548" t="inlineStr">
        <is>
          <t>Tijdschrift voor Economische en Sociale Geografie</t>
        </is>
      </c>
      <c r="B2548" t="inlineStr">
        <is>
          <t>B</t>
        </is>
      </c>
      <c r="C2548" t="n">
        <v>3801</v>
      </c>
      <c r="D2548" t="inlineStr">
        <is>
          <t>Wiley-Blackwell Publishing</t>
        </is>
      </c>
    </row>
    <row r="2549">
      <c r="A2549" t="inlineStr">
        <is>
          <t>Time and Society</t>
        </is>
      </c>
      <c r="B2549" t="inlineStr">
        <is>
          <t>B</t>
        </is>
      </c>
      <c r="C2549" t="n">
        <v>3507</v>
      </c>
      <c r="D2549" t="inlineStr">
        <is>
          <t>Sage Publications</t>
        </is>
      </c>
    </row>
    <row r="2550">
      <c r="A2550" t="inlineStr">
        <is>
          <t>Tobacco Control</t>
        </is>
      </c>
      <c r="B2550" t="inlineStr">
        <is>
          <t>B</t>
        </is>
      </c>
      <c r="C2550" t="n">
        <v>3506</v>
      </c>
      <c r="D2550" t="inlineStr">
        <is>
          <t>BMJ Publishing Group</t>
        </is>
      </c>
    </row>
    <row r="2551">
      <c r="A2551" t="inlineStr">
        <is>
          <t>TOP - Transactions in Operations Research</t>
        </is>
      </c>
      <c r="B2551" t="inlineStr">
        <is>
          <t>B</t>
        </is>
      </c>
      <c r="C2551" t="n">
        <v>3599</v>
      </c>
      <c r="D2551" t="inlineStr">
        <is>
          <t>Springer</t>
        </is>
      </c>
    </row>
    <row r="2552">
      <c r="A2552" t="inlineStr">
        <is>
          <t>Tort Law Review</t>
        </is>
      </c>
      <c r="B2552" t="inlineStr">
        <is>
          <t>A</t>
        </is>
      </c>
      <c r="C2552" t="n">
        <v>4801</v>
      </c>
      <c r="D2552" t="inlineStr">
        <is>
          <t>Thomson Reuters</t>
        </is>
      </c>
    </row>
    <row r="2553">
      <c r="A2553" t="inlineStr">
        <is>
          <t>Torts Law Journal</t>
        </is>
      </c>
      <c r="B2553" t="inlineStr">
        <is>
          <t>A</t>
        </is>
      </c>
      <c r="C2553" t="n">
        <v>4801</v>
      </c>
      <c r="D2553" t="inlineStr">
        <is>
          <t>LexisNexis</t>
        </is>
      </c>
    </row>
    <row r="2554">
      <c r="A2554" t="inlineStr">
        <is>
          <t>Total Quality Management and Business Excellence</t>
        </is>
      </c>
      <c r="B2554" t="inlineStr">
        <is>
          <t>C</t>
        </is>
      </c>
      <c r="C2554" t="n">
        <v>3507</v>
      </c>
      <c r="D2554" t="inlineStr">
        <is>
          <t>Taylor &amp; Francis Online</t>
        </is>
      </c>
    </row>
    <row r="2555">
      <c r="A2555" t="inlineStr">
        <is>
          <t>Tourism &amp; Management Studies</t>
        </is>
      </c>
      <c r="B2555" t="inlineStr">
        <is>
          <t>C</t>
        </is>
      </c>
      <c r="C2555" t="n">
        <v>3508</v>
      </c>
      <c r="D2555" t="inlineStr">
        <is>
          <t>University of Algarve</t>
        </is>
      </c>
    </row>
    <row r="2556">
      <c r="A2556" t="inlineStr">
        <is>
          <t>Tourism Analysis</t>
        </is>
      </c>
      <c r="B2556" t="inlineStr">
        <is>
          <t>A</t>
        </is>
      </c>
      <c r="C2556" t="n">
        <v>3508</v>
      </c>
      <c r="D2556" t="inlineStr">
        <is>
          <t>Cognizant Communication Corporation</t>
        </is>
      </c>
    </row>
    <row r="2557">
      <c r="A2557" t="inlineStr">
        <is>
          <t>Tourism and Hospitality Management</t>
        </is>
      </c>
      <c r="B2557" t="inlineStr">
        <is>
          <t>C</t>
        </is>
      </c>
      <c r="C2557" t="n">
        <v>3508</v>
      </c>
      <c r="D2557" t="inlineStr">
        <is>
          <t>University of Rijeka, Faculty of Tourism and Hospitality Management</t>
        </is>
      </c>
    </row>
    <row r="2558">
      <c r="A2558" t="inlineStr">
        <is>
          <t>Tourism and Hospitality Research</t>
        </is>
      </c>
      <c r="B2558" t="inlineStr">
        <is>
          <t>B</t>
        </is>
      </c>
      <c r="C2558" t="n">
        <v>3508</v>
      </c>
      <c r="D2558" t="inlineStr">
        <is>
          <t>Sage Publications</t>
        </is>
      </c>
    </row>
    <row r="2559">
      <c r="A2559" t="inlineStr">
        <is>
          <t>Tourism Economics</t>
        </is>
      </c>
      <c r="B2559" t="inlineStr">
        <is>
          <t>A</t>
        </is>
      </c>
      <c r="C2559" t="n">
        <v>3508</v>
      </c>
      <c r="D2559" t="inlineStr">
        <is>
          <t>Sage Publications</t>
        </is>
      </c>
    </row>
    <row r="2560">
      <c r="A2560" t="inlineStr">
        <is>
          <t>Tourism Geographies</t>
        </is>
      </c>
      <c r="B2560" t="inlineStr">
        <is>
          <t>A</t>
        </is>
      </c>
      <c r="C2560" t="n">
        <v>3508</v>
      </c>
      <c r="D2560" t="inlineStr">
        <is>
          <t>Taylor &amp; Francis Online</t>
        </is>
      </c>
    </row>
    <row r="2561">
      <c r="A2561" t="inlineStr">
        <is>
          <t>Tourism in Marine Environments</t>
        </is>
      </c>
      <c r="B2561" t="inlineStr">
        <is>
          <t>C</t>
        </is>
      </c>
      <c r="C2561" t="n">
        <v>3508</v>
      </c>
      <c r="D2561" t="inlineStr">
        <is>
          <t>Cognizant Communication Corporation</t>
        </is>
      </c>
    </row>
    <row r="2562">
      <c r="A2562" t="inlineStr">
        <is>
          <t>Tourism Management</t>
        </is>
      </c>
      <c r="B2562" t="inlineStr">
        <is>
          <t>A*</t>
        </is>
      </c>
      <c r="C2562" t="n">
        <v>3508</v>
      </c>
      <c r="D2562" t="inlineStr">
        <is>
          <t>Elsevier</t>
        </is>
      </c>
    </row>
    <row r="2563">
      <c r="A2563" t="inlineStr">
        <is>
          <t>Tourism Management Perspectives</t>
        </is>
      </c>
      <c r="B2563" t="inlineStr">
        <is>
          <t>A*</t>
        </is>
      </c>
      <c r="C2563" t="n">
        <v>3508</v>
      </c>
      <c r="D2563" t="inlineStr">
        <is>
          <t>Elsevier</t>
        </is>
      </c>
    </row>
    <row r="2564">
      <c r="A2564" t="inlineStr">
        <is>
          <t>Tourism Planning &amp; Development</t>
        </is>
      </c>
      <c r="B2564" t="inlineStr">
        <is>
          <t>A</t>
        </is>
      </c>
      <c r="C2564" t="n">
        <v>3508</v>
      </c>
      <c r="D2564" t="inlineStr">
        <is>
          <t>Taylor &amp; Francis Online</t>
        </is>
      </c>
    </row>
    <row r="2565">
      <c r="A2565" t="inlineStr">
        <is>
          <t>Tourism Recreation Research</t>
        </is>
      </c>
      <c r="B2565" t="inlineStr">
        <is>
          <t>A</t>
        </is>
      </c>
      <c r="C2565" t="n">
        <v>3508</v>
      </c>
      <c r="D2565" t="inlineStr">
        <is>
          <t>Taylor &amp; Francis Online</t>
        </is>
      </c>
    </row>
    <row r="2566">
      <c r="A2566" t="inlineStr">
        <is>
          <t>Tourism Review</t>
        </is>
      </c>
      <c r="B2566" t="inlineStr">
        <is>
          <t>A</t>
        </is>
      </c>
      <c r="C2566" t="n">
        <v>3508</v>
      </c>
      <c r="D2566" t="inlineStr">
        <is>
          <t>Emerald Group Publishing</t>
        </is>
      </c>
    </row>
    <row r="2567">
      <c r="A2567" t="inlineStr">
        <is>
          <t>Tourism Review International</t>
        </is>
      </c>
      <c r="B2567" t="inlineStr">
        <is>
          <t>C</t>
        </is>
      </c>
      <c r="C2567" t="n">
        <v>3508</v>
      </c>
      <c r="D2567" t="inlineStr">
        <is>
          <t>Cognizant Communication Corporation</t>
        </is>
      </c>
    </row>
    <row r="2568">
      <c r="A2568" t="inlineStr">
        <is>
          <t>Tourism, Culture and Communication</t>
        </is>
      </c>
      <c r="B2568" t="inlineStr">
        <is>
          <t>C</t>
        </is>
      </c>
      <c r="C2568" t="n">
        <v>3508</v>
      </c>
      <c r="D2568" t="inlineStr">
        <is>
          <t>Cognizant Communication Corporation</t>
        </is>
      </c>
    </row>
    <row r="2569">
      <c r="A2569" t="inlineStr">
        <is>
          <t>Tourism: An International Interdisciplinary Journal</t>
        </is>
      </c>
      <c r="B2569" t="inlineStr">
        <is>
          <t>B</t>
        </is>
      </c>
      <c r="C2569" t="n">
        <v>3508</v>
      </c>
      <c r="D2569" t="inlineStr">
        <is>
          <t>Institute for Tourism</t>
        </is>
      </c>
    </row>
    <row r="2570">
      <c r="A2570" t="inlineStr">
        <is>
          <t>Tourist Studies</t>
        </is>
      </c>
      <c r="B2570" t="inlineStr">
        <is>
          <t>B</t>
        </is>
      </c>
      <c r="C2570" t="n">
        <v>3508</v>
      </c>
      <c r="D2570" t="inlineStr">
        <is>
          <t>Sage Publications</t>
        </is>
      </c>
    </row>
    <row r="2571">
      <c r="A2571" t="inlineStr">
        <is>
          <t>Transfer: European review of labour and research</t>
        </is>
      </c>
      <c r="B2571" t="inlineStr">
        <is>
          <t>C</t>
        </is>
      </c>
      <c r="C2571" t="n">
        <v>3505</v>
      </c>
      <c r="D2571" t="inlineStr">
        <is>
          <t>Sage Publications</t>
        </is>
      </c>
    </row>
    <row r="2572">
      <c r="A2572" t="inlineStr">
        <is>
          <t>Transformations in Business and Economics</t>
        </is>
      </c>
      <c r="B2572" t="inlineStr">
        <is>
          <t>C</t>
        </is>
      </c>
      <c r="C2572" t="n">
        <v>3801</v>
      </c>
      <c r="D2572" t="inlineStr">
        <is>
          <t>Vilnius University</t>
        </is>
      </c>
    </row>
    <row r="2573">
      <c r="A2573" t="inlineStr">
        <is>
          <t>Transforming Government: People, Process and Policy</t>
        </is>
      </c>
      <c r="B2573" t="inlineStr">
        <is>
          <t>B</t>
        </is>
      </c>
      <c r="C2573" t="n">
        <v>4609</v>
      </c>
      <c r="D2573" t="inlineStr">
        <is>
          <t>Emerald Group Publishing Limited</t>
        </is>
      </c>
    </row>
    <row r="2574">
      <c r="A2574" t="inlineStr">
        <is>
          <t>Transnational Corporations Review</t>
        </is>
      </c>
      <c r="B2574" t="inlineStr">
        <is>
          <t>C</t>
        </is>
      </c>
      <c r="C2574" t="n">
        <v>3801</v>
      </c>
      <c r="D2574" t="inlineStr">
        <is>
          <t>Taylor &amp; Francis Online</t>
        </is>
      </c>
    </row>
    <row r="2575">
      <c r="A2575" t="inlineStr">
        <is>
          <t>Transport Policy</t>
        </is>
      </c>
      <c r="B2575" t="inlineStr">
        <is>
          <t>A</t>
        </is>
      </c>
      <c r="C2575" t="n">
        <v>3509</v>
      </c>
      <c r="D2575" t="inlineStr">
        <is>
          <t>Elsevier</t>
        </is>
      </c>
    </row>
    <row r="2576">
      <c r="A2576" t="inlineStr">
        <is>
          <t>Transport Reviews</t>
        </is>
      </c>
      <c r="B2576" t="inlineStr">
        <is>
          <t>A</t>
        </is>
      </c>
      <c r="C2576" t="n">
        <v>3509</v>
      </c>
      <c r="D2576" t="inlineStr">
        <is>
          <t>Taylor &amp; Francis Online</t>
        </is>
      </c>
    </row>
    <row r="2577">
      <c r="A2577" t="inlineStr">
        <is>
          <t>Transportation</t>
        </is>
      </c>
      <c r="B2577" t="inlineStr">
        <is>
          <t>A</t>
        </is>
      </c>
      <c r="C2577" t="n">
        <v>3509</v>
      </c>
      <c r="D2577" t="inlineStr">
        <is>
          <t>Springer International Publishing</t>
        </is>
      </c>
    </row>
    <row r="2578">
      <c r="A2578" t="inlineStr">
        <is>
          <t>Transportation Journal</t>
        </is>
      </c>
      <c r="B2578" t="inlineStr">
        <is>
          <t>B</t>
        </is>
      </c>
      <c r="C2578" t="n">
        <v>3509</v>
      </c>
      <c r="D2578" t="inlineStr">
        <is>
          <t>University of Pennsylvania Press</t>
        </is>
      </c>
    </row>
    <row r="2579">
      <c r="A2579" t="inlineStr">
        <is>
          <t>Transportation Letters</t>
        </is>
      </c>
      <c r="B2579" t="inlineStr">
        <is>
          <t>B</t>
        </is>
      </c>
      <c r="C2579" t="n">
        <v>3509</v>
      </c>
      <c r="D2579" t="inlineStr">
        <is>
          <t>Taylor &amp; Francis Online</t>
        </is>
      </c>
    </row>
    <row r="2580">
      <c r="A2580" t="inlineStr">
        <is>
          <t>Transportation Planning and Technology</t>
        </is>
      </c>
      <c r="B2580" t="inlineStr">
        <is>
          <t>B</t>
        </is>
      </c>
      <c r="C2580" t="n">
        <v>3509</v>
      </c>
      <c r="D2580" t="inlineStr">
        <is>
          <t>Taylor &amp; Francis Online</t>
        </is>
      </c>
    </row>
    <row r="2581">
      <c r="A2581" t="inlineStr">
        <is>
          <t>Transportation Research Part A: Policy and Practice</t>
        </is>
      </c>
      <c r="B2581" t="inlineStr">
        <is>
          <t>A*</t>
        </is>
      </c>
      <c r="C2581" t="n">
        <v>3509</v>
      </c>
      <c r="D2581" t="inlineStr">
        <is>
          <t>Elsevier</t>
        </is>
      </c>
    </row>
    <row r="2582">
      <c r="A2582" t="inlineStr">
        <is>
          <t>Transportation Research Part B: Methodological</t>
        </is>
      </c>
      <c r="B2582" t="inlineStr">
        <is>
          <t>A*</t>
        </is>
      </c>
      <c r="C2582" t="n">
        <v>3509</v>
      </c>
      <c r="D2582" t="inlineStr">
        <is>
          <t>Elsevier</t>
        </is>
      </c>
    </row>
    <row r="2583">
      <c r="A2583" t="inlineStr">
        <is>
          <t>Transportation Research Part C: Emerging Technologies</t>
        </is>
      </c>
      <c r="B2583" t="inlineStr">
        <is>
          <t>A*</t>
        </is>
      </c>
      <c r="C2583" t="n">
        <v>3509</v>
      </c>
      <c r="D2583" t="inlineStr">
        <is>
          <t>Elsevier</t>
        </is>
      </c>
    </row>
    <row r="2584">
      <c r="A2584" t="inlineStr">
        <is>
          <t>Transportation Research Part D: Transport and Environment</t>
        </is>
      </c>
      <c r="B2584" t="inlineStr">
        <is>
          <t>A</t>
        </is>
      </c>
      <c r="C2584" t="n">
        <v>3509</v>
      </c>
      <c r="D2584" t="inlineStr">
        <is>
          <t>Elsevier</t>
        </is>
      </c>
    </row>
    <row r="2585">
      <c r="A2585" t="inlineStr">
        <is>
          <t>Transportation Research Part E: Logistics and Transportation Review</t>
        </is>
      </c>
      <c r="B2585" t="inlineStr">
        <is>
          <t>A*</t>
        </is>
      </c>
      <c r="C2585" t="n">
        <v>3509</v>
      </c>
      <c r="D2585" t="inlineStr">
        <is>
          <t>Elsevier</t>
        </is>
      </c>
    </row>
    <row r="2586">
      <c r="A2586" t="inlineStr">
        <is>
          <t>Transportation Research Part F: Traffic Psychology and Behaviour</t>
        </is>
      </c>
      <c r="B2586" t="inlineStr">
        <is>
          <t>A</t>
        </is>
      </c>
      <c r="C2586" t="n">
        <v>3509</v>
      </c>
      <c r="D2586" t="inlineStr">
        <is>
          <t>Elsevier</t>
        </is>
      </c>
    </row>
    <row r="2587">
      <c r="A2587" t="inlineStr">
        <is>
          <t>Transportation Research Record</t>
        </is>
      </c>
      <c r="B2587" t="inlineStr">
        <is>
          <t>B</t>
        </is>
      </c>
      <c r="C2587" t="n">
        <v>3509</v>
      </c>
      <c r="D2587" t="inlineStr">
        <is>
          <t>Sage Publications</t>
        </is>
      </c>
    </row>
    <row r="2588">
      <c r="A2588" t="inlineStr">
        <is>
          <t>Transportation Science</t>
        </is>
      </c>
      <c r="B2588" t="inlineStr">
        <is>
          <t>A*</t>
        </is>
      </c>
      <c r="C2588" t="n">
        <v>3509</v>
      </c>
      <c r="D2588" t="inlineStr">
        <is>
          <t>The Institute for Operations Research and the Management Sciences (INFORMS)</t>
        </is>
      </c>
    </row>
    <row r="2589">
      <c r="A2589" t="inlineStr">
        <is>
          <t>Transportmetrica A: Transport Science</t>
        </is>
      </c>
      <c r="B2589" t="inlineStr">
        <is>
          <t>B</t>
        </is>
      </c>
      <c r="C2589" t="n">
        <v>3509</v>
      </c>
      <c r="D2589" t="inlineStr">
        <is>
          <t>Taylor &amp; Francis Online</t>
        </is>
      </c>
    </row>
    <row r="2590">
      <c r="A2590" t="inlineStr">
        <is>
          <t>Transportmetrica B: Transport Dynamics</t>
        </is>
      </c>
      <c r="B2590" t="inlineStr">
        <is>
          <t>B</t>
        </is>
      </c>
      <c r="C2590" t="n">
        <v>3509</v>
      </c>
      <c r="D2590" t="inlineStr">
        <is>
          <t>Taylor &amp; Francis Online</t>
        </is>
      </c>
    </row>
    <row r="2591">
      <c r="A2591" t="inlineStr">
        <is>
          <t>Travel Behaviour and Society</t>
        </is>
      </c>
      <c r="B2591" t="inlineStr">
        <is>
          <t>A</t>
        </is>
      </c>
      <c r="C2591" t="n">
        <v>3509</v>
      </c>
      <c r="D2591" t="inlineStr">
        <is>
          <t>Elsevier</t>
        </is>
      </c>
    </row>
    <row r="2592">
      <c r="A2592" t="inlineStr">
        <is>
          <t>Tulane Maritime Law Journal</t>
        </is>
      </c>
      <c r="B2592" t="inlineStr">
        <is>
          <t>A</t>
        </is>
      </c>
      <c r="C2592" t="n">
        <v>4801</v>
      </c>
      <c r="D2592" t="inlineStr">
        <is>
          <t>Tulane University Law School</t>
        </is>
      </c>
    </row>
    <row r="2593">
      <c r="A2593" t="inlineStr">
        <is>
          <t>UBC Law Review</t>
        </is>
      </c>
      <c r="B2593" t="inlineStr">
        <is>
          <t>B</t>
        </is>
      </c>
      <c r="C2593" t="n">
        <v>4801</v>
      </c>
      <c r="D2593" t="inlineStr">
        <is>
          <t>University of British Columbia</t>
        </is>
      </c>
    </row>
    <row r="2594">
      <c r="A2594" t="inlineStr">
        <is>
          <t>UCLA Pacific Basin Law Journal</t>
        </is>
      </c>
      <c r="B2594" t="inlineStr">
        <is>
          <t>B</t>
        </is>
      </c>
      <c r="C2594" t="n">
        <v>4801</v>
      </c>
      <c r="D2594" t="inlineStr">
        <is>
          <t>UCLA School of Law</t>
        </is>
      </c>
    </row>
    <row r="2595">
      <c r="A2595" t="inlineStr">
        <is>
          <t>University of Chicago Law Review</t>
        </is>
      </c>
      <c r="B2595" t="inlineStr">
        <is>
          <t>A*</t>
        </is>
      </c>
      <c r="C2595" t="n">
        <v>4801</v>
      </c>
      <c r="D2595" t="inlineStr">
        <is>
          <t>University of Chicago Law School</t>
        </is>
      </c>
    </row>
    <row r="2596">
      <c r="A2596" t="inlineStr">
        <is>
          <t>University of Miami Business Law Review</t>
        </is>
      </c>
      <c r="B2596" t="inlineStr">
        <is>
          <t>C</t>
        </is>
      </c>
      <c r="C2596" t="n">
        <v>4801</v>
      </c>
      <c r="D2596" t="inlineStr">
        <is>
          <t>University of Miami</t>
        </is>
      </c>
    </row>
    <row r="2597">
      <c r="A2597" t="inlineStr">
        <is>
          <t>University of New South Wales Law Journal</t>
        </is>
      </c>
      <c r="B2597" t="inlineStr">
        <is>
          <t>A</t>
        </is>
      </c>
      <c r="C2597" t="n">
        <v>4801</v>
      </c>
      <c r="D2597" t="inlineStr">
        <is>
          <t>University of New South Wales</t>
        </is>
      </c>
    </row>
    <row r="2598">
      <c r="A2598" t="inlineStr">
        <is>
          <t>University of Pennsylvania Journal of Business Law</t>
        </is>
      </c>
      <c r="B2598" t="inlineStr">
        <is>
          <t>C</t>
        </is>
      </c>
      <c r="C2598" t="n">
        <v>4801</v>
      </c>
      <c r="D2598" t="inlineStr">
        <is>
          <t>University of Pennsylvania Law School</t>
        </is>
      </c>
    </row>
    <row r="2599">
      <c r="A2599" t="inlineStr">
        <is>
          <t>University of Queensland Law Journal</t>
        </is>
      </c>
      <c r="B2599" t="inlineStr">
        <is>
          <t>B</t>
        </is>
      </c>
      <c r="C2599" t="n">
        <v>4801</v>
      </c>
      <c r="D2599" t="inlineStr">
        <is>
          <t>University of Queensland Press</t>
        </is>
      </c>
    </row>
    <row r="2600">
      <c r="A2600" t="inlineStr">
        <is>
          <t>University of San Francisco Maritime Law Journal</t>
        </is>
      </c>
      <c r="B2600" t="inlineStr">
        <is>
          <t>B</t>
        </is>
      </c>
      <c r="C2600" t="n">
        <v>4801</v>
      </c>
      <c r="D2600" t="inlineStr">
        <is>
          <t>University of San Francisco</t>
        </is>
      </c>
    </row>
    <row r="2601">
      <c r="A2601" t="inlineStr">
        <is>
          <t>University of Tasmania Law Review</t>
        </is>
      </c>
      <c r="B2601" t="inlineStr">
        <is>
          <t>B</t>
        </is>
      </c>
      <c r="C2601" t="n">
        <v>4801</v>
      </c>
      <c r="D2601" t="inlineStr">
        <is>
          <t>University of Tasmania</t>
        </is>
      </c>
    </row>
    <row r="2602">
      <c r="A2602" t="inlineStr">
        <is>
          <t>University of Toronto Law Journal</t>
        </is>
      </c>
      <c r="B2602" t="inlineStr">
        <is>
          <t>A</t>
        </is>
      </c>
      <c r="C2602" t="n">
        <v>4801</v>
      </c>
      <c r="D2602" t="inlineStr">
        <is>
          <t>University of Toronto Press</t>
        </is>
      </c>
    </row>
    <row r="2603">
      <c r="A2603" t="inlineStr">
        <is>
          <t>University of Western Australia Law Review</t>
        </is>
      </c>
      <c r="B2603" t="inlineStr">
        <is>
          <t>B</t>
        </is>
      </c>
      <c r="C2603" t="n">
        <v>4801</v>
      </c>
      <c r="D2603" t="inlineStr">
        <is>
          <t>The University of Western Australia</t>
        </is>
      </c>
    </row>
    <row r="2604">
      <c r="A2604" t="inlineStr">
        <is>
          <t>University of Western Sydney Law Review</t>
        </is>
      </c>
      <c r="B2604" t="inlineStr">
        <is>
          <t>C</t>
        </is>
      </c>
      <c r="C2604" t="n">
        <v>4801</v>
      </c>
      <c r="D2604" t="inlineStr">
        <is>
          <t>University of Western Sydney</t>
        </is>
      </c>
    </row>
    <row r="2605">
      <c r="A2605" t="inlineStr">
        <is>
          <t>UNLV Gaming Research and Review Journal</t>
        </is>
      </c>
      <c r="B2605" t="inlineStr">
        <is>
          <t>B</t>
        </is>
      </c>
      <c r="C2605" t="n">
        <v>3504</v>
      </c>
      <c r="D2605" t="inlineStr">
        <is>
          <t>University of Nevada</t>
        </is>
      </c>
    </row>
    <row r="2606">
      <c r="A2606" t="inlineStr">
        <is>
          <t>Urban Affairs Review</t>
        </is>
      </c>
      <c r="B2606" t="inlineStr">
        <is>
          <t>B</t>
        </is>
      </c>
      <c r="C2606" t="n">
        <v>3599</v>
      </c>
      <c r="D2606" t="inlineStr">
        <is>
          <t>Sage Publications</t>
        </is>
      </c>
    </row>
    <row r="2607">
      <c r="A2607" t="inlineStr">
        <is>
          <t>Urban Studies: an international journal for research in urban studies</t>
        </is>
      </c>
      <c r="B2607" t="inlineStr">
        <is>
          <t>A*</t>
        </is>
      </c>
      <c r="C2607" t="n">
        <v>3599</v>
      </c>
      <c r="D2607" t="inlineStr">
        <is>
          <t>Sage Publications</t>
        </is>
      </c>
    </row>
    <row r="2608">
      <c r="A2608" t="inlineStr">
        <is>
          <t>US Bureau of Labor Statistics: Monthly Labor Review</t>
        </is>
      </c>
      <c r="B2608" t="inlineStr">
        <is>
          <t>B</t>
        </is>
      </c>
      <c r="C2608" t="n">
        <v>3599</v>
      </c>
      <c r="D2608" t="inlineStr">
        <is>
          <t>US Bureau of Labor Statistics</t>
        </is>
      </c>
    </row>
    <row r="2609">
      <c r="A2609" t="inlineStr">
        <is>
          <t>Value in Health</t>
        </is>
      </c>
      <c r="B2609" t="inlineStr">
        <is>
          <t>A</t>
        </is>
      </c>
      <c r="C2609" t="n">
        <v>3899</v>
      </c>
      <c r="D2609" t="inlineStr">
        <is>
          <t>Elsevier ScienceDirect / ISPOR</t>
        </is>
      </c>
    </row>
    <row r="2610">
      <c r="A2610" t="inlineStr">
        <is>
          <t>Vanderbilt Journal of Transnational Law</t>
        </is>
      </c>
      <c r="B2610" t="inlineStr">
        <is>
          <t>B</t>
        </is>
      </c>
      <c r="C2610" t="n">
        <v>4801</v>
      </c>
      <c r="D2610" t="inlineStr">
        <is>
          <t>Vanderbilt University</t>
        </is>
      </c>
    </row>
    <row r="2611">
      <c r="A2611" t="inlineStr">
        <is>
          <t>Variance: advancing the science of risk</t>
        </is>
      </c>
      <c r="B2611" t="inlineStr">
        <is>
          <t>C</t>
        </is>
      </c>
      <c r="C2611" t="n">
        <v>3502</v>
      </c>
      <c r="D2611" t="inlineStr">
        <is>
          <t>Casualty Actuarial Society</t>
        </is>
      </c>
    </row>
    <row r="2612">
      <c r="A2612" t="inlineStr">
        <is>
          <t>Venture Capital</t>
        </is>
      </c>
      <c r="B2612" t="inlineStr">
        <is>
          <t>B</t>
        </is>
      </c>
      <c r="C2612" t="n">
        <v>3502</v>
      </c>
      <c r="D2612" t="inlineStr">
        <is>
          <t>Taylor &amp; Francis Online</t>
        </is>
      </c>
    </row>
    <row r="2613">
      <c r="A2613" t="inlineStr">
        <is>
          <t>Victoria University of Wellington Law Review</t>
        </is>
      </c>
      <c r="B2613" t="inlineStr">
        <is>
          <t>B</t>
        </is>
      </c>
      <c r="C2613" t="n">
        <v>4801</v>
      </c>
      <c r="D2613" t="inlineStr">
        <is>
          <t>Victoria University of Wellington, Law Faculty</t>
        </is>
      </c>
    </row>
    <row r="2614">
      <c r="A2614" t="inlineStr">
        <is>
          <t>Vietnam's Socio-Economic Development</t>
        </is>
      </c>
      <c r="B2614" t="inlineStr">
        <is>
          <t>C</t>
        </is>
      </c>
      <c r="C2614" t="n">
        <v>3801</v>
      </c>
      <c r="D2614" t="inlineStr">
        <is>
          <t>The Vietnam Institute of Economics</t>
        </is>
      </c>
    </row>
    <row r="2615">
      <c r="A2615" t="inlineStr">
        <is>
          <t>Villanova Journal of Law and Investment Management</t>
        </is>
      </c>
      <c r="B2615" t="inlineStr">
        <is>
          <t>C</t>
        </is>
      </c>
      <c r="C2615" t="n">
        <v>4801</v>
      </c>
      <c r="D2615" t="inlineStr">
        <is>
          <t>Villanova University</t>
        </is>
      </c>
    </row>
    <row r="2616">
      <c r="A2616" t="inlineStr">
        <is>
          <t>Vindobona Journal of International Commercial Law and Arbitration</t>
        </is>
      </c>
      <c r="B2616" t="inlineStr">
        <is>
          <t>C</t>
        </is>
      </c>
      <c r="C2616" t="n">
        <v>4801</v>
      </c>
      <c r="D2616" t="inlineStr">
        <is>
          <t>Moot Alumni Association</t>
        </is>
      </c>
    </row>
    <row r="2617">
      <c r="A2617" t="inlineStr">
        <is>
          <t>VINE Journal of Information and Knowledge Management Systems</t>
        </is>
      </c>
      <c r="B2617" t="inlineStr">
        <is>
          <t>B</t>
        </is>
      </c>
      <c r="C2617" t="n">
        <v>4609</v>
      </c>
      <c r="D2617" t="inlineStr">
        <is>
          <t>Emerald Group Publishing</t>
        </is>
      </c>
    </row>
    <row r="2618">
      <c r="A2618" t="inlineStr">
        <is>
          <t>Virginia Tax Review</t>
        </is>
      </c>
      <c r="B2618" t="inlineStr">
        <is>
          <t>A</t>
        </is>
      </c>
      <c r="C2618" t="n">
        <v>4801</v>
      </c>
      <c r="D2618" t="inlineStr">
        <is>
          <t>University of Virginia School of Law</t>
        </is>
      </c>
    </row>
    <row r="2619">
      <c r="A2619" t="inlineStr">
        <is>
          <t>Vision: The Journal of Business Perspectives</t>
        </is>
      </c>
      <c r="B2619" t="inlineStr">
        <is>
          <t>C</t>
        </is>
      </c>
      <c r="C2619" t="n">
        <v>3507</v>
      </c>
      <c r="D2619" t="inlineStr">
        <is>
          <t>Sage Publications</t>
        </is>
      </c>
    </row>
    <row r="2620">
      <c r="A2620" t="inlineStr">
        <is>
          <t>Visitor Studies</t>
        </is>
      </c>
      <c r="B2620" t="inlineStr">
        <is>
          <t>A</t>
        </is>
      </c>
      <c r="C2620" t="n">
        <v>3508</v>
      </c>
      <c r="D2620" t="inlineStr">
        <is>
          <t>Taylor &amp; Francis Online</t>
        </is>
      </c>
    </row>
    <row r="2621">
      <c r="A2621" t="inlineStr">
        <is>
          <t>Voluntas: International Journal of Voluntary and Non-Profit Organizations</t>
        </is>
      </c>
      <c r="B2621" t="inlineStr">
        <is>
          <t>B</t>
        </is>
      </c>
      <c r="C2621" t="n">
        <v>3507</v>
      </c>
      <c r="D2621" t="inlineStr">
        <is>
          <t>Springer International Publishing</t>
        </is>
      </c>
    </row>
    <row r="2622">
      <c r="A2622" t="inlineStr">
        <is>
          <t>Waikato Law Review</t>
        </is>
      </c>
      <c r="B2622" t="inlineStr">
        <is>
          <t>C</t>
        </is>
      </c>
      <c r="C2622" t="n">
        <v>4801</v>
      </c>
      <c r="D2622" t="inlineStr">
        <is>
          <t>Waikato University</t>
        </is>
      </c>
    </row>
    <row r="2623">
      <c r="A2623" t="inlineStr">
        <is>
          <t>Washington International Law Journal</t>
        </is>
      </c>
      <c r="B2623" t="inlineStr">
        <is>
          <t>B</t>
        </is>
      </c>
      <c r="C2623" t="n">
        <v>4801</v>
      </c>
      <c r="D2623" t="inlineStr">
        <is>
          <t>University of Washington School of Law</t>
        </is>
      </c>
    </row>
    <row r="2624">
      <c r="A2624" t="inlineStr">
        <is>
          <t>Washington Journal of Law, Technology &amp; Arts</t>
        </is>
      </c>
      <c r="B2624" t="inlineStr">
        <is>
          <t>C</t>
        </is>
      </c>
      <c r="C2624" t="n">
        <v>4801</v>
      </c>
      <c r="D2624" t="inlineStr">
        <is>
          <t>University of Washington School of Law</t>
        </is>
      </c>
    </row>
    <row r="2625">
      <c r="A2625" t="inlineStr">
        <is>
          <t>Water Resources Research</t>
        </is>
      </c>
      <c r="B2625" t="inlineStr">
        <is>
          <t>A</t>
        </is>
      </c>
      <c r="C2625" t="n">
        <v>3599</v>
      </c>
      <c r="D2625" t="inlineStr">
        <is>
          <t>Wiley-Blackwell Publishing</t>
        </is>
      </c>
    </row>
    <row r="2626">
      <c r="A2626" t="inlineStr">
        <is>
          <t>West European Politics</t>
        </is>
      </c>
      <c r="B2626" t="inlineStr">
        <is>
          <t>B</t>
        </is>
      </c>
      <c r="C2626" t="n">
        <v>3599</v>
      </c>
      <c r="D2626" t="inlineStr">
        <is>
          <t>Taylor &amp; Francis Online</t>
        </is>
      </c>
    </row>
    <row r="2627">
      <c r="A2627" t="inlineStr">
        <is>
          <t>Western Australian Law Teachers' Review</t>
        </is>
      </c>
      <c r="B2627" t="inlineStr">
        <is>
          <t>C</t>
        </is>
      </c>
      <c r="C2627" t="n">
        <v>4801</v>
      </c>
      <c r="D2627" t="inlineStr">
        <is>
          <t>Western Australian Teachers of Law</t>
        </is>
      </c>
    </row>
    <row r="2628">
      <c r="A2628" t="inlineStr">
        <is>
          <t>Western Economics Forum</t>
        </is>
      </c>
      <c r="B2628" t="inlineStr">
        <is>
          <t>C</t>
        </is>
      </c>
      <c r="C2628" t="n">
        <v>3801</v>
      </c>
      <c r="D2628" t="inlineStr">
        <is>
          <t>Western Agricultural Economics Association</t>
        </is>
      </c>
    </row>
    <row r="2629">
      <c r="A2629" t="inlineStr">
        <is>
          <t>Western Journal of Communication</t>
        </is>
      </c>
      <c r="B2629" t="inlineStr">
        <is>
          <t>C</t>
        </is>
      </c>
      <c r="C2629" t="n">
        <v>3599</v>
      </c>
      <c r="D2629" t="inlineStr">
        <is>
          <t>Taylor &amp; Francis Online</t>
        </is>
      </c>
    </row>
    <row r="2630">
      <c r="A2630" t="inlineStr">
        <is>
          <t>Work &amp; Stress: An international Journal of Work, Health and Organisations</t>
        </is>
      </c>
      <c r="B2630" t="inlineStr">
        <is>
          <t>A</t>
        </is>
      </c>
      <c r="C2630" t="n">
        <v>3505</v>
      </c>
      <c r="D2630" t="inlineStr">
        <is>
          <t>Taylor &amp; Francis Online</t>
        </is>
      </c>
    </row>
    <row r="2631">
      <c r="A2631" t="inlineStr">
        <is>
          <t>Work and Occupations</t>
        </is>
      </c>
      <c r="B2631" t="inlineStr">
        <is>
          <t>A</t>
        </is>
      </c>
      <c r="C2631" t="n">
        <v>3505</v>
      </c>
      <c r="D2631" t="inlineStr">
        <is>
          <t>Sage Publications</t>
        </is>
      </c>
    </row>
    <row r="2632">
      <c r="A2632" t="inlineStr">
        <is>
          <t>Work, Aging and Retirement</t>
        </is>
      </c>
      <c r="B2632" t="inlineStr">
        <is>
          <t>B</t>
        </is>
      </c>
      <c r="C2632" t="n">
        <v>3505</v>
      </c>
      <c r="D2632" t="inlineStr">
        <is>
          <t>Oxford University Press</t>
        </is>
      </c>
    </row>
    <row r="2633">
      <c r="A2633" t="inlineStr">
        <is>
          <t>Work, Employment and Society</t>
        </is>
      </c>
      <c r="B2633" t="inlineStr">
        <is>
          <t>A</t>
        </is>
      </c>
      <c r="C2633" t="n">
        <v>3505</v>
      </c>
      <c r="D2633" t="inlineStr">
        <is>
          <t>Sage Publications</t>
        </is>
      </c>
    </row>
    <row r="2634">
      <c r="A2634" t="inlineStr">
        <is>
          <t>World Bank Research Observer</t>
        </is>
      </c>
      <c r="B2634" t="inlineStr">
        <is>
          <t>B</t>
        </is>
      </c>
      <c r="C2634" t="n">
        <v>3801</v>
      </c>
      <c r="D2634" t="inlineStr">
        <is>
          <t>Oxford University Press</t>
        </is>
      </c>
    </row>
    <row r="2635">
      <c r="A2635" t="inlineStr">
        <is>
          <t>World Competition Law and Economics Review</t>
        </is>
      </c>
      <c r="B2635" t="inlineStr">
        <is>
          <t>C</t>
        </is>
      </c>
      <c r="C2635" t="n">
        <v>4801</v>
      </c>
      <c r="D2635" t="inlineStr">
        <is>
          <t>Kluwer Law International</t>
        </is>
      </c>
    </row>
    <row r="2636">
      <c r="A2636" t="inlineStr">
        <is>
          <t>World Development</t>
        </is>
      </c>
      <c r="B2636" t="inlineStr">
        <is>
          <t>A*</t>
        </is>
      </c>
      <c r="C2636" t="n">
        <v>3801</v>
      </c>
      <c r="D2636" t="inlineStr">
        <is>
          <t>Elsevier</t>
        </is>
      </c>
    </row>
    <row r="2637">
      <c r="A2637" t="inlineStr">
        <is>
          <t>World Economics</t>
        </is>
      </c>
      <c r="B2637" t="inlineStr">
        <is>
          <t>B</t>
        </is>
      </c>
      <c r="C2637" t="n">
        <v>3801</v>
      </c>
      <c r="D2637" t="inlineStr">
        <is>
          <t>World Economics Limited</t>
        </is>
      </c>
    </row>
    <row r="2638">
      <c r="A2638" t="inlineStr">
        <is>
          <t>World Journal of Management and Economics</t>
        </is>
      </c>
      <c r="B2638" t="inlineStr">
        <is>
          <t>C</t>
        </is>
      </c>
      <c r="C2638" t="n">
        <v>3801</v>
      </c>
      <c r="D2638" t="inlineStr">
        <is>
          <t>Rosetta Publications</t>
        </is>
      </c>
    </row>
    <row r="2639">
      <c r="A2639" t="inlineStr">
        <is>
          <t>World Journal of VAT/GST</t>
        </is>
      </c>
      <c r="B2639" t="inlineStr">
        <is>
          <t>C</t>
        </is>
      </c>
      <c r="C2639" t="n">
        <v>4801</v>
      </c>
      <c r="D2639" t="inlineStr">
        <is>
          <t>Hart Publishing</t>
        </is>
      </c>
    </row>
    <row r="2640">
      <c r="A2640" t="inlineStr">
        <is>
          <t>World Leisure Journal</t>
        </is>
      </c>
      <c r="B2640" t="inlineStr">
        <is>
          <t>B</t>
        </is>
      </c>
      <c r="C2640" t="n">
        <v>3504</v>
      </c>
      <c r="D2640" t="inlineStr">
        <is>
          <t>Taylor &amp; Francis Online</t>
        </is>
      </c>
    </row>
    <row r="2641">
      <c r="A2641" t="inlineStr">
        <is>
          <t>World Politics</t>
        </is>
      </c>
      <c r="B2641" t="inlineStr">
        <is>
          <t>A</t>
        </is>
      </c>
      <c r="C2641" t="n">
        <v>3599</v>
      </c>
      <c r="D2641" t="inlineStr">
        <is>
          <t>Johns Hopkins University Press</t>
        </is>
      </c>
    </row>
    <row r="2642">
      <c r="A2642" t="inlineStr">
        <is>
          <t>World Review of Science, Technology and Sustainable Development</t>
        </is>
      </c>
      <c r="B2642" t="inlineStr">
        <is>
          <t>C</t>
        </is>
      </c>
      <c r="C2642" t="n">
        <v>3599</v>
      </c>
      <c r="D2642" t="inlineStr">
        <is>
          <t>Inderscience Enterprises Ltd.</t>
        </is>
      </c>
    </row>
    <row r="2643">
      <c r="A2643" t="inlineStr">
        <is>
          <t>World Tax Journal</t>
        </is>
      </c>
      <c r="B2643" t="inlineStr">
        <is>
          <t>B</t>
        </is>
      </c>
      <c r="C2643" t="n">
        <v>4801</v>
      </c>
      <c r="D2643" t="inlineStr">
        <is>
          <t>International Bureau of Fiscal Documentation</t>
        </is>
      </c>
    </row>
    <row r="2644">
      <c r="A2644" t="inlineStr">
        <is>
          <t>World Trade Review</t>
        </is>
      </c>
      <c r="B2644" t="inlineStr">
        <is>
          <t>C</t>
        </is>
      </c>
      <c r="C2644" t="n">
        <v>3801</v>
      </c>
      <c r="D2644" t="inlineStr">
        <is>
          <t>Cambridge University Press</t>
        </is>
      </c>
    </row>
    <row r="2645">
      <c r="A2645" t="inlineStr">
        <is>
          <t>Worldwide Hospitality and Tourism Themes</t>
        </is>
      </c>
      <c r="B2645" t="inlineStr">
        <is>
          <t>C</t>
        </is>
      </c>
      <c r="C2645" t="n">
        <v>3508</v>
      </c>
      <c r="D2645" t="inlineStr">
        <is>
          <t>Emerald Group Publishing</t>
        </is>
      </c>
    </row>
    <row r="2646">
      <c r="A2646" t="inlineStr">
        <is>
          <t>Written Communication</t>
        </is>
      </c>
      <c r="B2646" t="inlineStr">
        <is>
          <t>B</t>
        </is>
      </c>
      <c r="C2646" t="n">
        <v>3507</v>
      </c>
      <c r="D2646" t="inlineStr">
        <is>
          <t>Sage Publications</t>
        </is>
      </c>
    </row>
    <row r="2647">
      <c r="A2647" t="inlineStr">
        <is>
          <t>Yale Journal on Regulation</t>
        </is>
      </c>
      <c r="B2647" t="inlineStr">
        <is>
          <t>B</t>
        </is>
      </c>
      <c r="C2647" t="n">
        <v>4801</v>
      </c>
      <c r="D2647" t="inlineStr">
        <is>
          <t>Yale Law School</t>
        </is>
      </c>
    </row>
    <row r="2648">
      <c r="A2648" t="inlineStr">
        <is>
          <t>Young Consumers</t>
        </is>
      </c>
      <c r="B2648" t="inlineStr">
        <is>
          <t>B</t>
        </is>
      </c>
      <c r="C2648" t="n">
        <v>3506</v>
      </c>
      <c r="D2648" t="inlineStr">
        <is>
          <t>Emerald Group Publishing</t>
        </is>
      </c>
    </row>
    <row r="2649">
      <c r="A2649" t="inlineStr">
        <is>
          <t>Zagreb International Review of Economics and Business</t>
        </is>
      </c>
      <c r="B2649" t="inlineStr">
        <is>
          <t>C</t>
        </is>
      </c>
      <c r="C2649" t="n">
        <v>3801</v>
      </c>
      <c r="D2649" t="inlineStr">
        <is>
          <t>Sciendo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2026-10-27T17:40:26Z</dcterms:created>
  <dcterms:modified xmlns:dcterms="http://purl.org/dc/terms/" xmlns:xsi="http://www.w3.org/2001/XMLSchema-instance" xsi:type="dcterms:W3CDTF">2026-10-27T17:40:26Z</dcterms:modified>
</cp:coreProperties>
</file>