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How to use" sheetId="2" state="visible" r:id="rId4"/>
    <sheet name="Papers" sheetId="3" state="visible" r:id="rId5"/>
    <sheet name="Submissions" sheetId="4" state="visible" r:id="rId6"/>
    <sheet name="Calc" sheetId="5" state="visible" r:id="rId7"/>
  </sheets>
  <definedNames>
    <definedName function="false" hidden="false" localSheetId="0" name="_xlnm.Print_Area" vbProcedure="false">Dashboard!$A$1:$N$59</definedName>
    <definedName function="false" hidden="true" localSheetId="2" name="_xlnm._FilterDatabase" vbProcedure="false">Papers!$A$1:$M$81</definedName>
    <definedName function="false" hidden="true" localSheetId="3" name="_xlnm._FilterDatabase" vbProcedure="false">Submissions!$A$1:$I$1000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<sst xmlns="http://schemas.openxmlformats.org/spreadsheetml/2006/main" count="946" uniqueCount="379">
  <si>
    <t xml:space="preserve">Research submissions</t>
  </si>
  <si>
    <t xml:space="preserve">Chase editor after (days):</t>
  </si>
  <si>
    <t xml:space="preserve">PAPERS TRACKED</t>
  </si>
  <si>
    <t xml:space="preserve">WAITING ON YOU</t>
  </si>
  <si>
    <t xml:space="preserve">UNDER REVIEW</t>
  </si>
  <si>
    <t xml:space="preserve">REVISIONS DUE</t>
  </si>
  <si>
    <t xml:space="preserve">SUBMISSIONS SENT</t>
  </si>
  <si>
    <t xml:space="preserve">ACCEPTED</t>
  </si>
  <si>
    <t xml:space="preserve">excl. closed, parked, published</t>
  </si>
  <si>
    <t xml:space="preserve">to (re)submit or revise</t>
  </si>
  <si>
    <t xml:space="preserve">with a journal now</t>
  </si>
  <si>
    <t xml:space="preserve">decision: revise &amp; resubmit</t>
  </si>
  <si>
    <t xml:space="preserve">Waiting on you</t>
  </si>
  <si>
    <t xml:space="preserve">PAPER</t>
  </si>
  <si>
    <t xml:space="preserve">STAGE</t>
  </si>
  <si>
    <t xml:space="preserve">LAST JOURNAL TRIED</t>
  </si>
  <si>
    <t xml:space="preserve">IDLE (DAYS)</t>
  </si>
  <si>
    <t xml:space="preserve">NEXT IN QUEUE</t>
  </si>
  <si>
    <t xml:space="preserve">Under review now</t>
  </si>
  <si>
    <t xml:space="preserve">JOURNAL</t>
  </si>
  <si>
    <t xml:space="preserve">SUBMITTED</t>
  </si>
  <si>
    <t xml:space="preserve">DAYS</t>
  </si>
  <si>
    <t xml:space="preserve">CHECK</t>
  </si>
  <si>
    <t xml:space="preserve">Pipeline and activity</t>
  </si>
  <si>
    <t xml:space="preserve">How to use this workbook</t>
  </si>
  <si>
    <t xml:space="preserve">The idea</t>
  </si>
  <si>
    <t xml:space="preserve">Two sheets hold the data. Everything on the Dashboard is calculated from them. You never edit the Dashboard.</t>
  </si>
  <si>
    <t xml:space="preserve">Papers sheet</t>
  </si>
  <si>
    <t xml:space="preserve">One row per paper. Short name is the key that links to Submissions, so keep it unique. Stage is calculated. Use ‘Override’ only to mark a paper Closed – rejected (no plan to resubmit), Parked, Withdrawn or Published. Those drop off the ‘Waiting on you’ list.</t>
  </si>
  <si>
    <t xml:space="preserve">Submissions sheet</t>
  </si>
  <si>
    <t xml:space="preserve">One row per attempt at a journal. Pick the paper, type the journal, set the status and the dates. Add new rows at the bottom, in any order.</t>
  </si>
  <si>
    <t xml:space="preserve">When you submit a paper</t>
  </si>
  <si>
    <t xml:space="preserve">Add a row (or change a ‘Planned’ row to ‘Under review’): Status = Under review, Date submitted = today.</t>
  </si>
  <si>
    <t xml:space="preserve">When a decision arrives</t>
  </si>
  <si>
    <t xml:space="preserve">Change Status (Rejected, Revision requested, Accepted…) and fill Date of decision. A rejected paper moves to ‘Needs resubmission’ on the Dashboard straight away.</t>
  </si>
  <si>
    <t xml:space="preserve">When you revise and resubmit</t>
  </si>
  <si>
    <t xml:space="preserve">Set the old row to ‘Revision resubmitted’ and add a new row for the revised version with Status = Under review.</t>
  </si>
  <si>
    <t xml:space="preserve">When you retitle a paper</t>
  </si>
  <si>
    <t xml:space="preserve">Update Current title on Papers. Put the old title in the Notes, or in ‘Title used’ on the Submissions row.</t>
  </si>
  <si>
    <t xml:space="preserve">Queue of next journals</t>
  </si>
  <si>
    <t xml:space="preserve">Add rows with Status = Planned and no dates, in the order you want to try them. The first Planned row shows up as ‘Next in queue’.</t>
  </si>
  <si>
    <t xml:space="preserve">A new paper</t>
  </si>
  <si>
    <t xml:space="preserve">Add a row on Papers (up to row 81). Then it appears in the Paper dropdown on Submissions.</t>
  </si>
  <si>
    <t xml:space="preserve">Stages</t>
  </si>
  <si>
    <t xml:space="preserve">Revision due: a journal asked for a revision.  Needs resubmission: no journal has it right now.  Not yet submitted: never sent out.  Under review: with a journal.  Accepted.</t>
  </si>
  <si>
    <t xml:space="preserve">Days idle</t>
  </si>
  <si>
    <t xml:space="preserve">Days since the last decision on a paper that no journal currently holds. Amber at 60+, red at 180+.</t>
  </si>
  <si>
    <t xml:space="preserve">Chase editor</t>
  </si>
  <si>
    <t xml:space="preserve">Set the number of days in the Dashboard (top right, default 90). Submissions waiting longer are flagged; at twice that they’re marked overdue.</t>
  </si>
  <si>
    <t xml:space="preserve">Date cells</t>
  </si>
  <si>
    <t xml:space="preserve">Statuses and dates are the only things that matter. Anything with a date but no matching status won’t be counted.</t>
  </si>
  <si>
    <t xml:space="preserve">Paper (short name, must be unique)</t>
  </si>
  <si>
    <t xml:space="preserve">Current title</t>
  </si>
  <si>
    <t xml:space="preserve">Authors</t>
  </si>
  <si>
    <t xml:space="preserve">Type</t>
  </si>
  <si>
    <t xml:space="preserve">Override (optional)</t>
  </si>
  <si>
    <t xml:space="preserve">Stage</t>
  </si>
  <si>
    <t xml:space="preserve">Last journal tried</t>
  </si>
  <si>
    <t xml:space="preserve">Last decision</t>
  </si>
  <si>
    <t xml:space="preserve">Next journal in queue</t>
  </si>
  <si>
    <t xml:space="preserve">Submissions sent</t>
  </si>
  <si>
    <t xml:space="preserve">Rejections</t>
  </si>
  <si>
    <t xml:space="preserve">Notes</t>
  </si>
  <si>
    <t xml:space="preserve">score</t>
  </si>
  <si>
    <t xml:space="preserve">rank</t>
  </si>
  <si>
    <t xml:space="preserve">Death &amp; language: Heidegger–Blanchot</t>
  </si>
  <si>
    <t xml:space="preserve">Death, language, and the limits of communication: Heidegger and Blanchot in dialogue</t>
  </si>
  <si>
    <t xml:space="preserve">Kaushal, S., Guha, A.</t>
  </si>
  <si>
    <t xml:space="preserve">Journal article</t>
  </si>
  <si>
    <t xml:space="preserve">7k words. Earlier title: The Voice of Silence: Heidegger and Blanchot on Death and the Limits of Communication. Your note: Research in Phenomenology first, then Angelaki, then Continental Philosophy Review.</t>
  </si>
  <si>
    <t xml:space="preserve">‘One dies’: Blanchot &amp; organizational speech</t>
  </si>
  <si>
    <t xml:space="preserve">‘One dies’: Blanchot, the impossibility of death and the unworking of organizational speech</t>
  </si>
  <si>
    <t xml:space="preserve">Derrida hauntology &amp; memory ethics</t>
  </si>
  <si>
    <t xml:space="preserve">The Time That Obligates: Derrida, Levinas, and a Hauntological Ethics of Memory</t>
  </si>
  <si>
    <t xml:space="preserve">Earlier titles: The Specter of Time: Tracing Derrida’s Hauntology… | The Ghosts of Time – Derrida’s Spectral Logic and the Haunting of Historical Presence | Spectral memory, différance, and the ethics of unfinished histories | Derrida, Hauntology, and the Temporal Ethics of Memory</t>
  </si>
  <si>
    <t xml:space="preserve">Cockroach Spoke Back (Instagram, irony)</t>
  </si>
  <si>
    <t xml:space="preserve">When the Cockroach Spoke Back: Satirical Citizenship, Irony, and the Limits of Platform Politics</t>
  </si>
  <si>
    <t xml:space="preserve">Cockroaches, Not Citizens (CDA)</t>
  </si>
  <si>
    <t xml:space="preserve">Cockroaches, Not Citizens: A Critical-Generational-Socio-Cognitive Discourse Analysis of Delegitimization of India’s Cockroach Janta Party</t>
  </si>
  <si>
    <t xml:space="preserve">Distributed securitization (India SIR)</t>
  </si>
  <si>
    <t xml:space="preserve">Distributed securitization: threat and procedure in India’s Special Intensive Revision of electoral rolls</t>
  </si>
  <si>
    <t xml:space="preserve">Bullshit without a bullshitter (GenAI)</t>
  </si>
  <si>
    <t xml:space="preserve">Bullshit Without a Bullshitter: Generative AI, Uptake, and the Organizational Laundering of Indifference to Truth</t>
  </si>
  <si>
    <t xml:space="preserve">From Devta to Musafir (EPW)</t>
  </si>
  <si>
    <t xml:space="preserve">From Devta to Musafir</t>
  </si>
  <si>
    <t xml:space="preserve">EPW / short piece</t>
  </si>
  <si>
    <t xml:space="preserve">Closed – rejected</t>
  </si>
  <si>
    <t xml:space="preserve">Algorithmic silence &amp; org. power</t>
  </si>
  <si>
    <t xml:space="preserve">Algorithmic silence and organizational power: digital erasure and the politics of absence</t>
  </si>
  <si>
    <t xml:space="preserve">Earlier title: The algorithmic vernacular: how AI co-authors organizational language (assumed same paper; split it if not).</t>
  </si>
  <si>
    <t xml:space="preserve">Intentional tacit knowledge hiding (Malawi)</t>
  </si>
  <si>
    <t xml:space="preserve">Intentional Tacit Knowledge Hiding in Public Service: Evidence from Former Principal Secretaries in Malawi</t>
  </si>
  <si>
    <t xml:space="preserve">Nyoni, A.M., Kaushal, S., Kovid, R.K., Guha, A.</t>
  </si>
  <si>
    <t xml:space="preserve">Other titles used: …in Public Sector Leadership: Risks for Governance and Succession | …and its Implications: Evidence from Public Sector Leadership</t>
  </si>
  <si>
    <t xml:space="preserve">From Medium to Interlocutor (GenAI)</t>
  </si>
  <si>
    <t xml:space="preserve">From Medium to Interlocutor: Reconfiguring Communication, Agency, and Power in the Age of Generative AI</t>
  </si>
  <si>
    <t xml:space="preserve">Guha, A., Kaushal, S.</t>
  </si>
  <si>
    <t xml:space="preserve">Earlier title: The Algorithmic Interlocutor: Reconceptualizing AI as a Communicative Actor in Human Interaction</t>
  </si>
  <si>
    <t xml:space="preserve">Right to the Secret (Blanchot–Heidegger)</t>
  </si>
  <si>
    <t xml:space="preserve">Right to the Secret (Blanchot, Heidegger)</t>
  </si>
  <si>
    <t xml:space="preserve">Organizational Silence (lit review)</t>
  </si>
  <si>
    <t xml:space="preserve">Organizational Silence (literature review)</t>
  </si>
  <si>
    <t xml:space="preserve">Old sheet numbered this list 1–4 and 7–10 (5 and 6 were missing).</t>
  </si>
  <si>
    <t xml:space="preserve">Farmers’ protest &amp; radical passivity</t>
  </si>
  <si>
    <t xml:space="preserve">Toward a Constructive Protest Communication Framework: Radical Passivity and Ethical Address in the 2020–2021 Indian Farmers’ Protest</t>
  </si>
  <si>
    <t xml:space="preserve">Earlier titles: Farmers’ Protest and the Language of Radical Passivity and Ethics – A Constructive Protest Communication Framework | …An Analytic Framework for Ethical Protest Communication. Word limits: Discourse Studies 8k, Social Movement Studies 8k, Ethics 12k.</t>
  </si>
  <si>
    <t xml:space="preserve">Trust by Design (India engagement)</t>
  </si>
  <si>
    <t xml:space="preserve">Trust by Design: Fixing India’s Engagement Crisis</t>
  </si>
  <si>
    <t xml:space="preserve">Is Leadership Inherently Violent?</t>
  </si>
  <si>
    <t xml:space="preserve">Is Leadership Inherently Violent? Sovereignty, Precarity, and the Ethics of Organizational Authority</t>
  </si>
  <si>
    <t xml:space="preserve">Cosmoceuticals</t>
  </si>
  <si>
    <t xml:space="preserve">Links in the old sheet are kept as journal names where the journal wasn’t written out.</t>
  </si>
  <si>
    <t xml:space="preserve">Enhanced Athletes (EPW Letter)</t>
  </si>
  <si>
    <t xml:space="preserve">Communication Challenges in the Era of Enhanced Athletes</t>
  </si>
  <si>
    <t xml:space="preserve">Faith and the Other (EPW)</t>
  </si>
  <si>
    <t xml:space="preserve">Faith and the Other: Ethical Reflections on Ceremonial Communication</t>
  </si>
  <si>
    <t xml:space="preserve">Coffee with the Machine (EPW)</t>
  </si>
  <si>
    <t xml:space="preserve">Coffee with the Machine: Sipping Meaning from Digital Tributaries</t>
  </si>
  <si>
    <t xml:space="preserve">India’s Workplace Engagement Crisis (EPW)</t>
  </si>
  <si>
    <t xml:space="preserve">India’s Workplace Engagement Crisis</t>
  </si>
  <si>
    <t xml:space="preserve">EPW-only piece; not resubmitted elsewhere</t>
  </si>
  <si>
    <t xml:space="preserve">Paper</t>
  </si>
  <si>
    <t xml:space="preserve">Journal</t>
  </si>
  <si>
    <t xml:space="preserve">Rating / index</t>
  </si>
  <si>
    <t xml:space="preserve">Status</t>
  </si>
  <si>
    <t xml:space="preserve">Date submitted</t>
  </si>
  <si>
    <t xml:space="preserve">Date of decision</t>
  </si>
  <si>
    <t xml:space="preserve">Days</t>
  </si>
  <si>
    <t xml:space="preserve">Title used (if retitled)</t>
  </si>
  <si>
    <t xml:space="preserve">sent</t>
  </si>
  <si>
    <t xml:space="preserve">open</t>
  </si>
  <si>
    <t xml:space="preserve">sub key</t>
  </si>
  <si>
    <t xml:space="preserve">planned row</t>
  </si>
  <si>
    <t xml:space="preserve">open score</t>
  </si>
  <si>
    <t xml:space="preserve">open rank</t>
  </si>
  <si>
    <t xml:space="preserve">Theory, Culture and Society</t>
  </si>
  <si>
    <t xml:space="preserve">A</t>
  </si>
  <si>
    <t xml:space="preserve">Rejected</t>
  </si>
  <si>
    <t xml:space="preserve">Rejected with 6 reviews. ~67 papers/yr</t>
  </si>
  <si>
    <t xml:space="preserve">The Voice of Silence: Heidegger and Blanchot on Death and the Limits of Communication</t>
  </si>
  <si>
    <t xml:space="preserve">Communication Monographs</t>
  </si>
  <si>
    <t xml:space="preserve">Language &amp; Communication</t>
  </si>
  <si>
    <t xml:space="preserve">B</t>
  </si>
  <si>
    <t xml:space="preserve">Philosophy of the Social Sciences</t>
  </si>
  <si>
    <t xml:space="preserve">Journal of Communication</t>
  </si>
  <si>
    <t xml:space="preserve">European Journal of Communication</t>
  </si>
  <si>
    <t xml:space="preserve">Comparative and Continental Philosophy</t>
  </si>
  <si>
    <t xml:space="preserve">Q4</t>
  </si>
  <si>
    <t xml:space="preserve">Under review</t>
  </si>
  <si>
    <t xml:space="preserve">No outcome recorded since submission</t>
  </si>
  <si>
    <t xml:space="preserve">Research in Phenomenology</t>
  </si>
  <si>
    <t xml:space="preserve">SSCI IF 0.48</t>
  </si>
  <si>
    <t xml:space="preserve">Planned</t>
  </si>
  <si>
    <t xml:space="preserve">Your note: try first</t>
  </si>
  <si>
    <t xml:space="preserve">Asian Journal of Communication</t>
  </si>
  <si>
    <t xml:space="preserve">IF 2.5</t>
  </si>
  <si>
    <t xml:space="preserve">Critical Horizons</t>
  </si>
  <si>
    <t xml:space="preserve">Q2</t>
  </si>
  <si>
    <t xml:space="preserve">Mortality (Death and Dying), T&amp;F</t>
  </si>
  <si>
    <t xml:space="preserve">Q1</t>
  </si>
  <si>
    <t xml:space="preserve">Journal of the British Society for Phenomenology (JBSP)</t>
  </si>
  <si>
    <t xml:space="preserve">Eidos: A Journal for Philosophy of Culture</t>
  </si>
  <si>
    <t xml:space="preserve">Communications: The European Journal of Communication Research</t>
  </si>
  <si>
    <t xml:space="preserve">Organization</t>
  </si>
  <si>
    <t xml:space="preserve">Human Relations</t>
  </si>
  <si>
    <t xml:space="preserve">A*</t>
  </si>
  <si>
    <t xml:space="preserve">Philosophy &amp; Social Criticism</t>
  </si>
  <si>
    <t xml:space="preserve">Time and Society</t>
  </si>
  <si>
    <t xml:space="preserve">The Specter of Time: Tracing Derrida’s Hauntology and the Spectral Interruptions of Linear Temporality</t>
  </si>
  <si>
    <t xml:space="preserve">Philosophy of the Social Sciences (Sage)</t>
  </si>
  <si>
    <t xml:space="preserve">~26 papers/yr</t>
  </si>
  <si>
    <t xml:space="preserve">Ethics: an international journal of social, political, and legal philosophy</t>
  </si>
  <si>
    <t xml:space="preserve">Critical Quarterly (Wiley)</t>
  </si>
  <si>
    <t xml:space="preserve">43% acceptance</t>
  </si>
  <si>
    <t xml:space="preserve">History of European Ideas</t>
  </si>
  <si>
    <t xml:space="preserve">46% acceptance</t>
  </si>
  <si>
    <t xml:space="preserve">Qualitative Inquiry (Sage)</t>
  </si>
  <si>
    <t xml:space="preserve">Q1, SSCI IF 1.4</t>
  </si>
  <si>
    <t xml:space="preserve">~150 papers/yr; 29% acceptance</t>
  </si>
  <si>
    <t xml:space="preserve">The Ghosts of Time – Derrida’s Spectral Logic and the Haunting of Historical Presence</t>
  </si>
  <si>
    <t xml:space="preserve">INQUIRY: An Interdisciplinary Journal of Philosophy</t>
  </si>
  <si>
    <t xml:space="preserve">SSCI</t>
  </si>
  <si>
    <t xml:space="preserve">28% acceptance</t>
  </si>
  <si>
    <t xml:space="preserve">Philosophical Explorations</t>
  </si>
  <si>
    <t xml:space="preserve">Journal of Contemporary European Studies</t>
  </si>
  <si>
    <t xml:space="preserve">Continental Philosophy Review</t>
  </si>
  <si>
    <t xml:space="preserve">Global Philosophy</t>
  </si>
  <si>
    <t xml:space="preserve">Memory Studies</t>
  </si>
  <si>
    <t xml:space="preserve">~94 papers/yr</t>
  </si>
  <si>
    <t xml:space="preserve">Spectral memory, différance, and the ethics of unfinished histories</t>
  </si>
  <si>
    <t xml:space="preserve">Orbis Litterarum</t>
  </si>
  <si>
    <t xml:space="preserve">Journal for Cultural Research</t>
  </si>
  <si>
    <t xml:space="preserve">Rejected with reviews. ~26 papers/yr. Submitted by Kaushal, S.</t>
  </si>
  <si>
    <t xml:space="preserve">European Journal of Cultural Studies (Sage)</t>
  </si>
  <si>
    <t xml:space="preserve">SSCI IF 1.9</t>
  </si>
  <si>
    <t xml:space="preserve">Derrida, Hauntology, and the Temporal Ethics of Memory</t>
  </si>
  <si>
    <t xml:space="preserve">Resubmitted under new title</t>
  </si>
  <si>
    <t xml:space="preserve">Sociological Inquiry (Wiley)</t>
  </si>
  <si>
    <t xml:space="preserve">37% acceptance; ~40 papers/yr</t>
  </si>
  <si>
    <t xml:space="preserve">~90 papers/yr</t>
  </si>
  <si>
    <t xml:space="preserve">Angelaki</t>
  </si>
  <si>
    <t xml:space="preserve">~69 papers/yr</t>
  </si>
  <si>
    <t xml:space="preserve">Ethos</t>
  </si>
  <si>
    <t xml:space="preserve">42% acceptance</t>
  </si>
  <si>
    <t xml:space="preserve">Theoria</t>
  </si>
  <si>
    <t xml:space="preserve">The Southern Journal of Philosophy</t>
  </si>
  <si>
    <t xml:space="preserve">22% acceptance</t>
  </si>
  <si>
    <t xml:space="preserve">Journal of Social Philosophy</t>
  </si>
  <si>
    <t xml:space="preserve">17% acceptance</t>
  </si>
  <si>
    <t xml:space="preserve">Theoretical Studies in Literature and Art</t>
  </si>
  <si>
    <t xml:space="preserve">Conatus – Journal of Philosophy</t>
  </si>
  <si>
    <t xml:space="preserve">~40 papers/yr</t>
  </si>
  <si>
    <t xml:space="preserve">Oxford Literary Review</t>
  </si>
  <si>
    <t xml:space="preserve">The Sociological Review</t>
  </si>
  <si>
    <t xml:space="preserve">Social Science Information</t>
  </si>
  <si>
    <t xml:space="preserve">C</t>
  </si>
  <si>
    <t xml:space="preserve">Contemporary Sociology</t>
  </si>
  <si>
    <t xml:space="preserve">The Social Science Journal</t>
  </si>
  <si>
    <t xml:space="preserve">History and Theory</t>
  </si>
  <si>
    <t xml:space="preserve">Human Studies</t>
  </si>
  <si>
    <t xml:space="preserve">Studies in East European Thought</t>
  </si>
  <si>
    <t xml:space="preserve">Social Semiotics</t>
  </si>
  <si>
    <t xml:space="preserve">Journal of the Philosophy of History</t>
  </si>
  <si>
    <t xml:space="preserve">History &amp; Memory</t>
  </si>
  <si>
    <t xml:space="preserve">Journal of Philosophical Research (pdcnet.org/jpr)</t>
  </si>
  <si>
    <t xml:space="preserve">Asian Journal of Philosophy</t>
  </si>
  <si>
    <t xml:space="preserve">Rethinking History</t>
  </si>
  <si>
    <t xml:space="preserve">SSCI IF 1</t>
  </si>
  <si>
    <t xml:space="preserve">EPW: Engage</t>
  </si>
  <si>
    <t xml:space="preserve">When the Cockroach Spoke Back: Instagram, Irony and Youth Politics in India</t>
  </si>
  <si>
    <t xml:space="preserve">Media, Culture &amp; Society</t>
  </si>
  <si>
    <t xml:space="preserve">Discourse &amp; Society</t>
  </si>
  <si>
    <t xml:space="preserve">Information, Communication &amp; Society</t>
  </si>
  <si>
    <t xml:space="preserve">Discourse &amp; Communication</t>
  </si>
  <si>
    <t xml:space="preserve">Alternatives: Global, Local, Political</t>
  </si>
  <si>
    <t xml:space="preserve">Political Communication</t>
  </si>
  <si>
    <t xml:space="preserve">Security Studies</t>
  </si>
  <si>
    <t xml:space="preserve">Highlighted yellow in the old sheet with no date. If already submitted, change status and add date.</t>
  </si>
  <si>
    <t xml:space="preserve">Academy of Management Review</t>
  </si>
  <si>
    <t xml:space="preserve">FT50</t>
  </si>
  <si>
    <t xml:space="preserve">Outcome date not in old sheet; assumed 6 Oct when the next submission started</t>
  </si>
  <si>
    <t xml:space="preserve">Journal of Management Studies</t>
  </si>
  <si>
    <t xml:space="preserve">EPW: Postscript</t>
  </si>
  <si>
    <t xml:space="preserve">Organization Studies</t>
  </si>
  <si>
    <t xml:space="preserve">The algorithmic vernacular: how AI co-authors organizational language</t>
  </si>
  <si>
    <t xml:space="preserve">Overlaps with the row above in the old sheet</t>
  </si>
  <si>
    <t xml:space="preserve">Rejected with 3 reviews</t>
  </si>
  <si>
    <t xml:space="preserve">Organization: the critical journal of organization, theory and society</t>
  </si>
  <si>
    <t xml:space="preserve">Returned by office</t>
  </si>
  <si>
    <t xml:space="preserve">Returned due to cover letter</t>
  </si>
  <si>
    <t xml:space="preserve">Information and Organization</t>
  </si>
  <si>
    <t xml:space="preserve">Qualitative Research in Organizations and Management</t>
  </si>
  <si>
    <t xml:space="preserve">Passed initial checks 13-Feb; reviews received at editor’s office 4-Apr; rejected with reviews</t>
  </si>
  <si>
    <t xml:space="preserve">Organization Theory</t>
  </si>
  <si>
    <t xml:space="preserve">Research in the Sociology of Organizations</t>
  </si>
  <si>
    <t xml:space="preserve">New Technology, Work and Employment</t>
  </si>
  <si>
    <t xml:space="preserve">Already tried Feb-26 (rejected). Listed again in old sheet; check.</t>
  </si>
  <si>
    <t xml:space="preserve">Journal of Management Inquiry</t>
  </si>
  <si>
    <t xml:space="preserve">Culture and Organization</t>
  </si>
  <si>
    <t xml:space="preserve">Knowledge Management Research &amp; Practice</t>
  </si>
  <si>
    <t xml:space="preserve">Old sheet: out for review to 10-Jul-24, then ‘Reviews for revision’ to 16-Nov-24. Check final outcome. ~70 papers/yr</t>
  </si>
  <si>
    <t xml:space="preserve">Journal of Knowledge Management</t>
  </si>
  <si>
    <t xml:space="preserve">VINE Journal of Information and Knowledge Management Systems</t>
  </si>
  <si>
    <t xml:space="preserve">International Journal of Public Sector Management</t>
  </si>
  <si>
    <t xml:space="preserve">Old sheet: ‘Scope for resubmission’ (highlighted)</t>
  </si>
  <si>
    <t xml:space="preserve">International Journal of Information Management</t>
  </si>
  <si>
    <t xml:space="preserve">Intentional Tacit Knowledge Hiding and its Implications: Evidence from Public Sector Leadership</t>
  </si>
  <si>
    <t xml:space="preserve">Public Management Review</t>
  </si>
  <si>
    <t xml:space="preserve">Marked ‘Resubmitted’ on 9-Jul-25. ~100 papers/yr</t>
  </si>
  <si>
    <t xml:space="preserve">Intentional Tacit Knowledge Hiding in Public Sector Leadership: Risks for Governance and Succession</t>
  </si>
  <si>
    <t xml:space="preserve">Review of Public Personnel Administration</t>
  </si>
  <si>
    <t xml:space="preserve">Public Personnel Management</t>
  </si>
  <si>
    <t xml:space="preserve">Qualitative Research in Organizations and Management (QROM)</t>
  </si>
  <si>
    <t xml:space="preserve">Global Knowledge, Memory and Communication</t>
  </si>
  <si>
    <t xml:space="preserve">Returned by editorial office: ethical consideration statement needed</t>
  </si>
  <si>
    <t xml:space="preserve">Resubmitted with ethics statement</t>
  </si>
  <si>
    <t xml:space="preserve">Group &amp; Organization Management</t>
  </si>
  <si>
    <t xml:space="preserve">Journal of African Business</t>
  </si>
  <si>
    <t xml:space="preserve">Personnel Review</t>
  </si>
  <si>
    <t xml:space="preserve">Business Information Review</t>
  </si>
  <si>
    <t xml:space="preserve">The Algorithmic Interlocutor: Reconceptualizing AI as a Communicative Actor in Human Interaction</t>
  </si>
  <si>
    <t xml:space="preserve">Communication Theory</t>
  </si>
  <si>
    <t xml:space="preserve">Journal of Information, Communication and Ethics in Society</t>
  </si>
  <si>
    <t xml:space="preserve">Old sheet had outcome 17-Sep, a day before submission; set to same day. Please check.</t>
  </si>
  <si>
    <t xml:space="preserve">Journal of Computer-Mediated Communication</t>
  </si>
  <si>
    <t xml:space="preserve">SSCI IF 7.4</t>
  </si>
  <si>
    <t xml:space="preserve">5-year IF 11</t>
  </si>
  <si>
    <t xml:space="preserve">Communication Research</t>
  </si>
  <si>
    <t xml:space="preserve">Ethics and Information Technology</t>
  </si>
  <si>
    <t xml:space="preserve">Philosophy of Management</t>
  </si>
  <si>
    <t xml:space="preserve">Journal of Business Ethics</t>
  </si>
  <si>
    <t xml:space="preserve">Business Ethics Quarterly</t>
  </si>
  <si>
    <t xml:space="preserve">Employee Relations</t>
  </si>
  <si>
    <t xml:space="preserve">Corporate Communications: An International Journal</t>
  </si>
  <si>
    <t xml:space="preserve">Journal of Communication (Special Issue)</t>
  </si>
  <si>
    <t xml:space="preserve">Was ‘Awaiting reviewer selection’</t>
  </si>
  <si>
    <t xml:space="preserve">12k word limit</t>
  </si>
  <si>
    <t xml:space="preserve">Was ‘Awaiting reviewer selection’ 5–13 Aug</t>
  </si>
  <si>
    <t xml:space="preserve">Sociological Inquiry</t>
  </si>
  <si>
    <t xml:space="preserve">37% acceptance</t>
  </si>
  <si>
    <t xml:space="preserve">The Journal of Peasant Studies</t>
  </si>
  <si>
    <t xml:space="preserve">SSCI IF 4.4</t>
  </si>
  <si>
    <t xml:space="preserve">25% acceptance</t>
  </si>
  <si>
    <t xml:space="preserve">Philosophy &amp; Public Affairs</t>
  </si>
  <si>
    <t xml:space="preserve">Poetics</t>
  </si>
  <si>
    <t xml:space="preserve">With editor to 26-Aug, then under review</t>
  </si>
  <si>
    <t xml:space="preserve">Applied Linguistics</t>
  </si>
  <si>
    <t xml:space="preserve">SSCI IF 4.8</t>
  </si>
  <si>
    <t xml:space="preserve">Revision resubmitted</t>
  </si>
  <si>
    <t xml:space="preserve">Awaiting reviewer scores to 7-May-25; major revision 30-Jul-25</t>
  </si>
  <si>
    <t xml:space="preserve">Communication Methods and Measures</t>
  </si>
  <si>
    <t xml:space="preserve">SSCI IF 6.3, Q1</t>
  </si>
  <si>
    <t xml:space="preserve">Journal of Applied Communication Research</t>
  </si>
  <si>
    <t xml:space="preserve">Revised version resubmitted</t>
  </si>
  <si>
    <t xml:space="preserve">Critical Discourse Studies</t>
  </si>
  <si>
    <t xml:space="preserve">Drafted; old sheet had 12-Jun-26 against it</t>
  </si>
  <si>
    <t xml:space="preserve">Discourse Studies</t>
  </si>
  <si>
    <t xml:space="preserve">8k word limit; ~32 papers/yr</t>
  </si>
  <si>
    <t xml:space="preserve">Journal of Communication Management</t>
  </si>
  <si>
    <t xml:space="preserve">31% acceptance; ~30 papers/yr</t>
  </si>
  <si>
    <t xml:space="preserve">Social Movement Studies</t>
  </si>
  <si>
    <t xml:space="preserve">SSCI IF 2.5</t>
  </si>
  <si>
    <t xml:space="preserve">8k word limit; ~70 papers/yr</t>
  </si>
  <si>
    <t xml:space="preserve">Management Communication Quarterly</t>
  </si>
  <si>
    <t xml:space="preserve">Speech Communication</t>
  </si>
  <si>
    <t xml:space="preserve">Drafted</t>
  </si>
  <si>
    <t xml:space="preserve">Critical Asian Studies</t>
  </si>
  <si>
    <t xml:space="preserve">Journal of Social Issues</t>
  </si>
  <si>
    <t xml:space="preserve">International Journal of Strategic Communication</t>
  </si>
  <si>
    <t xml:space="preserve">Applied Linguistics Review</t>
  </si>
  <si>
    <t xml:space="preserve">SSCI IF 2.3</t>
  </si>
  <si>
    <t xml:space="preserve">~100 papers/yr</t>
  </si>
  <si>
    <t xml:space="preserve">Qualitative Inquiry</t>
  </si>
  <si>
    <t xml:space="preserve">SSCI 0.82</t>
  </si>
  <si>
    <t xml:space="preserve">~150 papers/yr. Old sheet had a 11-Oct-24 date here with no submission date; check whether tried.</t>
  </si>
  <si>
    <t xml:space="preserve">Research on Language and Social Interaction</t>
  </si>
  <si>
    <t xml:space="preserve">SSCI IF 3, Q1</t>
  </si>
  <si>
    <t xml:space="preserve">Submission via email</t>
  </si>
  <si>
    <t xml:space="preserve">Communication and Critical/Cultural Studies</t>
  </si>
  <si>
    <t xml:space="preserve">MIT Sloan Management Review</t>
  </si>
  <si>
    <t xml:space="preserve">Journal of Organizational Effectiveness: People and Performance (JOEPP)</t>
  </si>
  <si>
    <t xml:space="preserve">Industrial and Commercial Training</t>
  </si>
  <si>
    <t xml:space="preserve">Strategic HR Review</t>
  </si>
  <si>
    <t xml:space="preserve">Journal of Leadership and Organizational Studies</t>
  </si>
  <si>
    <t xml:space="preserve">The Leadership Quarterly</t>
  </si>
  <si>
    <t xml:space="preserve">Leadership</t>
  </si>
  <si>
    <t xml:space="preserve">Technological Forecasting and Social Change</t>
  </si>
  <si>
    <t xml:space="preserve">Scientometrics</t>
  </si>
  <si>
    <t xml:space="preserve">IEEE Transactions on Engineering Management</t>
  </si>
  <si>
    <t xml:space="preserve">journals.sagepub.com/home/con</t>
  </si>
  <si>
    <t xml:space="preserve">link.springer.com/journal/41287</t>
  </si>
  <si>
    <t xml:space="preserve">meth.psychopen.eu (Methodology)</t>
  </si>
  <si>
    <t xml:space="preserve">tandfonline.com/journals/titd20</t>
  </si>
  <si>
    <t xml:space="preserve">ABDC B</t>
  </si>
  <si>
    <t xml:space="preserve">International Journal of Social Research Methodology</t>
  </si>
  <si>
    <t xml:space="preserve">IF 4.2</t>
  </si>
  <si>
    <t xml:space="preserve">link.springer.com/journal/13755</t>
  </si>
  <si>
    <t xml:space="preserve">SCIE</t>
  </si>
  <si>
    <t xml:space="preserve">Technology in Society</t>
  </si>
  <si>
    <t xml:space="preserve">SSCI IF 12.5</t>
  </si>
  <si>
    <t xml:space="preserve">Old sheet also had ‘ABDC-C’ on this row</t>
  </si>
  <si>
    <t xml:space="preserve">R&amp;D Management</t>
  </si>
  <si>
    <t xml:space="preserve">Social Science &amp; Medicine</t>
  </si>
  <si>
    <t xml:space="preserve">Foresight</t>
  </si>
  <si>
    <t xml:space="preserve">Information Discovery and Delivery</t>
  </si>
  <si>
    <t xml:space="preserve">EPW: Letter</t>
  </si>
  <si>
    <t xml:space="preserve">Old sheet says ‘Acknowledged’ with red fill, treated as closed. Check.</t>
  </si>
  <si>
    <t xml:space="preserve">EPW: Commentary</t>
  </si>
  <si>
    <t xml:space="preserve">Acknowledged 22-Sep-25; actual rejection date not recorded</t>
  </si>
  <si>
    <t xml:space="preserve">Papers</t>
  </si>
  <si>
    <t xml:space="preserve">Quarter start</t>
  </si>
  <si>
    <t xml:space="preserve">Quarter</t>
  </si>
  <si>
    <t xml:space="preserve">Submitted</t>
  </si>
  <si>
    <t xml:space="preserve">Decisions</t>
  </si>
  <si>
    <t xml:space="preserve">Revision due</t>
  </si>
  <si>
    <t xml:space="preserve">Needs resubmission</t>
  </si>
  <si>
    <t xml:space="preserve">Not yet submitted</t>
  </si>
  <si>
    <t xml:space="preserve">Accepted</t>
  </si>
  <si>
    <t xml:space="preserve">Parked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</si>
</sst>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\-yy"/>
    <numFmt numFmtId="167" formatCode="mm/dd/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A44"/>
      <name val="Calibri"/>
      <family val="0"/>
      <charset val="1"/>
    </font>
    <font>
      <sz val="10"/>
      <color rgb="FF6B7280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b val="true"/>
      <sz val="8"/>
      <color rgb="FF6B7280"/>
      <name val="Calibri"/>
      <family val="0"/>
      <charset val="1"/>
    </font>
    <font>
      <b val="true"/>
      <sz val="26"/>
      <color rgb="FF1F2A44"/>
      <name val="Calibri"/>
      <family val="0"/>
      <charset val="1"/>
    </font>
    <font>
      <b val="true"/>
      <sz val="26"/>
      <color rgb="FFB54708"/>
      <name val="Calibri"/>
      <family val="0"/>
      <charset val="1"/>
    </font>
    <font>
      <b val="true"/>
      <sz val="26"/>
      <color rgb="FF1D4ED8"/>
      <name val="Calibri"/>
      <family val="0"/>
      <charset val="1"/>
    </font>
    <font>
      <b val="true"/>
      <sz val="26"/>
      <color rgb="FFB42318"/>
      <name val="Calibri"/>
      <family val="0"/>
      <charset val="1"/>
    </font>
    <font>
      <b val="true"/>
      <sz val="26"/>
      <color rgb="FF05603A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3"/>
      <color rgb="FF1F2A44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9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2A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9CA3A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rgb="FF1F2A44"/>
        <bgColor rgb="FF1F2937"/>
      </patternFill>
    </fill>
    <fill>
      <patternFill patternType="solid">
        <fgColor rgb="FF9CA3AF"/>
        <bgColor rgb="FF9999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/>
      <right/>
      <top/>
      <bottom style="medium">
        <color rgb="FF1F2A44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ont>
        <b val="1"/>
        <color rgb="FFB42318"/>
      </font>
      <fill>
        <patternFill>
          <bgColor rgb="FFFDE2E2"/>
        </patternFill>
      </fill>
    </dxf>
    <dxf>
      <font>
        <b val="1"/>
        <color rgb="FF93370D"/>
      </font>
      <fill>
        <patternFill>
          <bgColor rgb="FFFEF0C7"/>
        </patternFill>
      </fill>
    </dxf>
    <dxf>
      <font>
        <b val="1"/>
        <color rgb="FF5B21B6"/>
      </font>
      <fill>
        <patternFill>
          <bgColor rgb="FFEDE9FE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b val="1"/>
        <color rgb="FF05603A"/>
      </font>
      <fill>
        <patternFill>
          <bgColor rgb="FFD1FADF"/>
        </patternFill>
      </fill>
    </dxf>
    <dxf>
      <font>
        <b val="1"/>
        <color rgb="FF6B7280"/>
      </font>
      <fill>
        <patternFill>
          <bgColor rgb="FFF3F4F6"/>
        </patternFill>
      </fill>
    </dxf>
    <dxf>
      <font>
        <b val="1"/>
        <color rgb="FF6B7280"/>
      </font>
      <fill>
        <patternFill>
          <bgColor rgb="FFEEF0F3"/>
        </patternFill>
      </fill>
    </dxf>
    <dxf>
      <font>
        <b val="1"/>
        <color rgb="FFB42318"/>
      </font>
    </dxf>
    <dxf>
      <font>
        <b val="1"/>
        <color rgb="FF93370D"/>
      </font>
    </dxf>
    <dxf>
      <border diagonalUp="false" diagonalDown="false">
        <left/>
        <right/>
        <top/>
        <bottom style="thin">
          <color rgb="FFE5E7EB"/>
        </bottom>
        <diagonal/>
      </border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93370D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ont>
        <b val="1"/>
        <color rgb="FF7C3AED"/>
      </font>
      <fill>
        <patternFill>
          <bgColor rgb="FFFFFFFF"/>
        </patternFill>
      </fill>
    </dxf>
    <dxf>
      <font>
        <color rgb="FF9CA3AF"/>
      </font>
    </dxf>
    <dxf>
      <border diagonalUp="false" diagonalDown="false">
        <left/>
        <right/>
        <top style="thin">
          <color rgb="FF9CA3AF"/>
        </top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5603A"/>
      <rgbColor rgb="FF000080"/>
      <rgbColor rgb="FF808000"/>
      <rgbColor rgb="FF7C3AED"/>
      <rgbColor rgb="FF008080"/>
      <rgbColor rgb="FFD9D9D9"/>
      <rgbColor rgb="FF878787"/>
      <rgbColor rgb="FF9999FF"/>
      <rgbColor rgb="FFB42318"/>
      <rgbColor rgb="FFFEF0C7"/>
      <rgbColor rgb="FFDBEAFE"/>
      <rgbColor rgb="FF660066"/>
      <rgbColor rgb="FFFF8080"/>
      <rgbColor rgb="FF1D4ED8"/>
      <rgbColor rgb="FFC7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D1FADF"/>
      <rgbColor rgb="FFF9F9F9"/>
      <rgbColor rgb="FFE5E7EB"/>
      <rgbColor rgb="FFF3F4F6"/>
      <rgbColor rgb="FFEDE9FE"/>
      <rgbColor rgb="FFFDE2E2"/>
      <rgbColor rgb="FF3B5BA9"/>
      <rgbColor rgb="FF33CCCC"/>
      <rgbColor rgb="FF99CC00"/>
      <rgbColor rgb="FFFFCC00"/>
      <rgbColor rgb="FFFF9900"/>
      <rgbColor rgb="FFFF6600"/>
      <rgbColor rgb="FF6B7280"/>
      <rgbColor rgb="FF9CA3AF"/>
      <rgbColor rgb="FF1F2A44"/>
      <rgbColor rgb="FF339966"/>
      <rgbColor rgb="FF003300"/>
      <rgbColor rgb="FF333300"/>
      <rgbColor rgb="FF93370D"/>
      <rgbColor rgb="FFB54708"/>
      <rgbColor rgb="FF5B21B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Papers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Papers</c:v>
                </c:pt>
              </c:strCache>
            </c:strRef>
          </c:tx>
          <c:spPr>
            <a:solidFill>
              <a:srgbClr val="3b5b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Revision due</c:v>
                </c:pt>
                <c:pt idx="1">
                  <c:v>Needs resubmission</c:v>
                </c:pt>
                <c:pt idx="2">
                  <c:v>Not yet submitted</c:v>
                </c:pt>
                <c:pt idx="3">
                  <c:v>Under review</c:v>
                </c:pt>
                <c:pt idx="4">
                  <c:v>Accepted</c:v>
                </c:pt>
                <c:pt idx="5">
                  <c:v>Closed – rejected</c:v>
                </c:pt>
                <c:pt idx="6">
                  <c:v>Parked</c:v>
                </c:pt>
              </c:strCache>
            </c:strRef>
          </c:cat>
          <c:val>
            <c:numRef>
              <c:f>Calc!$B$2:$B$8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92511276"/>
        <c:axId val="78669583"/>
      </c:barChart>
      <c:catAx>
        <c:axId val="925112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69583"/>
        <c:crosses val="autoZero"/>
        <c:auto val="1"/>
        <c:lblAlgn val="ctr"/>
        <c:lblOffset val="100"/>
        <c:noMultiLvlLbl val="0"/>
      </c:catAx>
      <c:valAx>
        <c:axId val="78669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1127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Submissions and decisions per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Calc!F1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rgbClr val="3b5b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Calc!$E$2:$E$13</c:f>
              <c:strCache>
                <c:ptCount val="12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  <c:pt idx="11">
                  <c:v>2026 Q4</c:v>
                </c:pt>
              </c:strCache>
            </c:strRef>
          </c:cat>
          <c:val>
            <c:numRef>
              <c:f>Calc!$F$2:$F$13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3</c:v>
                </c:pt>
                <c:pt idx="5">
                  <c:v>18</c:v>
                </c:pt>
                <c:pt idx="6">
                  <c:v>9</c:v>
                </c:pt>
                <c:pt idx="7">
                  <c:v>0</c:v>
                </c:pt>
                <c:pt idx="8">
                  <c:v>6</c:v>
                </c:pt>
                <c:pt idx="9">
                  <c:v>5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</c:ser>
        <c:ser>
          <c:idx val="1"/>
          <c:order val="1"/>
          <c:tx>
            <c:strRef>
              <c:f>Calc!G1</c:f>
              <c:strCache>
                <c:ptCount val="1"/>
                <c:pt idx="0">
                  <c:v>Decisions</c:v>
                </c:pt>
              </c:strCache>
            </c:strRef>
          </c:tx>
          <c:spPr>
            <a:solidFill>
              <a:srgbClr val="c7ce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Calc!$E$2:$E$13</c:f>
              <c:strCache>
                <c:ptCount val="12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  <c:pt idx="11">
                  <c:v>2026 Q4</c:v>
                </c:pt>
              </c:strCache>
            </c:strRef>
          </c:cat>
          <c:val>
            <c:numRef>
              <c:f>Calc!$G$2:$G$13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2</c:v>
                </c:pt>
                <c:pt idx="5">
                  <c:v>14</c:v>
                </c:pt>
                <c:pt idx="6">
                  <c:v>14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</c:ser>
        <c:gapWidth val="50"/>
        <c:overlap val="0"/>
        <c:axId val="39102433"/>
        <c:axId val="46706369"/>
      </c:barChart>
      <c:catAx>
        <c:axId val="39102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6369"/>
        <c:crosses val="autoZero"/>
        <c:auto val="1"/>
        <c:lblAlgn val="ctr"/>
        <c:lblOffset val="100"/>
        <c:noMultiLvlLbl val="0"/>
      </c:catAx>
      <c:valAx>
        <c:axId val="467063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02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5</xdr:col>
      <xdr:colOff>990360</xdr:colOff>
      <xdr:row>55</xdr:row>
      <xdr:rowOff>115200</xdr:rowOff>
    </xdr:to>
    <xdr:graphicFrame>
      <xdr:nvGraphicFramePr>
        <xdr:cNvPr id="0" name="Chart 1"/>
        <xdr:cNvGraphicFramePr/>
      </xdr:nvGraphicFramePr>
      <xdr:xfrm>
        <a:off x="176400" y="11068200"/>
        <a:ext cx="52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11</xdr:col>
      <xdr:colOff>653400</xdr:colOff>
      <xdr:row>55</xdr:row>
      <xdr:rowOff>115200</xdr:rowOff>
    </xdr:to>
    <xdr:graphicFrame>
      <xdr:nvGraphicFramePr>
        <xdr:cNvPr id="1" name="Chart 2"/>
        <xdr:cNvGraphicFramePr/>
      </xdr:nvGraphicFramePr>
      <xdr:xfrm>
        <a:off x="5463000" y="11068200"/>
        <a:ext cx="59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O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5"/>
    <col collapsed="false" customWidth="true" hidden="false" outlineLevel="0" max="14" min="14" style="0" width="2.5"/>
    <col collapsed="false" customWidth="true" hidden="true" outlineLevel="0" max="16" min="15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3" t="str">
        <f aca="true">"As of "&amp;TEXT(TODAY(),"d mmmm yyyy")&amp;"  ·  edit the Submissions and Papers sheets; this page updates itself"</f>
        <v>As of 11 October 2026  ·  edit the Submissions and Papers sheets; this page updates itself</v>
      </c>
      <c r="C3" s="3"/>
      <c r="D3" s="3"/>
      <c r="E3" s="3"/>
      <c r="F3" s="3"/>
      <c r="G3" s="3"/>
      <c r="H3" s="3"/>
      <c r="I3" s="3"/>
      <c r="J3" s="4" t="s">
        <v>1</v>
      </c>
      <c r="K3" s="4"/>
      <c r="L3" s="4"/>
      <c r="M3" s="5" t="n">
        <v>90</v>
      </c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8" hidden="false" customHeight="true" outlineLevel="0" collapsed="false">
      <c r="A5" s="1"/>
      <c r="B5" s="6" t="s">
        <v>2</v>
      </c>
      <c r="C5" s="6"/>
      <c r="D5" s="6" t="s">
        <v>3</v>
      </c>
      <c r="E5" s="6"/>
      <c r="F5" s="6" t="s">
        <v>4</v>
      </c>
      <c r="G5" s="6"/>
      <c r="H5" s="6" t="s">
        <v>5</v>
      </c>
      <c r="I5" s="6"/>
      <c r="J5" s="6" t="s">
        <v>6</v>
      </c>
      <c r="K5" s="6"/>
      <c r="L5" s="6" t="s">
        <v>7</v>
      </c>
      <c r="M5" s="6"/>
      <c r="N5" s="1"/>
    </row>
    <row r="6" customFormat="false" ht="39.75" hidden="false" customHeight="true" outlineLevel="0" collapsed="false">
      <c r="A6" s="1"/>
      <c r="B6" s="7" t="n">
        <f aca="false">COUNTIFS(Papers!$A$2:$A$81,"&lt;&gt;",Papers!$F$2:$F$81,"&lt;&gt;Parked",Papers!$F$2:$F$81,"&lt;&gt;Closed – rejected",Papers!$F$2:$F$81,"&lt;&gt;Withdrawn",Papers!$F$2:$F$81,"&lt;&gt;Published")</f>
        <v>16</v>
      </c>
      <c r="C6" s="7"/>
      <c r="D6" s="8" t="n">
        <f aca="false">COUNTIF(Papers!$F$2:$F$81,"Revision due")+COUNTIF(Papers!$F$2:$F$81,"Needs resubmission")+COUNTIF(Papers!$F$2:$F$81,"Not yet submitted")</f>
        <v>6</v>
      </c>
      <c r="E6" s="8"/>
      <c r="F6" s="9" t="n">
        <f aca="false">COUNTIF(Papers!$F$2:$F$81,"Under review")</f>
        <v>10</v>
      </c>
      <c r="G6" s="9"/>
      <c r="H6" s="10" t="n">
        <f aca="false">COUNTIF(Papers!$F$2:$F$81,"Revision due")</f>
        <v>0</v>
      </c>
      <c r="I6" s="10"/>
      <c r="J6" s="7" t="n">
        <f aca="false">SUM(Submissions!$J$2:$J$1000)</f>
        <v>84</v>
      </c>
      <c r="K6" s="7"/>
      <c r="L6" s="11" t="n">
        <f aca="false">COUNTIF(Submissions!$D$2:$D$1000,"Accepted")</f>
        <v>0</v>
      </c>
      <c r="M6" s="11"/>
      <c r="N6" s="1"/>
    </row>
    <row r="7" customFormat="false" ht="18" hidden="false" customHeight="true" outlineLevel="0" collapsed="false">
      <c r="A7" s="1"/>
      <c r="B7" s="12" t="s">
        <v>8</v>
      </c>
      <c r="C7" s="12"/>
      <c r="D7" s="12" t="s">
        <v>9</v>
      </c>
      <c r="E7" s="12"/>
      <c r="F7" s="12" t="s">
        <v>10</v>
      </c>
      <c r="G7" s="12"/>
      <c r="H7" s="12" t="s">
        <v>11</v>
      </c>
      <c r="I7" s="12"/>
      <c r="J7" s="12" t="str">
        <f aca="false">COUNTIFS(Submissions!$D$2:$D$1000,"Rejected")+COUNTIFS(Submissions!$D$2:$D$1000,"Returned by office")&amp;" rejected or returned"</f>
        <v>73 rejected or returned</v>
      </c>
      <c r="K7" s="12"/>
      <c r="L7" s="12" t="str">
        <f aca="false">"avg "&amp;IFERROR(ROUND(AVERAGEIFS(Submissions!$G$2:$G$1000,Submissions!$F$2:$F$1000,"&lt;&gt;",Submissions!$J$2:$J$1000,1),0),"–")&amp;" days to a decision"</f>
        <v>avg 36 days to a decision</v>
      </c>
      <c r="M7" s="12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24" hidden="false" customHeight="true" outlineLevel="0" collapsed="false">
      <c r="A9" s="1"/>
      <c r="B9" s="13" t="s">
        <v>12</v>
      </c>
      <c r="C9" s="13"/>
      <c r="D9" s="13"/>
      <c r="E9" s="13"/>
      <c r="F9" s="13"/>
      <c r="G9" s="13"/>
      <c r="H9" s="14" t="str">
        <f aca="false">IF(COUNT(Papers!$O$2:$O$81)&gt;12,"showing top 12 of "&amp;COUNT(Papers!$O$2:$O$81),"longest-idle first")</f>
        <v>longest-idle first</v>
      </c>
      <c r="I9" s="14"/>
      <c r="J9" s="14"/>
      <c r="K9" s="14"/>
      <c r="L9" s="14"/>
      <c r="M9" s="14"/>
      <c r="N9" s="1"/>
    </row>
    <row r="10" customFormat="false" ht="19.5" hidden="false" customHeight="true" outlineLevel="0" collapsed="false">
      <c r="A10" s="1"/>
      <c r="B10" s="15" t="s">
        <v>13</v>
      </c>
      <c r="C10" s="15"/>
      <c r="D10" s="15"/>
      <c r="E10" s="15" t="s">
        <v>14</v>
      </c>
      <c r="F10" s="15" t="s">
        <v>15</v>
      </c>
      <c r="G10" s="15"/>
      <c r="H10" s="15"/>
      <c r="I10" s="16" t="s">
        <v>16</v>
      </c>
      <c r="J10" s="15" t="s">
        <v>17</v>
      </c>
      <c r="K10" s="15"/>
      <c r="L10" s="15"/>
      <c r="M10" s="15"/>
      <c r="N10" s="1"/>
    </row>
    <row r="11" customFormat="false" ht="21" hidden="false" customHeight="true" outlineLevel="0" collapsed="false">
      <c r="A11" s="1"/>
      <c r="B11" s="17" t="str">
        <f aca="false">IF($O11="","",INDEX(Papers!$A$2:$A$81,$O11)&amp;"")</f>
        <v>Trust by Design (India engagement)</v>
      </c>
      <c r="C11" s="17"/>
      <c r="D11" s="17"/>
      <c r="E11" s="18" t="str">
        <f aca="false">IF($O11="","",INDEX(Papers!$F$2:$F$81,$O11)&amp;"")</f>
        <v>Needs resubmission</v>
      </c>
      <c r="F11" s="19" t="str">
        <f aca="false">IF($O11="","",INDEX(Papers!$G$2:$G$81,$O11)&amp;"")</f>
        <v>Industrial and Commercial Training</v>
      </c>
      <c r="G11" s="19"/>
      <c r="H11" s="19"/>
      <c r="I11" s="20" t="n">
        <f aca="false">IF($O11="","",INDEX(Papers!$I$2:$I$81,$O11))</f>
        <v>439</v>
      </c>
      <c r="J11" s="19" t="str">
        <f aca="false">IF($O11="","",INDEX(Papers!$J$2:$J$81,$O11)&amp;"")</f>
        <v>Strategic HR Review</v>
      </c>
      <c r="K11" s="19"/>
      <c r="L11" s="19"/>
      <c r="M11" s="19"/>
      <c r="N11" s="1"/>
      <c r="O11" s="21" t="n">
        <f aca="false">IFERROR(MATCH(1,Papers!$O$2:$O$81,0),"")</f>
        <v>15</v>
      </c>
    </row>
    <row r="12" customFormat="false" ht="21" hidden="false" customHeight="true" outlineLevel="0" collapsed="false">
      <c r="A12" s="1"/>
      <c r="B12" s="17" t="str">
        <f aca="false">IF($O12="","",INDEX(Papers!$A$2:$A$81,$O12)&amp;"")</f>
        <v>Cockroach Spoke Back (Instagram, irony)</v>
      </c>
      <c r="C12" s="17"/>
      <c r="D12" s="17"/>
      <c r="E12" s="18" t="str">
        <f aca="false">IF($O12="","",INDEX(Papers!$F$2:$F$81,$O12)&amp;"")</f>
        <v>Needs resubmission</v>
      </c>
      <c r="F12" s="19" t="str">
        <f aca="false">IF($O12="","",INDEX(Papers!$G$2:$G$81,$O12)&amp;"")</f>
        <v>Media, Culture &amp; Society</v>
      </c>
      <c r="G12" s="19"/>
      <c r="H12" s="19"/>
      <c r="I12" s="20" t="n">
        <f aca="false">IF($O12="","",INDEX(Papers!$I$2:$I$81,$O12))</f>
        <v>102</v>
      </c>
      <c r="J12" s="19" t="str">
        <f aca="false">IF($O12="","",INDEX(Papers!$J$2:$J$81,$O12)&amp;"")</f>
        <v/>
      </c>
      <c r="K12" s="19"/>
      <c r="L12" s="19"/>
      <c r="M12" s="19"/>
      <c r="N12" s="1"/>
      <c r="O12" s="21" t="n">
        <f aca="false">IFERROR(MATCH(2,Papers!$O$2:$O$81,0),"")</f>
        <v>4</v>
      </c>
    </row>
    <row r="13" customFormat="false" ht="21" hidden="false" customHeight="true" outlineLevel="0" collapsed="false">
      <c r="A13" s="1"/>
      <c r="B13" s="17" t="str">
        <f aca="false">IF($O13="","",INDEX(Papers!$A$2:$A$81,$O13)&amp;"")</f>
        <v>From Medium to Interlocutor (GenAI)</v>
      </c>
      <c r="C13" s="17"/>
      <c r="D13" s="17"/>
      <c r="E13" s="18" t="str">
        <f aca="false">IF($O13="","",INDEX(Papers!$F$2:$F$81,$O13)&amp;"")</f>
        <v>Needs resubmission</v>
      </c>
      <c r="F13" s="19" t="str">
        <f aca="false">IF($O13="","",INDEX(Papers!$G$2:$G$81,$O13)&amp;"")</f>
        <v>Information, Communication &amp; Society</v>
      </c>
      <c r="G13" s="19"/>
      <c r="H13" s="19"/>
      <c r="I13" s="20" t="n">
        <f aca="false">IF($O13="","",INDEX(Papers!$I$2:$I$81,$O13))</f>
        <v>1</v>
      </c>
      <c r="J13" s="19" t="str">
        <f aca="false">IF($O13="","",INDEX(Papers!$J$2:$J$81,$O13)&amp;"")</f>
        <v>Journal of Computer-Mediated Communication</v>
      </c>
      <c r="K13" s="19"/>
      <c r="L13" s="19"/>
      <c r="M13" s="19"/>
      <c r="N13" s="1"/>
      <c r="O13" s="21" t="n">
        <f aca="false">IFERROR(MATCH(3,Papers!$O$2:$O$81,0),"")</f>
        <v>11</v>
      </c>
    </row>
    <row r="14" customFormat="false" ht="21" hidden="false" customHeight="true" outlineLevel="0" collapsed="false">
      <c r="A14" s="1"/>
      <c r="B14" s="17" t="str">
        <f aca="false">IF($O14="","",INDEX(Papers!$A$2:$A$81,$O14)&amp;"")</f>
        <v>Distributed securitization (India SIR)</v>
      </c>
      <c r="C14" s="17"/>
      <c r="D14" s="17"/>
      <c r="E14" s="18" t="str">
        <f aca="false">IF($O14="","",INDEX(Papers!$F$2:$F$81,$O14)&amp;"")</f>
        <v>Not yet submitted</v>
      </c>
      <c r="F14" s="19" t="str">
        <f aca="false">IF($O14="","",INDEX(Papers!$G$2:$G$81,$O14)&amp;"")</f>
        <v/>
      </c>
      <c r="G14" s="19"/>
      <c r="H14" s="19"/>
      <c r="I14" s="20" t="str">
        <f aca="false">IF($O14="","",INDEX(Papers!$I$2:$I$81,$O14))</f>
        <v/>
      </c>
      <c r="J14" s="19" t="str">
        <f aca="false">IF($O14="","",INDEX(Papers!$J$2:$J$81,$O14)&amp;"")</f>
        <v>Security Studies</v>
      </c>
      <c r="K14" s="19"/>
      <c r="L14" s="19"/>
      <c r="M14" s="19"/>
      <c r="N14" s="1"/>
      <c r="O14" s="21" t="n">
        <f aca="false">IFERROR(MATCH(4,Papers!$O$2:$O$81,0),"")</f>
        <v>6</v>
      </c>
    </row>
    <row r="15" customFormat="false" ht="21" hidden="false" customHeight="true" outlineLevel="0" collapsed="false">
      <c r="A15" s="1"/>
      <c r="B15" s="17" t="str">
        <f aca="false">IF($O15="","",INDEX(Papers!$A$2:$A$81,$O15)&amp;"")</f>
        <v>Right to the Secret (Blanchot–Heidegger)</v>
      </c>
      <c r="C15" s="17"/>
      <c r="D15" s="17"/>
      <c r="E15" s="18" t="str">
        <f aca="false">IF($O15="","",INDEX(Papers!$F$2:$F$81,$O15)&amp;"")</f>
        <v>Not yet submitted</v>
      </c>
      <c r="F15" s="19" t="str">
        <f aca="false">IF($O15="","",INDEX(Papers!$G$2:$G$81,$O15)&amp;"")</f>
        <v/>
      </c>
      <c r="G15" s="19"/>
      <c r="H15" s="19"/>
      <c r="I15" s="20" t="str">
        <f aca="false">IF($O15="","",INDEX(Papers!$I$2:$I$81,$O15))</f>
        <v/>
      </c>
      <c r="J15" s="19" t="str">
        <f aca="false">IF($O15="","",INDEX(Papers!$J$2:$J$81,$O15)&amp;"")</f>
        <v>Philosophy of Management</v>
      </c>
      <c r="K15" s="19"/>
      <c r="L15" s="19"/>
      <c r="M15" s="19"/>
      <c r="N15" s="1"/>
      <c r="O15" s="21" t="n">
        <f aca="false">IFERROR(MATCH(5,Papers!$O$2:$O$81,0),"")</f>
        <v>12</v>
      </c>
    </row>
    <row r="16" customFormat="false" ht="21" hidden="false" customHeight="true" outlineLevel="0" collapsed="false">
      <c r="A16" s="1"/>
      <c r="B16" s="17" t="str">
        <f aca="false">IF($O16="","",INDEX(Papers!$A$2:$A$81,$O16)&amp;"")</f>
        <v>Organizational Silence (lit review)</v>
      </c>
      <c r="C16" s="17"/>
      <c r="D16" s="17"/>
      <c r="E16" s="18" t="str">
        <f aca="false">IF($O16="","",INDEX(Papers!$F$2:$F$81,$O16)&amp;"")</f>
        <v>Not yet submitted</v>
      </c>
      <c r="F16" s="19" t="str">
        <f aca="false">IF($O16="","",INDEX(Papers!$G$2:$G$81,$O16)&amp;"")</f>
        <v/>
      </c>
      <c r="G16" s="19"/>
      <c r="H16" s="19"/>
      <c r="I16" s="20" t="str">
        <f aca="false">IF($O16="","",INDEX(Papers!$I$2:$I$81,$O16))</f>
        <v/>
      </c>
      <c r="J16" s="19" t="str">
        <f aca="false">IF($O16="","",INDEX(Papers!$J$2:$J$81,$O16)&amp;"")</f>
        <v>Journal of Information, Communication and Ethics in Society</v>
      </c>
      <c r="K16" s="19"/>
      <c r="L16" s="19"/>
      <c r="M16" s="19"/>
      <c r="N16" s="1"/>
      <c r="O16" s="21" t="n">
        <f aca="false">IFERROR(MATCH(6,Papers!$O$2:$O$81,0),"")</f>
        <v>13</v>
      </c>
    </row>
    <row r="17" customFormat="false" ht="21" hidden="false" customHeight="true" outlineLevel="0" collapsed="false">
      <c r="A17" s="1"/>
      <c r="B17" s="17" t="str">
        <f aca="false">IF($O17="","",INDEX(Papers!$A$2:$A$81,$O17)&amp;"")</f>
        <v/>
      </c>
      <c r="C17" s="17"/>
      <c r="D17" s="17"/>
      <c r="E17" s="18" t="str">
        <f aca="false">IF($O17="","",INDEX(Papers!$F$2:$F$81,$O17)&amp;"")</f>
        <v/>
      </c>
      <c r="F17" s="19" t="str">
        <f aca="false">IF($O17="","",INDEX(Papers!$G$2:$G$81,$O17)&amp;"")</f>
        <v/>
      </c>
      <c r="G17" s="19"/>
      <c r="H17" s="19"/>
      <c r="I17" s="20" t="str">
        <f aca="false">IF($O17="","",INDEX(Papers!$I$2:$I$81,$O17))</f>
        <v/>
      </c>
      <c r="J17" s="19" t="str">
        <f aca="false">IF($O17="","",INDEX(Papers!$J$2:$J$81,$O17)&amp;"")</f>
        <v/>
      </c>
      <c r="K17" s="19"/>
      <c r="L17" s="19"/>
      <c r="M17" s="19"/>
      <c r="N17" s="1"/>
      <c r="O17" s="0" t="str">
        <f aca="false">IFERROR(MATCH(7,Papers!$O$2:$O$81,0),"")</f>
        <v/>
      </c>
    </row>
    <row r="18" customFormat="false" ht="21" hidden="false" customHeight="true" outlineLevel="0" collapsed="false">
      <c r="A18" s="1"/>
      <c r="B18" s="17" t="str">
        <f aca="false">IF($O18="","",INDEX(Papers!$A$2:$A$81,$O18)&amp;"")</f>
        <v/>
      </c>
      <c r="C18" s="17"/>
      <c r="D18" s="17"/>
      <c r="E18" s="18" t="str">
        <f aca="false">IF($O18="","",INDEX(Papers!$F$2:$F$81,$O18)&amp;"")</f>
        <v/>
      </c>
      <c r="F18" s="19" t="str">
        <f aca="false">IF($O18="","",INDEX(Papers!$G$2:$G$81,$O18)&amp;"")</f>
        <v/>
      </c>
      <c r="G18" s="19"/>
      <c r="H18" s="19"/>
      <c r="I18" s="20" t="str">
        <f aca="false">IF($O18="","",INDEX(Papers!$I$2:$I$81,$O18))</f>
        <v/>
      </c>
      <c r="J18" s="19" t="str">
        <f aca="false">IF($O18="","",INDEX(Papers!$J$2:$J$81,$O18)&amp;"")</f>
        <v/>
      </c>
      <c r="K18" s="19"/>
      <c r="L18" s="19"/>
      <c r="M18" s="19"/>
      <c r="N18" s="1"/>
      <c r="O18" s="0" t="str">
        <f aca="false">IFERROR(MATCH(8,Papers!$O$2:$O$81,0),"")</f>
        <v/>
      </c>
    </row>
    <row r="19" customFormat="false" ht="21" hidden="false" customHeight="true" outlineLevel="0" collapsed="false">
      <c r="A19" s="1"/>
      <c r="B19" s="17" t="str">
        <f aca="false">IF($O19="","",INDEX(Papers!$A$2:$A$81,$O19)&amp;"")</f>
        <v/>
      </c>
      <c r="C19" s="17"/>
      <c r="D19" s="17"/>
      <c r="E19" s="18" t="str">
        <f aca="false">IF($O19="","",INDEX(Papers!$F$2:$F$81,$O19)&amp;"")</f>
        <v/>
      </c>
      <c r="F19" s="19" t="str">
        <f aca="false">IF($O19="","",INDEX(Papers!$G$2:$G$81,$O19)&amp;"")</f>
        <v/>
      </c>
      <c r="G19" s="19"/>
      <c r="H19" s="19"/>
      <c r="I19" s="20" t="str">
        <f aca="false">IF($O19="","",INDEX(Papers!$I$2:$I$81,$O19))</f>
        <v/>
      </c>
      <c r="J19" s="19" t="str">
        <f aca="false">IF($O19="","",INDEX(Papers!$J$2:$J$81,$O19)&amp;"")</f>
        <v/>
      </c>
      <c r="K19" s="19"/>
      <c r="L19" s="19"/>
      <c r="M19" s="19"/>
      <c r="N19" s="1"/>
      <c r="O19" s="0" t="str">
        <f aca="false">IFERROR(MATCH(9,Papers!$O$2:$O$81,0),"")</f>
        <v/>
      </c>
    </row>
    <row r="20" customFormat="false" ht="21" hidden="false" customHeight="true" outlineLevel="0" collapsed="false">
      <c r="A20" s="1"/>
      <c r="B20" s="17" t="str">
        <f aca="false">IF($O20="","",INDEX(Papers!$A$2:$A$81,$O20)&amp;"")</f>
        <v/>
      </c>
      <c r="C20" s="17"/>
      <c r="D20" s="17"/>
      <c r="E20" s="18" t="str">
        <f aca="false">IF($O20="","",INDEX(Papers!$F$2:$F$81,$O20)&amp;"")</f>
        <v/>
      </c>
      <c r="F20" s="19" t="str">
        <f aca="false">IF($O20="","",INDEX(Papers!$G$2:$G$81,$O20)&amp;"")</f>
        <v/>
      </c>
      <c r="G20" s="19"/>
      <c r="H20" s="19"/>
      <c r="I20" s="20" t="str">
        <f aca="false">IF($O20="","",INDEX(Papers!$I$2:$I$81,$O20))</f>
        <v/>
      </c>
      <c r="J20" s="19" t="str">
        <f aca="false">IF($O20="","",INDEX(Papers!$J$2:$J$81,$O20)&amp;"")</f>
        <v/>
      </c>
      <c r="K20" s="19"/>
      <c r="L20" s="19"/>
      <c r="M20" s="19"/>
      <c r="N20" s="1"/>
      <c r="O20" s="0" t="str">
        <f aca="false">IFERROR(MATCH(10,Papers!$O$2:$O$81,0),"")</f>
        <v/>
      </c>
    </row>
    <row r="21" customFormat="false" ht="21" hidden="false" customHeight="true" outlineLevel="0" collapsed="false">
      <c r="A21" s="1"/>
      <c r="B21" s="17" t="str">
        <f aca="false">IF($O21="","",INDEX(Papers!$A$2:$A$81,$O21)&amp;"")</f>
        <v/>
      </c>
      <c r="C21" s="17"/>
      <c r="D21" s="17"/>
      <c r="E21" s="18" t="str">
        <f aca="false">IF($O21="","",INDEX(Papers!$F$2:$F$81,$O21)&amp;"")</f>
        <v/>
      </c>
      <c r="F21" s="19" t="str">
        <f aca="false">IF($O21="","",INDEX(Papers!$G$2:$G$81,$O21)&amp;"")</f>
        <v/>
      </c>
      <c r="G21" s="19"/>
      <c r="H21" s="19"/>
      <c r="I21" s="20" t="str">
        <f aca="false">IF($O21="","",INDEX(Papers!$I$2:$I$81,$O21))</f>
        <v/>
      </c>
      <c r="J21" s="19" t="str">
        <f aca="false">IF($O21="","",INDEX(Papers!$J$2:$J$81,$O21)&amp;"")</f>
        <v/>
      </c>
      <c r="K21" s="19"/>
      <c r="L21" s="19"/>
      <c r="M21" s="19"/>
      <c r="N21" s="1"/>
      <c r="O21" s="0" t="str">
        <f aca="false">IFERROR(MATCH(11,Papers!$O$2:$O$81,0),"")</f>
        <v/>
      </c>
    </row>
    <row r="22" customFormat="false" ht="21" hidden="false" customHeight="true" outlineLevel="0" collapsed="false">
      <c r="A22" s="1"/>
      <c r="B22" s="17" t="str">
        <f aca="false">IF($O22="","",INDEX(Papers!$A$2:$A$81,$O22)&amp;"")</f>
        <v/>
      </c>
      <c r="C22" s="17"/>
      <c r="D22" s="17"/>
      <c r="E22" s="18" t="str">
        <f aca="false">IF($O22="","",INDEX(Papers!$F$2:$F$81,$O22)&amp;"")</f>
        <v/>
      </c>
      <c r="F22" s="19" t="str">
        <f aca="false">IF($O22="","",INDEX(Papers!$G$2:$G$81,$O22)&amp;"")</f>
        <v/>
      </c>
      <c r="G22" s="19"/>
      <c r="H22" s="19"/>
      <c r="I22" s="20" t="str">
        <f aca="false">IF($O22="","",INDEX(Papers!$I$2:$I$81,$O22))</f>
        <v/>
      </c>
      <c r="J22" s="19" t="str">
        <f aca="false">IF($O22="","",INDEX(Papers!$J$2:$J$81,$O22)&amp;"")</f>
        <v/>
      </c>
      <c r="K22" s="19"/>
      <c r="L22" s="19"/>
      <c r="M22" s="19"/>
      <c r="N22" s="1"/>
      <c r="O22" s="0" t="str">
        <f aca="false">IFERROR(MATCH(12,Papers!$O$2:$O$81,0),"")</f>
        <v/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24" hidden="false" customHeight="true" outlineLevel="0" collapsed="false">
      <c r="A24" s="1"/>
      <c r="B24" s="13" t="s">
        <v>18</v>
      </c>
      <c r="C24" s="13"/>
      <c r="D24" s="13"/>
      <c r="E24" s="13"/>
      <c r="F24" s="13"/>
      <c r="G24" s="13"/>
      <c r="H24" s="14" t="str">
        <f aca="false">IF(COUNT(Submissions!$O$2:$O$1000)&gt;14,"showing longest 14 of "&amp;COUNT(Submissions!$O$2:$O$1000),"longest wait first")</f>
        <v>longest wait first</v>
      </c>
      <c r="I24" s="14"/>
      <c r="J24" s="14"/>
      <c r="K24" s="14"/>
      <c r="L24" s="14"/>
      <c r="M24" s="14"/>
      <c r="N24" s="1"/>
    </row>
    <row r="25" customFormat="false" ht="19.5" hidden="false" customHeight="true" outlineLevel="0" collapsed="false">
      <c r="A25" s="1"/>
      <c r="B25" s="15" t="s">
        <v>13</v>
      </c>
      <c r="C25" s="15"/>
      <c r="D25" s="15"/>
      <c r="E25" s="15" t="s">
        <v>19</v>
      </c>
      <c r="F25" s="15"/>
      <c r="G25" s="15"/>
      <c r="H25" s="15"/>
      <c r="I25" s="16" t="s">
        <v>20</v>
      </c>
      <c r="J25" s="16" t="s">
        <v>21</v>
      </c>
      <c r="K25" s="15" t="s">
        <v>22</v>
      </c>
      <c r="L25" s="15"/>
      <c r="M25" s="15"/>
      <c r="N25" s="1"/>
    </row>
    <row r="26" customFormat="false" ht="21" hidden="false" customHeight="true" outlineLevel="0" collapsed="false">
      <c r="A26" s="1"/>
      <c r="B26" s="17" t="str">
        <f aca="false">IF($O26="","",INDEX(Submissions!$A$2:$A$1000,$O26)&amp;"")</f>
        <v>Death &amp; language: Heidegger–Blanchot</v>
      </c>
      <c r="C26" s="17"/>
      <c r="D26" s="17"/>
      <c r="E26" s="19" t="str">
        <f aca="false">IF($O26="","",INDEX(Submissions!$B$2:$B$1000,$O26)&amp;"")</f>
        <v>Comparative and Continental Philosophy</v>
      </c>
      <c r="F26" s="19"/>
      <c r="G26" s="19"/>
      <c r="H26" s="19"/>
      <c r="I26" s="22" t="n">
        <f aca="false">IF($O26="","",INDEX(Submissions!$E$2:$E$1000,$O26))</f>
        <v>45812</v>
      </c>
      <c r="J26" s="20" t="n">
        <f aca="false">IF($O26="","",INDEX(Submissions!$G$2:$G$1000,$O26))</f>
        <v>494</v>
      </c>
      <c r="K26" s="23" t="str">
        <f aca="false">IF($O26="","",IF(J26&gt;=2*$M$3,"Overdue: chase editor",IF(J26&gt;=$M$3,"Check status","")))</f>
        <v>Overdue: chase editor</v>
      </c>
      <c r="L26" s="23"/>
      <c r="M26" s="23"/>
      <c r="N26" s="1"/>
      <c r="O26" s="21" t="n">
        <f aca="false">IFERROR(MATCH(1,Submissions!$O$2:$O$1000,0),"")</f>
        <v>7</v>
      </c>
    </row>
    <row r="27" customFormat="false" ht="21" hidden="false" customHeight="true" outlineLevel="0" collapsed="false">
      <c r="A27" s="1"/>
      <c r="B27" s="17" t="str">
        <f aca="false">IF($O27="","",INDEX(Submissions!$A$2:$A$1000,$O27)&amp;"")</f>
        <v>Farmers’ protest &amp; radical passivity</v>
      </c>
      <c r="C27" s="17"/>
      <c r="D27" s="17"/>
      <c r="E27" s="19" t="str">
        <f aca="false">IF($O27="","",INDEX(Submissions!$B$2:$B$1000,$O27)&amp;"")</f>
        <v>Applied Linguistics</v>
      </c>
      <c r="F27" s="19"/>
      <c r="G27" s="19"/>
      <c r="H27" s="19"/>
      <c r="I27" s="22" t="n">
        <f aca="false">IF($O27="","",INDEX(Submissions!$E$2:$E$1000,$O27))</f>
        <v>46045</v>
      </c>
      <c r="J27" s="20" t="n">
        <f aca="false">IF($O27="","",INDEX(Submissions!$G$2:$G$1000,$O27))</f>
        <v>261</v>
      </c>
      <c r="K27" s="23" t="str">
        <f aca="false">IF($O27="","",IF(J27&gt;=2*$M$3,"Overdue: chase editor",IF(J27&gt;=$M$3,"Check status","")))</f>
        <v>Overdue: chase editor</v>
      </c>
      <c r="L27" s="23"/>
      <c r="M27" s="23"/>
      <c r="N27" s="1"/>
      <c r="O27" s="21" t="n">
        <f aca="false">IFERROR(MATCH(2,Submissions!$O$2:$O$1000,0),"")</f>
        <v>135</v>
      </c>
    </row>
    <row r="28" customFormat="false" ht="21" hidden="false" customHeight="true" outlineLevel="0" collapsed="false">
      <c r="A28" s="1"/>
      <c r="B28" s="17" t="str">
        <f aca="false">IF($O28="","",INDEX(Submissions!$A$2:$A$1000,$O28)&amp;"")</f>
        <v>Algorithmic silence &amp; org. power</v>
      </c>
      <c r="C28" s="17"/>
      <c r="D28" s="17"/>
      <c r="E28" s="19" t="str">
        <f aca="false">IF($O28="","",INDEX(Submissions!$B$2:$B$1000,$O28)&amp;"")</f>
        <v>Organization Theory</v>
      </c>
      <c r="F28" s="19"/>
      <c r="G28" s="19"/>
      <c r="H28" s="19"/>
      <c r="I28" s="22" t="n">
        <f aca="false">IF($O28="","",INDEX(Submissions!$E$2:$E$1000,$O28))</f>
        <v>46153</v>
      </c>
      <c r="J28" s="20" t="n">
        <f aca="false">IF($O28="","",INDEX(Submissions!$G$2:$G$1000,$O28))</f>
        <v>153</v>
      </c>
      <c r="K28" s="23" t="str">
        <f aca="false">IF($O28="","",IF(J28&gt;=2*$M$3,"Overdue: chase editor",IF(J28&gt;=$M$3,"Check status","")))</f>
        <v>Check status</v>
      </c>
      <c r="L28" s="23"/>
      <c r="M28" s="23"/>
      <c r="N28" s="1"/>
      <c r="O28" s="21" t="n">
        <f aca="false">IFERROR(MATCH(3,Submissions!$O$2:$O$1000,0),"")</f>
        <v>78</v>
      </c>
    </row>
    <row r="29" customFormat="false" ht="21" hidden="false" customHeight="true" outlineLevel="0" collapsed="false">
      <c r="A29" s="1"/>
      <c r="B29" s="17" t="str">
        <f aca="false">IF($O29="","",INDEX(Submissions!$A$2:$A$1000,$O29)&amp;"")</f>
        <v>Intentional tacit knowledge hiding (Malawi)</v>
      </c>
      <c r="C29" s="17"/>
      <c r="D29" s="17"/>
      <c r="E29" s="19" t="str">
        <f aca="false">IF($O29="","",INDEX(Submissions!$B$2:$B$1000,$O29)&amp;"")</f>
        <v>Global Knowledge, Memory and Communication</v>
      </c>
      <c r="F29" s="19"/>
      <c r="G29" s="19"/>
      <c r="H29" s="19"/>
      <c r="I29" s="22" t="n">
        <f aca="false">IF($O29="","",INDEX(Submissions!$E$2:$E$1000,$O29))</f>
        <v>46232</v>
      </c>
      <c r="J29" s="20" t="n">
        <f aca="false">IF($O29="","",INDEX(Submissions!$G$2:$G$1000,$O29))</f>
        <v>74</v>
      </c>
      <c r="K29" s="23" t="str">
        <f aca="false">IF($O29="","",IF(J29&gt;=2*$M$3,"Overdue: chase editor",IF(J29&gt;=$M$3,"Check status","")))</f>
        <v/>
      </c>
      <c r="L29" s="23"/>
      <c r="M29" s="23"/>
      <c r="N29" s="1"/>
      <c r="O29" s="21" t="n">
        <f aca="false">IFERROR(MATCH(4,Submissions!$O$2:$O$1000,0),"")</f>
        <v>98</v>
      </c>
    </row>
    <row r="30" customFormat="false" ht="21" hidden="false" customHeight="true" outlineLevel="0" collapsed="false">
      <c r="A30" s="1"/>
      <c r="B30" s="17" t="str">
        <f aca="false">IF($O30="","",INDEX(Submissions!$A$2:$A$1000,$O30)&amp;"")</f>
        <v>Derrida hauntology &amp; memory ethics</v>
      </c>
      <c r="C30" s="17"/>
      <c r="D30" s="17"/>
      <c r="E30" s="19" t="str">
        <f aca="false">IF($O30="","",INDEX(Submissions!$B$2:$B$1000,$O30)&amp;"")</f>
        <v>Time and Society</v>
      </c>
      <c r="F30" s="19"/>
      <c r="G30" s="19"/>
      <c r="H30" s="19"/>
      <c r="I30" s="22" t="n">
        <f aca="false">IF($O30="","",INDEX(Submissions!$E$2:$E$1000,$O30))</f>
        <v>46289</v>
      </c>
      <c r="J30" s="20" t="n">
        <f aca="false">IF($O30="","",INDEX(Submissions!$G$2:$G$1000,$O30))</f>
        <v>17</v>
      </c>
      <c r="K30" s="23" t="str">
        <f aca="false">IF($O30="","",IF(J30&gt;=2*$M$3,"Overdue: chase editor",IF(J30&gt;=$M$3,"Check status","")))</f>
        <v/>
      </c>
      <c r="L30" s="23"/>
      <c r="M30" s="23"/>
      <c r="N30" s="1"/>
      <c r="O30" s="21" t="n">
        <f aca="false">IFERROR(MATCH(5,Submissions!$O$2:$O$1000,0),"")</f>
        <v>34</v>
      </c>
    </row>
    <row r="31" customFormat="false" ht="21" hidden="false" customHeight="true" outlineLevel="0" collapsed="false">
      <c r="A31" s="1"/>
      <c r="B31" s="17" t="str">
        <f aca="false">IF($O31="","",INDEX(Submissions!$A$2:$A$1000,$O31)&amp;"")</f>
        <v>‘One dies’: Blanchot &amp; organizational speech</v>
      </c>
      <c r="C31" s="17"/>
      <c r="D31" s="17"/>
      <c r="E31" s="19" t="str">
        <f aca="false">IF($O31="","",INDEX(Submissions!$B$2:$B$1000,$O31)&amp;"")</f>
        <v>Organization</v>
      </c>
      <c r="F31" s="19"/>
      <c r="G31" s="19"/>
      <c r="H31" s="19"/>
      <c r="I31" s="22" t="n">
        <f aca="false">IF($O31="","",INDEX(Submissions!$E$2:$E$1000,$O31))</f>
        <v>46296</v>
      </c>
      <c r="J31" s="20" t="n">
        <f aca="false">IF($O31="","",INDEX(Submissions!$G$2:$G$1000,$O31))</f>
        <v>10</v>
      </c>
      <c r="K31" s="23" t="str">
        <f aca="false">IF($O31="","",IF(J31&gt;=2*$M$3,"Overdue: chase editor",IF(J31&gt;=$M$3,"Check status","")))</f>
        <v/>
      </c>
      <c r="L31" s="23"/>
      <c r="M31" s="23"/>
      <c r="N31" s="1"/>
      <c r="O31" s="21" t="n">
        <f aca="false">IFERROR(MATCH(6,Submissions!$O$2:$O$1000,0),"")</f>
        <v>15</v>
      </c>
    </row>
    <row r="32" customFormat="false" ht="21" hidden="false" customHeight="true" outlineLevel="0" collapsed="false">
      <c r="A32" s="1"/>
      <c r="B32" s="17" t="str">
        <f aca="false">IF($O32="","",INDEX(Submissions!$A$2:$A$1000,$O32)&amp;"")</f>
        <v>Is Leadership Inherently Violent?</v>
      </c>
      <c r="C32" s="17"/>
      <c r="D32" s="17"/>
      <c r="E32" s="19" t="str">
        <f aca="false">IF($O32="","",INDEX(Submissions!$B$2:$B$1000,$O32)&amp;"")</f>
        <v>Journal of Business Ethics</v>
      </c>
      <c r="F32" s="19"/>
      <c r="G32" s="19"/>
      <c r="H32" s="19"/>
      <c r="I32" s="22" t="n">
        <f aca="false">IF($O32="","",INDEX(Submissions!$E$2:$E$1000,$O32))</f>
        <v>46300</v>
      </c>
      <c r="J32" s="20" t="n">
        <f aca="false">IF($O32="","",INDEX(Submissions!$G$2:$G$1000,$O32))</f>
        <v>6</v>
      </c>
      <c r="K32" s="23" t="str">
        <f aca="false">IF($O32="","",IF(J32&gt;=2*$M$3,"Overdue: chase editor",IF(J32&gt;=$M$3,"Check status","")))</f>
        <v/>
      </c>
      <c r="L32" s="23"/>
      <c r="M32" s="23"/>
      <c r="N32" s="1"/>
      <c r="O32" s="21" t="n">
        <f aca="false">IFERROR(MATCH(7,Submissions!$O$2:$O$1000,0),"")</f>
        <v>160</v>
      </c>
    </row>
    <row r="33" customFormat="false" ht="21" hidden="false" customHeight="true" outlineLevel="0" collapsed="false">
      <c r="A33" s="1"/>
      <c r="B33" s="17" t="str">
        <f aca="false">IF($O33="","",INDEX(Submissions!$A$2:$A$1000,$O33)&amp;"")</f>
        <v>Cockroaches, Not Citizens (CDA)</v>
      </c>
      <c r="C33" s="17"/>
      <c r="D33" s="17"/>
      <c r="E33" s="19" t="str">
        <f aca="false">IF($O33="","",INDEX(Submissions!$B$2:$B$1000,$O33)&amp;"")</f>
        <v>Discourse &amp; Communication</v>
      </c>
      <c r="F33" s="19"/>
      <c r="G33" s="19"/>
      <c r="H33" s="19"/>
      <c r="I33" s="22" t="n">
        <f aca="false">IF($O33="","",INDEX(Submissions!$E$2:$E$1000,$O33))</f>
        <v>46300</v>
      </c>
      <c r="J33" s="20" t="n">
        <f aca="false">IF($O33="","",INDEX(Submissions!$G$2:$G$1000,$O33))</f>
        <v>6</v>
      </c>
      <c r="K33" s="23" t="str">
        <f aca="false">IF($O33="","",IF(J33&gt;=2*$M$3,"Overdue: chase editor",IF(J33&gt;=$M$3,"Check status","")))</f>
        <v/>
      </c>
      <c r="L33" s="23"/>
      <c r="M33" s="23"/>
      <c r="N33" s="1"/>
      <c r="O33" s="21" t="n">
        <f aca="false">IFERROR(MATCH(8,Submissions!$O$2:$O$1000,0),"")</f>
        <v>62</v>
      </c>
    </row>
    <row r="34" customFormat="false" ht="21" hidden="false" customHeight="true" outlineLevel="0" collapsed="false">
      <c r="A34" s="1"/>
      <c r="B34" s="17" t="str">
        <f aca="false">IF($O34="","",INDEX(Submissions!$A$2:$A$1000,$O34)&amp;"")</f>
        <v>Bullshit without a bullshitter (GenAI)</v>
      </c>
      <c r="C34" s="17"/>
      <c r="D34" s="17"/>
      <c r="E34" s="19" t="str">
        <f aca="false">IF($O34="","",INDEX(Submissions!$B$2:$B$1000,$O34)&amp;"")</f>
        <v>Journal of Management Studies</v>
      </c>
      <c r="F34" s="19"/>
      <c r="G34" s="19"/>
      <c r="H34" s="19"/>
      <c r="I34" s="22" t="n">
        <f aca="false">IF($O34="","",INDEX(Submissions!$E$2:$E$1000,$O34))</f>
        <v>46301</v>
      </c>
      <c r="J34" s="20" t="n">
        <f aca="false">IF($O34="","",INDEX(Submissions!$G$2:$G$1000,$O34))</f>
        <v>5</v>
      </c>
      <c r="K34" s="23" t="str">
        <f aca="false">IF($O34="","",IF(J34&gt;=2*$M$3,"Overdue: chase editor",IF(J34&gt;=$M$3,"Check status","")))</f>
        <v/>
      </c>
      <c r="L34" s="23"/>
      <c r="M34" s="23"/>
      <c r="N34" s="1"/>
      <c r="O34" s="21" t="n">
        <f aca="false">IFERROR(MATCH(9,Submissions!$O$2:$O$1000,0),"")</f>
        <v>68</v>
      </c>
    </row>
    <row r="35" customFormat="false" ht="21" hidden="false" customHeight="true" outlineLevel="0" collapsed="false">
      <c r="A35" s="1"/>
      <c r="B35" s="17" t="str">
        <f aca="false">IF($O35="","",INDEX(Submissions!$A$2:$A$1000,$O35)&amp;"")</f>
        <v>Cosmoceuticals</v>
      </c>
      <c r="C35" s="17"/>
      <c r="D35" s="17"/>
      <c r="E35" s="19" t="str">
        <f aca="false">IF($O35="","",INDEX(Submissions!$B$2:$B$1000,$O35)&amp;"")</f>
        <v>IEEE Transactions on Engineering Management</v>
      </c>
      <c r="F35" s="19"/>
      <c r="G35" s="19"/>
      <c r="H35" s="19"/>
      <c r="I35" s="22" t="n">
        <f aca="false">IF($O35="","",INDEX(Submissions!$E$2:$E$1000,$O35))</f>
        <v>46303</v>
      </c>
      <c r="J35" s="20" t="n">
        <f aca="false">IF($O35="","",INDEX(Submissions!$G$2:$G$1000,$O35))</f>
        <v>3</v>
      </c>
      <c r="K35" s="23" t="str">
        <f aca="false">IF($O35="","",IF(J35&gt;=2*$M$3,"Overdue: chase editor",IF(J35&gt;=$M$3,"Check status","")))</f>
        <v/>
      </c>
      <c r="L35" s="23"/>
      <c r="M35" s="23"/>
      <c r="N35" s="1"/>
      <c r="O35" s="21" t="n">
        <f aca="false">IFERROR(MATCH(10,Submissions!$O$2:$O$1000,0),"")</f>
        <v>169</v>
      </c>
    </row>
    <row r="36" customFormat="false" ht="21" hidden="false" customHeight="true" outlineLevel="0" collapsed="false">
      <c r="A36" s="1"/>
      <c r="B36" s="17" t="str">
        <f aca="false">IF($O36="","",INDEX(Submissions!$A$2:$A$1000,$O36)&amp;"")</f>
        <v/>
      </c>
      <c r="C36" s="17"/>
      <c r="D36" s="17"/>
      <c r="E36" s="19" t="str">
        <f aca="false">IF($O36="","",INDEX(Submissions!$B$2:$B$1000,$O36)&amp;"")</f>
        <v/>
      </c>
      <c r="F36" s="19"/>
      <c r="G36" s="19"/>
      <c r="H36" s="19"/>
      <c r="I36" s="22" t="str">
        <f aca="false">IF($O36="","",INDEX(Submissions!$E$2:$E$1000,$O36))</f>
        <v/>
      </c>
      <c r="J36" s="20" t="str">
        <f aca="false">IF($O36="","",INDEX(Submissions!$G$2:$G$1000,$O36))</f>
        <v/>
      </c>
      <c r="K36" s="23" t="str">
        <f aca="false">IF($O36="","",IF(J36&gt;=2*$M$3,"Overdue: chase editor",IF(J36&gt;=$M$3,"Check status","")))</f>
        <v/>
      </c>
      <c r="L36" s="23"/>
      <c r="M36" s="23"/>
      <c r="N36" s="1"/>
      <c r="O36" s="0" t="str">
        <f aca="false">IFERROR(MATCH(11,Submissions!$O$2:$O$1000,0),"")</f>
        <v/>
      </c>
    </row>
    <row r="37" customFormat="false" ht="21" hidden="false" customHeight="true" outlineLevel="0" collapsed="false">
      <c r="A37" s="1"/>
      <c r="B37" s="17" t="str">
        <f aca="false">IF($O37="","",INDEX(Submissions!$A$2:$A$1000,$O37)&amp;"")</f>
        <v/>
      </c>
      <c r="C37" s="17"/>
      <c r="D37" s="17"/>
      <c r="E37" s="19" t="str">
        <f aca="false">IF($O37="","",INDEX(Submissions!$B$2:$B$1000,$O37)&amp;"")</f>
        <v/>
      </c>
      <c r="F37" s="19"/>
      <c r="G37" s="19"/>
      <c r="H37" s="19"/>
      <c r="I37" s="22" t="str">
        <f aca="false">IF($O37="","",INDEX(Submissions!$E$2:$E$1000,$O37))</f>
        <v/>
      </c>
      <c r="J37" s="20" t="str">
        <f aca="false">IF($O37="","",INDEX(Submissions!$G$2:$G$1000,$O37))</f>
        <v/>
      </c>
      <c r="K37" s="23" t="str">
        <f aca="false">IF($O37="","",IF(J37&gt;=2*$M$3,"Overdue: chase editor",IF(J37&gt;=$M$3,"Check status","")))</f>
        <v/>
      </c>
      <c r="L37" s="23"/>
      <c r="M37" s="23"/>
      <c r="N37" s="1"/>
      <c r="O37" s="0" t="str">
        <f aca="false">IFERROR(MATCH(12,Submissions!$O$2:$O$1000,0),"")</f>
        <v/>
      </c>
    </row>
    <row r="38" customFormat="false" ht="21" hidden="false" customHeight="true" outlineLevel="0" collapsed="false">
      <c r="A38" s="1"/>
      <c r="B38" s="17" t="str">
        <f aca="false">IF($O38="","",INDEX(Submissions!$A$2:$A$1000,$O38)&amp;"")</f>
        <v/>
      </c>
      <c r="C38" s="17"/>
      <c r="D38" s="17"/>
      <c r="E38" s="19" t="str">
        <f aca="false">IF($O38="","",INDEX(Submissions!$B$2:$B$1000,$O38)&amp;"")</f>
        <v/>
      </c>
      <c r="F38" s="19"/>
      <c r="G38" s="19"/>
      <c r="H38" s="19"/>
      <c r="I38" s="22" t="str">
        <f aca="false">IF($O38="","",INDEX(Submissions!$E$2:$E$1000,$O38))</f>
        <v/>
      </c>
      <c r="J38" s="20" t="str">
        <f aca="false">IF($O38="","",INDEX(Submissions!$G$2:$G$1000,$O38))</f>
        <v/>
      </c>
      <c r="K38" s="23" t="str">
        <f aca="false">IF($O38="","",IF(J38&gt;=2*$M$3,"Overdue: chase editor",IF(J38&gt;=$M$3,"Check status","")))</f>
        <v/>
      </c>
      <c r="L38" s="23"/>
      <c r="M38" s="23"/>
      <c r="N38" s="1"/>
      <c r="O38" s="0" t="str">
        <f aca="false">IFERROR(MATCH(13,Submissions!$O$2:$O$1000,0),"")</f>
        <v/>
      </c>
    </row>
    <row r="39" customFormat="false" ht="21" hidden="false" customHeight="true" outlineLevel="0" collapsed="false">
      <c r="A39" s="1"/>
      <c r="B39" s="17" t="str">
        <f aca="false">IF($O39="","",INDEX(Submissions!$A$2:$A$1000,$O39)&amp;"")</f>
        <v/>
      </c>
      <c r="C39" s="17"/>
      <c r="D39" s="17"/>
      <c r="E39" s="19" t="str">
        <f aca="false">IF($O39="","",INDEX(Submissions!$B$2:$B$1000,$O39)&amp;"")</f>
        <v/>
      </c>
      <c r="F39" s="19"/>
      <c r="G39" s="19"/>
      <c r="H39" s="19"/>
      <c r="I39" s="22" t="str">
        <f aca="false">IF($O39="","",INDEX(Submissions!$E$2:$E$1000,$O39))</f>
        <v/>
      </c>
      <c r="J39" s="20" t="str">
        <f aca="false">IF($O39="","",INDEX(Submissions!$G$2:$G$1000,$O39))</f>
        <v/>
      </c>
      <c r="K39" s="23" t="str">
        <f aca="false">IF($O39="","",IF(J39&gt;=2*$M$3,"Overdue: chase editor",IF(J39&gt;=$M$3,"Check status","")))</f>
        <v/>
      </c>
      <c r="L39" s="23"/>
      <c r="M39" s="23"/>
      <c r="N39" s="1"/>
      <c r="O39" s="0" t="str">
        <f aca="false">IFERROR(MATCH(14,Submissions!$O$2:$O$1000,0),"")</f>
        <v/>
      </c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24" hidden="false" customHeight="true" outlineLevel="0" collapsed="false">
      <c r="A41" s="1"/>
      <c r="B41" s="13" t="s">
        <v>23</v>
      </c>
      <c r="C41" s="13"/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mergeCells count="111">
    <mergeCell ref="B2:I2"/>
    <mergeCell ref="B3:I3"/>
    <mergeCell ref="J3:L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G9"/>
    <mergeCell ref="H9:M9"/>
    <mergeCell ref="B10:D10"/>
    <mergeCell ref="F10:H10"/>
    <mergeCell ref="J10:M10"/>
    <mergeCell ref="B11:D11"/>
    <mergeCell ref="F11:H11"/>
    <mergeCell ref="J11:M11"/>
    <mergeCell ref="B12:D12"/>
    <mergeCell ref="F12:H12"/>
    <mergeCell ref="J12:M12"/>
    <mergeCell ref="B13:D13"/>
    <mergeCell ref="F13:H13"/>
    <mergeCell ref="J13:M13"/>
    <mergeCell ref="B14:D14"/>
    <mergeCell ref="F14:H14"/>
    <mergeCell ref="J14:M14"/>
    <mergeCell ref="B15:D15"/>
    <mergeCell ref="F15:H15"/>
    <mergeCell ref="J15:M15"/>
    <mergeCell ref="B16:D16"/>
    <mergeCell ref="F16:H16"/>
    <mergeCell ref="J16:M16"/>
    <mergeCell ref="B17:D17"/>
    <mergeCell ref="F17:H17"/>
    <mergeCell ref="J17:M17"/>
    <mergeCell ref="B18:D18"/>
    <mergeCell ref="F18:H18"/>
    <mergeCell ref="J18:M18"/>
    <mergeCell ref="B19:D19"/>
    <mergeCell ref="F19:H19"/>
    <mergeCell ref="J19:M19"/>
    <mergeCell ref="B20:D20"/>
    <mergeCell ref="F20:H20"/>
    <mergeCell ref="J20:M20"/>
    <mergeCell ref="B21:D21"/>
    <mergeCell ref="F21:H21"/>
    <mergeCell ref="J21:M21"/>
    <mergeCell ref="B22:D22"/>
    <mergeCell ref="F22:H22"/>
    <mergeCell ref="J22:M22"/>
    <mergeCell ref="B24:G24"/>
    <mergeCell ref="H24:M24"/>
    <mergeCell ref="B25:D25"/>
    <mergeCell ref="E25:H25"/>
    <mergeCell ref="K25:M25"/>
    <mergeCell ref="B26:D26"/>
    <mergeCell ref="E26:H26"/>
    <mergeCell ref="K26:M26"/>
    <mergeCell ref="B27:D27"/>
    <mergeCell ref="E27:H27"/>
    <mergeCell ref="K27:M27"/>
    <mergeCell ref="B28:D28"/>
    <mergeCell ref="E28:H28"/>
    <mergeCell ref="K28:M28"/>
    <mergeCell ref="B29:D29"/>
    <mergeCell ref="E29:H29"/>
    <mergeCell ref="K29:M29"/>
    <mergeCell ref="B30:D30"/>
    <mergeCell ref="E30:H30"/>
    <mergeCell ref="K30:M30"/>
    <mergeCell ref="B31:D31"/>
    <mergeCell ref="E31:H31"/>
    <mergeCell ref="K31:M31"/>
    <mergeCell ref="B32:D32"/>
    <mergeCell ref="E32:H32"/>
    <mergeCell ref="K32:M32"/>
    <mergeCell ref="B33:D33"/>
    <mergeCell ref="E33:H33"/>
    <mergeCell ref="K33:M33"/>
    <mergeCell ref="B34:D34"/>
    <mergeCell ref="E34:H34"/>
    <mergeCell ref="K34:M34"/>
    <mergeCell ref="B35:D35"/>
    <mergeCell ref="E35:H35"/>
    <mergeCell ref="K35:M35"/>
    <mergeCell ref="B36:D36"/>
    <mergeCell ref="E36:H36"/>
    <mergeCell ref="K36:M36"/>
    <mergeCell ref="B37:D37"/>
    <mergeCell ref="E37:H37"/>
    <mergeCell ref="K37:M37"/>
    <mergeCell ref="B38:D38"/>
    <mergeCell ref="E38:H38"/>
    <mergeCell ref="K38:M38"/>
    <mergeCell ref="B39:D39"/>
    <mergeCell ref="E39:H39"/>
    <mergeCell ref="K39:M39"/>
    <mergeCell ref="B41:G41"/>
    <mergeCell ref="H41:M41"/>
  </mergeCells>
  <conditionalFormatting sqref="E11:E22">
    <cfRule type="expression" priority="2" aboveAverage="0" equalAverage="0" bottom="0" percent="0" rank="0" text="" dxfId="0">
      <formula>$E11="Revision due"</formula>
    </cfRule>
    <cfRule type="expression" priority="3" aboveAverage="0" equalAverage="0" bottom="0" percent="0" rank="0" text="" dxfId="1">
      <formula>$E11="Needs resubmission"</formula>
    </cfRule>
    <cfRule type="expression" priority="4" aboveAverage="0" equalAverage="0" bottom="0" percent="0" rank="0" text="" dxfId="2">
      <formula>$E11="Not yet submitted"</formula>
    </cfRule>
    <cfRule type="expression" priority="5" aboveAverage="0" equalAverage="0" bottom="0" percent="0" rank="0" text="" dxfId="3">
      <formula>$E11="Under review"</formula>
    </cfRule>
    <cfRule type="expression" priority="6" aboveAverage="0" equalAverage="0" bottom="0" percent="0" rank="0" text="" dxfId="4">
      <formula>$E11="Accepted"</formula>
    </cfRule>
    <cfRule type="expression" priority="7" aboveAverage="0" equalAverage="0" bottom="0" percent="0" rank="0" text="" dxfId="5">
      <formula>$E11="Closed – rejected"</formula>
    </cfRule>
    <cfRule type="expression" priority="8" aboveAverage="0" equalAverage="0" bottom="0" percent="0" rank="0" text="" dxfId="6">
      <formula>$E11="Parked"</formula>
    </cfRule>
    <cfRule type="expression" priority="9" aboveAverage="0" equalAverage="0" bottom="0" percent="0" rank="0" text="" dxfId="4">
      <formula>$E11="Published"</formula>
    </cfRule>
    <cfRule type="expression" priority="10" aboveAverage="0" equalAverage="0" bottom="0" percent="0" rank="0" text="" dxfId="6">
      <formula>$E11="Withdrawn"</formula>
    </cfRule>
  </conditionalFormatting>
  <conditionalFormatting sqref="I11:I22">
    <cfRule type="expression" priority="11" aboveAverage="0" equalAverage="0" bottom="0" percent="0" rank="0" text="" dxfId="7">
      <formula>AND(ISNUMBER($I11),$I11&gt;=180)</formula>
    </cfRule>
    <cfRule type="expression" priority="12" aboveAverage="0" equalAverage="0" bottom="0" percent="0" rank="0" text="" dxfId="8">
      <formula>AND(ISNUMBER($I11),$I11&gt;=60)</formula>
    </cfRule>
  </conditionalFormatting>
  <conditionalFormatting sqref="B11:M22">
    <cfRule type="expression" priority="13" aboveAverage="0" equalAverage="0" bottom="0" percent="0" rank="0" text="" dxfId="9">
      <formula>$O11&lt;&gt;""</formula>
    </cfRule>
  </conditionalFormatting>
  <conditionalFormatting sqref="K26:M39">
    <cfRule type="expression" priority="14" aboveAverage="0" equalAverage="0" bottom="0" percent="0" rank="0" text="" dxfId="0">
      <formula>$K26="Overdue: chase editor"</formula>
    </cfRule>
    <cfRule type="expression" priority="15" aboveAverage="0" equalAverage="0" bottom="0" percent="0" rank="0" text="" dxfId="1">
      <formula>$K26="Check status"</formula>
    </cfRule>
  </conditionalFormatting>
  <conditionalFormatting sqref="J26:J39">
    <cfRule type="expression" priority="16" aboveAverage="0" equalAverage="0" bottom="0" percent="0" rank="0" text="" dxfId="7">
      <formula>AND(ISNUMBER($J26),$J26&gt;=2*$M$3)</formula>
    </cfRule>
  </conditionalFormatting>
  <conditionalFormatting sqref="B26:M39">
    <cfRule type="expression" priority="17" aboveAverage="0" equalAverage="0" bottom="0" percent="0" rank="0" text="" dxfId="9">
      <formula>$O26&lt;&gt;""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10"/>
  </cols>
  <sheetData>
    <row r="2" customFormat="false" ht="22.05" hidden="false" customHeight="false" outlineLevel="0" collapsed="false">
      <c r="B2" s="24" t="s">
        <v>24</v>
      </c>
    </row>
    <row r="4" customFormat="false" ht="15" hidden="false" customHeight="false" outlineLevel="0" collapsed="false">
      <c r="B4" s="25" t="s">
        <v>25</v>
      </c>
      <c r="C4" s="26" t="s">
        <v>26</v>
      </c>
    </row>
    <row r="5" customFormat="false" ht="23.85" hidden="false" customHeight="false" outlineLevel="0" collapsed="false">
      <c r="B5" s="25" t="s">
        <v>27</v>
      </c>
      <c r="C5" s="26" t="s">
        <v>28</v>
      </c>
    </row>
    <row r="6" customFormat="false" ht="15" hidden="false" customHeight="false" outlineLevel="0" collapsed="false">
      <c r="B6" s="25" t="s">
        <v>29</v>
      </c>
      <c r="C6" s="26" t="s">
        <v>30</v>
      </c>
    </row>
    <row r="7" customFormat="false" ht="15" hidden="false" customHeight="false" outlineLevel="0" collapsed="false">
      <c r="B7" s="25"/>
      <c r="C7" s="26"/>
    </row>
    <row r="8" customFormat="false" ht="15" hidden="false" customHeight="false" outlineLevel="0" collapsed="false">
      <c r="B8" s="25" t="s">
        <v>31</v>
      </c>
      <c r="C8" s="26" t="s">
        <v>32</v>
      </c>
    </row>
    <row r="9" customFormat="false" ht="23.85" hidden="false" customHeight="false" outlineLevel="0" collapsed="false">
      <c r="B9" s="25" t="s">
        <v>33</v>
      </c>
      <c r="C9" s="26" t="s">
        <v>34</v>
      </c>
    </row>
    <row r="10" customFormat="false" ht="15" hidden="false" customHeight="false" outlineLevel="0" collapsed="false">
      <c r="B10" s="25" t="s">
        <v>35</v>
      </c>
      <c r="C10" s="26" t="s">
        <v>36</v>
      </c>
    </row>
    <row r="11" customFormat="false" ht="15" hidden="false" customHeight="false" outlineLevel="0" collapsed="false">
      <c r="B11" s="25" t="s">
        <v>37</v>
      </c>
      <c r="C11" s="26" t="s">
        <v>38</v>
      </c>
    </row>
    <row r="12" customFormat="false" ht="15" hidden="false" customHeight="false" outlineLevel="0" collapsed="false">
      <c r="B12" s="25" t="s">
        <v>39</v>
      </c>
      <c r="C12" s="26" t="s">
        <v>40</v>
      </c>
    </row>
    <row r="13" customFormat="false" ht="15" hidden="false" customHeight="false" outlineLevel="0" collapsed="false">
      <c r="B13" s="25" t="s">
        <v>41</v>
      </c>
      <c r="C13" s="26" t="s">
        <v>42</v>
      </c>
    </row>
    <row r="14" customFormat="false" ht="15" hidden="false" customHeight="false" outlineLevel="0" collapsed="false">
      <c r="B14" s="25"/>
      <c r="C14" s="26"/>
    </row>
    <row r="15" customFormat="false" ht="23.85" hidden="false" customHeight="false" outlineLevel="0" collapsed="false">
      <c r="B15" s="25" t="s">
        <v>43</v>
      </c>
      <c r="C15" s="26" t="s">
        <v>44</v>
      </c>
    </row>
    <row r="16" customFormat="false" ht="15" hidden="false" customHeight="false" outlineLevel="0" collapsed="false">
      <c r="B16" s="25" t="s">
        <v>45</v>
      </c>
      <c r="C16" s="26" t="s">
        <v>46</v>
      </c>
    </row>
    <row r="17" customFormat="false" ht="15" hidden="false" customHeight="false" outlineLevel="0" collapsed="false">
      <c r="B17" s="25" t="s">
        <v>47</v>
      </c>
      <c r="C17" s="26" t="s">
        <v>48</v>
      </c>
    </row>
    <row r="18" customFormat="false" ht="15" hidden="false" customHeight="false" outlineLevel="0" collapsed="false">
      <c r="B18" s="25" t="s">
        <v>49</v>
      </c>
      <c r="C18" s="2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2" min="11" style="0" width="11"/>
    <col collapsed="false" customWidth="true" hidden="false" outlineLevel="0" max="13" min="13" style="0" width="70"/>
    <col collapsed="false" customWidth="true" hidden="true" outlineLevel="1" max="15" min="14" style="0" width="7"/>
  </cols>
  <sheetData>
    <row r="1" customFormat="false" ht="27.75" hidden="false" customHeight="true" outlineLevel="0" collapsed="false">
      <c r="A1" s="27" t="s">
        <v>51</v>
      </c>
      <c r="B1" s="27" t="s">
        <v>52</v>
      </c>
      <c r="C1" s="27" t="s">
        <v>53</v>
      </c>
      <c r="D1" s="27" t="s">
        <v>54</v>
      </c>
      <c r="E1" s="27" t="s">
        <v>55</v>
      </c>
      <c r="F1" s="27" t="s">
        <v>56</v>
      </c>
      <c r="G1" s="27" t="s">
        <v>57</v>
      </c>
      <c r="H1" s="27" t="s">
        <v>58</v>
      </c>
      <c r="I1" s="27" t="s">
        <v>45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63</v>
      </c>
      <c r="O1" s="28" t="s">
        <v>64</v>
      </c>
    </row>
    <row r="2" customFormat="false" ht="30" hidden="false" customHeight="true" outlineLevel="0" collapsed="false">
      <c r="A2" s="29" t="s">
        <v>65</v>
      </c>
      <c r="B2" s="30" t="s">
        <v>66</v>
      </c>
      <c r="C2" s="29" t="s">
        <v>67</v>
      </c>
      <c r="D2" s="29" t="s">
        <v>68</v>
      </c>
      <c r="E2" s="29"/>
      <c r="F2" s="29" t="str">
        <f aca="false">IF($A2="","",IF($E2&lt;&gt;"",$E2,IF(COUNTIFS(Submissions!$A$2:$A$1000,$A2,Submissions!$D$2:$D$1000,"Accepted")&gt;0,"Accepted",IF(COUNTIFS(Submissions!$A$2:$A$1000,$A2,Submissions!$D$2:$D$1000,"Revision requested")&gt;0,"Revision due",IF(COUNTIFS(Submissions!$A$2:$A$1000,$A2,Submissions!$D$2:$D$1000,"Under review")&gt;0,"Under review",IF($K2&gt;0,"Needs resubmission","Not yet submitted"))))))</f>
        <v>Under review</v>
      </c>
      <c r="G2" s="29" t="str">
        <f aca="false">IF($A2="","",IFERROR(INDEX(Submissions!$B$2:$B$1000,MATCH(_xlfn.MAXIFS(Submissions!$L$2:$L$1000,Submissions!$A$2:$A$1000,$A2),Submissions!$L$2:$L$1000,0)),""))</f>
        <v>Comparative and Continental Philosophy</v>
      </c>
      <c r="H2" s="31" t="n">
        <f aca="false">IF($A2="","",IF(_xlfn.MAXIFS(Submissions!$F$2:$F$1000,Submissions!$A$2:$A$1000,$A2)=0,"",_xlfn.MAXIFS(Submissions!$F$2:$F$1000,Submissions!$A$2:$A$1000,$A2)))</f>
        <v>45804</v>
      </c>
      <c r="I2" s="29" t="str">
        <f aca="true">IF($F2="Needs resubmission",IF($H2="","",TODAY()-$H2),"")</f>
        <v/>
      </c>
      <c r="J2" s="29" t="str">
        <f aca="false">IF($A2="","",IF(_xlfn.MINIFS(Submissions!$M$2:$M$1000,Submissions!$A$2:$A$1000,$A2)=0,"",INDEX(Submissions!$B$2:$B$1000,_xlfn.MINIFS(Submissions!$M$2:$M$1000,Submissions!$A$2:$A$1000,$A2)-1)))</f>
        <v>Research in Phenomenology</v>
      </c>
      <c r="K2" s="29" t="n">
        <f aca="false">IF($A2="","",SUMIFS(Submissions!$J$2:$J$1000,Submissions!$A$2:$A$1000,$A2))</f>
        <v>7</v>
      </c>
      <c r="L2" s="29" t="n">
        <f aca="false">IF($A2="","",COUNTIFS(Submissions!$A$2:$A$1000,$A2,Submissions!$D$2:$D$1000,"Rejected")+COUNTIFS(Submissions!$A$2:$A$1000,$A2,Submissions!$D$2:$D$1000,"Returned by office"))</f>
        <v>6</v>
      </c>
      <c r="M2" s="30" t="s">
        <v>69</v>
      </c>
      <c r="N2" s="32" t="str">
        <f aca="false">IF(IF($F2="Revision due",3000,IF($F2="Needs resubmission",2000,IF($F2="Not yet submitted",1000,"")))="","",IF($F2="Revision due",3000,IF($F2="Needs resubmission",2000,IF($F2="Not yet submitted",1000,"")))+IF($I2="",0,MIN($I2,999))+(1000-ROW())/100000)</f>
        <v/>
      </c>
      <c r="O2" s="32" t="str">
        <f aca="false">IF($N2="","",RANK($N2,$N$2:$N$81))</f>
        <v/>
      </c>
    </row>
    <row r="3" customFormat="false" ht="30" hidden="false" customHeight="true" outlineLevel="0" collapsed="false">
      <c r="A3" s="29" t="s">
        <v>70</v>
      </c>
      <c r="B3" s="30" t="s">
        <v>71</v>
      </c>
      <c r="C3" s="29"/>
      <c r="D3" s="29" t="s">
        <v>68</v>
      </c>
      <c r="E3" s="29"/>
      <c r="F3" s="29" t="str">
        <f aca="false">IF($A3="","",IF($E3&lt;&gt;"",$E3,IF(COUNTIFS(Submissions!$A$2:$A$1000,$A3,Submissions!$D$2:$D$1000,"Accepted")&gt;0,"Accepted",IF(COUNTIFS(Submissions!$A$2:$A$1000,$A3,Submissions!$D$2:$D$1000,"Revision requested")&gt;0,"Revision due",IF(COUNTIFS(Submissions!$A$2:$A$1000,$A3,Submissions!$D$2:$D$1000,"Under review")&gt;0,"Under review",IF($K3&gt;0,"Needs resubmission","Not yet submitted"))))))</f>
        <v>Under review</v>
      </c>
      <c r="G3" s="29" t="str">
        <f aca="false">IF($A3="","",IFERROR(INDEX(Submissions!$B$2:$B$1000,MATCH(_xlfn.MAXIFS(Submissions!$L$2:$L$1000,Submissions!$A$2:$A$1000,$A3),Submissions!$L$2:$L$1000,0)),""))</f>
        <v>Organization</v>
      </c>
      <c r="H3" s="31" t="str">
        <f aca="false">IF($A3="","",IF(_xlfn.MAXIFS(Submissions!$F$2:$F$1000,Submissions!$A$2:$A$1000,$A3)=0,"",_xlfn.MAXIFS(Submissions!$F$2:$F$1000,Submissions!$A$2:$A$1000,$A3)))</f>
        <v/>
      </c>
      <c r="I3" s="29" t="str">
        <f aca="true">IF($F3="Needs resubmission",IF($H3="","",TODAY()-$H3),"")</f>
        <v/>
      </c>
      <c r="J3" s="29" t="str">
        <f aca="false">IF($A3="","",IF(_xlfn.MINIFS(Submissions!$M$2:$M$1000,Submissions!$A$2:$A$1000,$A3)=0,"",INDEX(Submissions!$B$2:$B$1000,_xlfn.MINIFS(Submissions!$M$2:$M$1000,Submissions!$A$2:$A$1000,$A3)-1)))</f>
        <v>Human Relations</v>
      </c>
      <c r="K3" s="29" t="n">
        <f aca="false">IF($A3="","",SUMIFS(Submissions!$J$2:$J$1000,Submissions!$A$2:$A$1000,$A3))</f>
        <v>1</v>
      </c>
      <c r="L3" s="29" t="n">
        <f aca="false">IF($A3="","",COUNTIFS(Submissions!$A$2:$A$1000,$A3,Submissions!$D$2:$D$1000,"Rejected")+COUNTIFS(Submissions!$A$2:$A$1000,$A3,Submissions!$D$2:$D$1000,"Returned by office"))</f>
        <v>0</v>
      </c>
      <c r="M3" s="30"/>
      <c r="N3" s="32" t="str">
        <f aca="false">IF(IF($F3="Revision due",3000,IF($F3="Needs resubmission",2000,IF($F3="Not yet submitted",1000,"")))="","",IF($F3="Revision due",3000,IF($F3="Needs resubmission",2000,IF($F3="Not yet submitted",1000,"")))+IF($I3="",0,MIN($I3,999))+(1000-ROW())/100000)</f>
        <v/>
      </c>
      <c r="O3" s="32" t="str">
        <f aca="false">IF($N3="","",RANK($N3,$N$2:$N$81))</f>
        <v/>
      </c>
    </row>
    <row r="4" customFormat="false" ht="30" hidden="false" customHeight="true" outlineLevel="0" collapsed="false">
      <c r="A4" s="29" t="s">
        <v>72</v>
      </c>
      <c r="B4" s="30" t="s">
        <v>73</v>
      </c>
      <c r="C4" s="29" t="s">
        <v>67</v>
      </c>
      <c r="D4" s="29" t="s">
        <v>68</v>
      </c>
      <c r="E4" s="29"/>
      <c r="F4" s="29" t="str">
        <f aca="false">IF($A4="","",IF($E4&lt;&gt;"",$E4,IF(COUNTIFS(Submissions!$A$2:$A$1000,$A4,Submissions!$D$2:$D$1000,"Accepted")&gt;0,"Accepted",IF(COUNTIFS(Submissions!$A$2:$A$1000,$A4,Submissions!$D$2:$D$1000,"Revision requested")&gt;0,"Revision due",IF(COUNTIFS(Submissions!$A$2:$A$1000,$A4,Submissions!$D$2:$D$1000,"Under review")&gt;0,"Under review",IF($K4&gt;0,"Needs resubmission","Not yet submitted"))))))</f>
        <v>Under review</v>
      </c>
      <c r="G4" s="29" t="str">
        <f aca="false">IF($A4="","",IFERROR(INDEX(Submissions!$B$2:$B$1000,MATCH(_xlfn.MAXIFS(Submissions!$L$2:$L$1000,Submissions!$A$2:$A$1000,$A4),Submissions!$L$2:$L$1000,0)),""))</f>
        <v>Time and Society</v>
      </c>
      <c r="H4" s="31" t="n">
        <f aca="false">IF($A4="","",IF(_xlfn.MAXIFS(Submissions!$F$2:$F$1000,Submissions!$A$2:$A$1000,$A4)=0,"",_xlfn.MAXIFS(Submissions!$F$2:$F$1000,Submissions!$A$2:$A$1000,$A4)))</f>
        <v>45867</v>
      </c>
      <c r="I4" s="29" t="str">
        <f aca="true">IF($F4="Needs resubmission",IF($H4="","",TODAY()-$H4),"")</f>
        <v/>
      </c>
      <c r="J4" s="29" t="str">
        <f aca="false">IF($A4="","",IF(_xlfn.MINIFS(Submissions!$M$2:$M$1000,Submissions!$A$2:$A$1000,$A4)=0,"",INDEX(Submissions!$B$2:$B$1000,_xlfn.MINIFS(Submissions!$M$2:$M$1000,Submissions!$A$2:$A$1000,$A4)-1)))</f>
        <v>Sociological Inquiry (Wiley)</v>
      </c>
      <c r="K4" s="29" t="n">
        <f aca="false">IF($A4="","",SUMIFS(Submissions!$J$2:$J$1000,Submissions!$A$2:$A$1000,$A4))</f>
        <v>17</v>
      </c>
      <c r="L4" s="29" t="n">
        <f aca="false">IF($A4="","",COUNTIFS(Submissions!$A$2:$A$1000,$A4,Submissions!$D$2:$D$1000,"Rejected")+COUNTIFS(Submissions!$A$2:$A$1000,$A4,Submissions!$D$2:$D$1000,"Returned by office"))</f>
        <v>16</v>
      </c>
      <c r="M4" s="30" t="s">
        <v>74</v>
      </c>
      <c r="N4" s="32" t="str">
        <f aca="false">IF(IF($F4="Revision due",3000,IF($F4="Needs resubmission",2000,IF($F4="Not yet submitted",1000,"")))="","",IF($F4="Revision due",3000,IF($F4="Needs resubmission",2000,IF($F4="Not yet submitted",1000,"")))+IF($I4="",0,MIN($I4,999))+(1000-ROW())/100000)</f>
        <v/>
      </c>
      <c r="O4" s="32" t="str">
        <f aca="false">IF($N4="","",RANK($N4,$N$2:$N$81))</f>
        <v/>
      </c>
    </row>
    <row r="5" customFormat="false" ht="30" hidden="false" customHeight="true" outlineLevel="0" collapsed="false">
      <c r="A5" s="29" t="s">
        <v>75</v>
      </c>
      <c r="B5" s="30" t="s">
        <v>76</v>
      </c>
      <c r="C5" s="29" t="s">
        <v>67</v>
      </c>
      <c r="D5" s="29" t="s">
        <v>68</v>
      </c>
      <c r="E5" s="29"/>
      <c r="F5" s="29" t="str">
        <f aca="false">IF($A5="","",IF($E5&lt;&gt;"",$E5,IF(COUNTIFS(Submissions!$A$2:$A$1000,$A5,Submissions!$D$2:$D$1000,"Accepted")&gt;0,"Accepted",IF(COUNTIFS(Submissions!$A$2:$A$1000,$A5,Submissions!$D$2:$D$1000,"Revision requested")&gt;0,"Revision due",IF(COUNTIFS(Submissions!$A$2:$A$1000,$A5,Submissions!$D$2:$D$1000,"Under review")&gt;0,"Under review",IF($K5&gt;0,"Needs resubmission","Not yet submitted"))))))</f>
        <v>Needs resubmission</v>
      </c>
      <c r="G5" s="29" t="str">
        <f aca="false">IF($A5="","",IFERROR(INDEX(Submissions!$B$2:$B$1000,MATCH(_xlfn.MAXIFS(Submissions!$L$2:$L$1000,Submissions!$A$2:$A$1000,$A5),Submissions!$L$2:$L$1000,0)),""))</f>
        <v>Media, Culture &amp; Society</v>
      </c>
      <c r="H5" s="31" t="n">
        <f aca="false">IF($A5="","",IF(_xlfn.MAXIFS(Submissions!$F$2:$F$1000,Submissions!$A$2:$A$1000,$A5)=0,"",_xlfn.MAXIFS(Submissions!$F$2:$F$1000,Submissions!$A$2:$A$1000,$A5)))</f>
        <v>46204</v>
      </c>
      <c r="I5" s="29" t="n">
        <f aca="true">IF($F5="Needs resubmission",IF($H5="","",TODAY()-$H5),"")</f>
        <v>102</v>
      </c>
      <c r="J5" s="29" t="str">
        <f aca="false">IF($A5="","",IF(_xlfn.MINIFS(Submissions!$M$2:$M$1000,Submissions!$A$2:$A$1000,$A5)=0,"",INDEX(Submissions!$B$2:$B$1000,_xlfn.MINIFS(Submissions!$M$2:$M$1000,Submissions!$A$2:$A$1000,$A5)-1)))</f>
        <v/>
      </c>
      <c r="K5" s="29" t="n">
        <f aca="false">IF($A5="","",SUMIFS(Submissions!$J$2:$J$1000,Submissions!$A$2:$A$1000,$A5))</f>
        <v>2</v>
      </c>
      <c r="L5" s="29" t="n">
        <f aca="false">IF($A5="","",COUNTIFS(Submissions!$A$2:$A$1000,$A5,Submissions!$D$2:$D$1000,"Rejected")+COUNTIFS(Submissions!$A$2:$A$1000,$A5,Submissions!$D$2:$D$1000,"Returned by office"))</f>
        <v>2</v>
      </c>
      <c r="M5" s="30"/>
      <c r="N5" s="32" t="n">
        <f aca="false">IF(IF($F5="Revision due",3000,IF($F5="Needs resubmission",2000,IF($F5="Not yet submitted",1000,"")))="","",IF($F5="Revision due",3000,IF($F5="Needs resubmission",2000,IF($F5="Not yet submitted",1000,"")))+IF($I5="",0,MIN($I5,999))+(1000-ROW())/100000)</f>
        <v>2102.00995</v>
      </c>
      <c r="O5" s="32" t="n">
        <f aca="false">IF($N5="","",RANK($N5,$N$2:$N$81))</f>
        <v>2</v>
      </c>
    </row>
    <row r="6" customFormat="false" ht="30" hidden="false" customHeight="true" outlineLevel="0" collapsed="false">
      <c r="A6" s="29" t="s">
        <v>77</v>
      </c>
      <c r="B6" s="30" t="s">
        <v>78</v>
      </c>
      <c r="C6" s="29"/>
      <c r="D6" s="29" t="s">
        <v>68</v>
      </c>
      <c r="E6" s="29"/>
      <c r="F6" s="29" t="str">
        <f aca="false">IF($A6="","",IF($E6&lt;&gt;"",$E6,IF(COUNTIFS(Submissions!$A$2:$A$1000,$A6,Submissions!$D$2:$D$1000,"Accepted")&gt;0,"Accepted",IF(COUNTIFS(Submissions!$A$2:$A$1000,$A6,Submissions!$D$2:$D$1000,"Revision requested")&gt;0,"Revision due",IF(COUNTIFS(Submissions!$A$2:$A$1000,$A6,Submissions!$D$2:$D$1000,"Under review")&gt;0,"Under review",IF($K6&gt;0,"Needs resubmission","Not yet submitted"))))))</f>
        <v>Under review</v>
      </c>
      <c r="G6" s="29" t="str">
        <f aca="false">IF($A6="","",IFERROR(INDEX(Submissions!$B$2:$B$1000,MATCH(_xlfn.MAXIFS(Submissions!$L$2:$L$1000,Submissions!$A$2:$A$1000,$A6),Submissions!$L$2:$L$1000,0)),""))</f>
        <v>Discourse &amp; Communication</v>
      </c>
      <c r="H6" s="31" t="n">
        <f aca="false">IF($A6="","",IF(_xlfn.MAXIFS(Submissions!$F$2:$F$1000,Submissions!$A$2:$A$1000,$A6)=0,"",_xlfn.MAXIFS(Submissions!$F$2:$F$1000,Submissions!$A$2:$A$1000,$A6)))</f>
        <v>46299</v>
      </c>
      <c r="I6" s="29" t="str">
        <f aca="true">IF($F6="Needs resubmission",IF($H6="","",TODAY()-$H6),"")</f>
        <v/>
      </c>
      <c r="J6" s="29" t="str">
        <f aca="false">IF($A6="","",IF(_xlfn.MINIFS(Submissions!$M$2:$M$1000,Submissions!$A$2:$A$1000,$A6)=0,"",INDEX(Submissions!$B$2:$B$1000,_xlfn.MINIFS(Submissions!$M$2:$M$1000,Submissions!$A$2:$A$1000,$A6)-1)))</f>
        <v>Alternatives: Global, Local, Political</v>
      </c>
      <c r="K6" s="29" t="n">
        <f aca="false">IF($A6="","",SUMIFS(Submissions!$J$2:$J$1000,Submissions!$A$2:$A$1000,$A6))</f>
        <v>3</v>
      </c>
      <c r="L6" s="29" t="n">
        <f aca="false">IF($A6="","",COUNTIFS(Submissions!$A$2:$A$1000,$A6,Submissions!$D$2:$D$1000,"Rejected")+COUNTIFS(Submissions!$A$2:$A$1000,$A6,Submissions!$D$2:$D$1000,"Returned by office"))</f>
        <v>2</v>
      </c>
      <c r="M6" s="30"/>
      <c r="N6" s="32" t="str">
        <f aca="false">IF(IF($F6="Revision due",3000,IF($F6="Needs resubmission",2000,IF($F6="Not yet submitted",1000,"")))="","",IF($F6="Revision due",3000,IF($F6="Needs resubmission",2000,IF($F6="Not yet submitted",1000,"")))+IF($I6="",0,MIN($I6,999))+(1000-ROW())/100000)</f>
        <v/>
      </c>
      <c r="O6" s="32" t="str">
        <f aca="false">IF($N6="","",RANK($N6,$N$2:$N$81))</f>
        <v/>
      </c>
    </row>
    <row r="7" customFormat="false" ht="30" hidden="false" customHeight="true" outlineLevel="0" collapsed="false">
      <c r="A7" s="29" t="s">
        <v>79</v>
      </c>
      <c r="B7" s="30" t="s">
        <v>80</v>
      </c>
      <c r="C7" s="29"/>
      <c r="D7" s="29" t="s">
        <v>68</v>
      </c>
      <c r="E7" s="29"/>
      <c r="F7" s="29" t="str">
        <f aca="false">IF($A7="","",IF($E7&lt;&gt;"",$E7,IF(COUNTIFS(Submissions!$A$2:$A$1000,$A7,Submissions!$D$2:$D$1000,"Accepted")&gt;0,"Accepted",IF(COUNTIFS(Submissions!$A$2:$A$1000,$A7,Submissions!$D$2:$D$1000,"Revision requested")&gt;0,"Revision due",IF(COUNTIFS(Submissions!$A$2:$A$1000,$A7,Submissions!$D$2:$D$1000,"Under review")&gt;0,"Under review",IF($K7&gt;0,"Needs resubmission","Not yet submitted"))))))</f>
        <v>Not yet submitted</v>
      </c>
      <c r="G7" s="29" t="str">
        <f aca="false">IF($A7="","",IFERROR(INDEX(Submissions!$B$2:$B$1000,MATCH(_xlfn.MAXIFS(Submissions!$L$2:$L$1000,Submissions!$A$2:$A$1000,$A7),Submissions!$L$2:$L$1000,0)),""))</f>
        <v/>
      </c>
      <c r="H7" s="31" t="str">
        <f aca="false">IF($A7="","",IF(_xlfn.MAXIFS(Submissions!$F$2:$F$1000,Submissions!$A$2:$A$1000,$A7)=0,"",_xlfn.MAXIFS(Submissions!$F$2:$F$1000,Submissions!$A$2:$A$1000,$A7)))</f>
        <v/>
      </c>
      <c r="I7" s="29" t="str">
        <f aca="true">IF($F7="Needs resubmission",IF($H7="","",TODAY()-$H7),"")</f>
        <v/>
      </c>
      <c r="J7" s="29" t="str">
        <f aca="false">IF($A7="","",IF(_xlfn.MINIFS(Submissions!$M$2:$M$1000,Submissions!$A$2:$A$1000,$A7)=0,"",INDEX(Submissions!$B$2:$B$1000,_xlfn.MINIFS(Submissions!$M$2:$M$1000,Submissions!$A$2:$A$1000,$A7)-1)))</f>
        <v>Security Studies</v>
      </c>
      <c r="K7" s="29" t="n">
        <f aca="false">IF($A7="","",SUMIFS(Submissions!$J$2:$J$1000,Submissions!$A$2:$A$1000,$A7))</f>
        <v>0</v>
      </c>
      <c r="L7" s="29" t="n">
        <f aca="false">IF($A7="","",COUNTIFS(Submissions!$A$2:$A$1000,$A7,Submissions!$D$2:$D$1000,"Rejected")+COUNTIFS(Submissions!$A$2:$A$1000,$A7,Submissions!$D$2:$D$1000,"Returned by office"))</f>
        <v>0</v>
      </c>
      <c r="M7" s="30"/>
      <c r="N7" s="32" t="n">
        <f aca="false">IF(IF($F7="Revision due",3000,IF($F7="Needs resubmission",2000,IF($F7="Not yet submitted",1000,"")))="","",IF($F7="Revision due",3000,IF($F7="Needs resubmission",2000,IF($F7="Not yet submitted",1000,"")))+IF($I7="",0,MIN($I7,999))+(1000-ROW())/100000)</f>
        <v>1000.00993</v>
      </c>
      <c r="O7" s="32" t="n">
        <f aca="false">IF($N7="","",RANK($N7,$N$2:$N$81))</f>
        <v>4</v>
      </c>
    </row>
    <row r="8" customFormat="false" ht="30" hidden="false" customHeight="true" outlineLevel="0" collapsed="false">
      <c r="A8" s="29" t="s">
        <v>81</v>
      </c>
      <c r="B8" s="30" t="s">
        <v>82</v>
      </c>
      <c r="C8" s="29"/>
      <c r="D8" s="29" t="s">
        <v>68</v>
      </c>
      <c r="E8" s="29"/>
      <c r="F8" s="29" t="str">
        <f aca="false">IF($A8="","",IF($E8&lt;&gt;"",$E8,IF(COUNTIFS(Submissions!$A$2:$A$1000,$A8,Submissions!$D$2:$D$1000,"Accepted")&gt;0,"Accepted",IF(COUNTIFS(Submissions!$A$2:$A$1000,$A8,Submissions!$D$2:$D$1000,"Revision requested")&gt;0,"Revision due",IF(COUNTIFS(Submissions!$A$2:$A$1000,$A8,Submissions!$D$2:$D$1000,"Under review")&gt;0,"Under review",IF($K8&gt;0,"Needs resubmission","Not yet submitted"))))))</f>
        <v>Under review</v>
      </c>
      <c r="G8" s="29" t="str">
        <f aca="false">IF($A8="","",IFERROR(INDEX(Submissions!$B$2:$B$1000,MATCH(_xlfn.MAXIFS(Submissions!$L$2:$L$1000,Submissions!$A$2:$A$1000,$A8),Submissions!$L$2:$L$1000,0)),""))</f>
        <v>Journal of Management Studies</v>
      </c>
      <c r="H8" s="31" t="n">
        <f aca="false">IF($A8="","",IF(_xlfn.MAXIFS(Submissions!$F$2:$F$1000,Submissions!$A$2:$A$1000,$A8)=0,"",_xlfn.MAXIFS(Submissions!$F$2:$F$1000,Submissions!$A$2:$A$1000,$A8)))</f>
        <v>46301</v>
      </c>
      <c r="I8" s="29" t="str">
        <f aca="true">IF($F8="Needs resubmission",IF($H8="","",TODAY()-$H8),"")</f>
        <v/>
      </c>
      <c r="J8" s="29" t="str">
        <f aca="false">IF($A8="","",IF(_xlfn.MINIFS(Submissions!$M$2:$M$1000,Submissions!$A$2:$A$1000,$A8)=0,"",INDEX(Submissions!$B$2:$B$1000,_xlfn.MINIFS(Submissions!$M$2:$M$1000,Submissions!$A$2:$A$1000,$A8)-1)))</f>
        <v>Human Relations</v>
      </c>
      <c r="K8" s="29" t="n">
        <f aca="false">IF($A8="","",SUMIFS(Submissions!$J$2:$J$1000,Submissions!$A$2:$A$1000,$A8))</f>
        <v>2</v>
      </c>
      <c r="L8" s="29" t="n">
        <f aca="false">IF($A8="","",COUNTIFS(Submissions!$A$2:$A$1000,$A8,Submissions!$D$2:$D$1000,"Rejected")+COUNTIFS(Submissions!$A$2:$A$1000,$A8,Submissions!$D$2:$D$1000,"Returned by office"))</f>
        <v>1</v>
      </c>
      <c r="M8" s="30"/>
      <c r="N8" s="32" t="str">
        <f aca="false">IF(IF($F8="Revision due",3000,IF($F8="Needs resubmission",2000,IF($F8="Not yet submitted",1000,"")))="","",IF($F8="Revision due",3000,IF($F8="Needs resubmission",2000,IF($F8="Not yet submitted",1000,"")))+IF($I8="",0,MIN($I8,999))+(1000-ROW())/100000)</f>
        <v/>
      </c>
      <c r="O8" s="32" t="str">
        <f aca="false">IF($N8="","",RANK($N8,$N$2:$N$81))</f>
        <v/>
      </c>
    </row>
    <row r="9" customFormat="false" ht="30" hidden="false" customHeight="true" outlineLevel="0" collapsed="false">
      <c r="A9" s="29" t="s">
        <v>83</v>
      </c>
      <c r="B9" s="30" t="s">
        <v>84</v>
      </c>
      <c r="C9" s="29"/>
      <c r="D9" s="29" t="s">
        <v>85</v>
      </c>
      <c r="E9" s="29" t="s">
        <v>86</v>
      </c>
      <c r="F9" s="29" t="str">
        <f aca="false">IF($A9="","",IF($E9&lt;&gt;"",$E9,IF(COUNTIFS(Submissions!$A$2:$A$1000,$A9,Submissions!$D$2:$D$1000,"Accepted")&gt;0,"Accepted",IF(COUNTIFS(Submissions!$A$2:$A$1000,$A9,Submissions!$D$2:$D$1000,"Revision requested")&gt;0,"Revision due",IF(COUNTIFS(Submissions!$A$2:$A$1000,$A9,Submissions!$D$2:$D$1000,"Under review")&gt;0,"Under review",IF($K9&gt;0,"Needs resubmission","Not yet submitted"))))))</f>
        <v>Closed – rejected</v>
      </c>
      <c r="G9" s="29" t="str">
        <f aca="false">IF($A9="","",IFERROR(INDEX(Submissions!$B$2:$B$1000,MATCH(_xlfn.MAXIFS(Submissions!$L$2:$L$1000,Submissions!$A$2:$A$1000,$A9),Submissions!$L$2:$L$1000,0)),""))</f>
        <v>EPW: Postscript</v>
      </c>
      <c r="H9" s="31" t="n">
        <f aca="false">IF($A9="","",IF(_xlfn.MAXIFS(Submissions!$F$2:$F$1000,Submissions!$A$2:$A$1000,$A9)=0,"",_xlfn.MAXIFS(Submissions!$F$2:$F$1000,Submissions!$A$2:$A$1000,$A9)))</f>
        <v>46298</v>
      </c>
      <c r="I9" s="29" t="str">
        <f aca="true">IF($F9="Needs resubmission",IF($H9="","",TODAY()-$H9),"")</f>
        <v/>
      </c>
      <c r="J9" s="29" t="str">
        <f aca="false">IF($A9="","",IF(_xlfn.MINIFS(Submissions!$M$2:$M$1000,Submissions!$A$2:$A$1000,$A9)=0,"",INDEX(Submissions!$B$2:$B$1000,_xlfn.MINIFS(Submissions!$M$2:$M$1000,Submissions!$A$2:$A$1000,$A9)-1)))</f>
        <v/>
      </c>
      <c r="K9" s="29" t="n">
        <f aca="false">IF($A9="","",SUMIFS(Submissions!$J$2:$J$1000,Submissions!$A$2:$A$1000,$A9))</f>
        <v>1</v>
      </c>
      <c r="L9" s="29" t="n">
        <f aca="false">IF($A9="","",COUNTIFS(Submissions!$A$2:$A$1000,$A9,Submissions!$D$2:$D$1000,"Rejected")+COUNTIFS(Submissions!$A$2:$A$1000,$A9,Submissions!$D$2:$D$1000,"Returned by office"))</f>
        <v>1</v>
      </c>
      <c r="M9" s="30"/>
      <c r="N9" s="32" t="str">
        <f aca="false">IF(IF($F9="Revision due",3000,IF($F9="Needs resubmission",2000,IF($F9="Not yet submitted",1000,"")))="","",IF($F9="Revision due",3000,IF($F9="Needs resubmission",2000,IF($F9="Not yet submitted",1000,"")))+IF($I9="",0,MIN($I9,999))+(1000-ROW())/100000)</f>
        <v/>
      </c>
      <c r="O9" s="32" t="str">
        <f aca="false">IF($N9="","",RANK($N9,$N$2:$N$81))</f>
        <v/>
      </c>
    </row>
    <row r="10" customFormat="false" ht="30" hidden="false" customHeight="true" outlineLevel="0" collapsed="false">
      <c r="A10" s="29" t="s">
        <v>87</v>
      </c>
      <c r="B10" s="30" t="s">
        <v>88</v>
      </c>
      <c r="C10" s="29" t="s">
        <v>67</v>
      </c>
      <c r="D10" s="29" t="s">
        <v>68</v>
      </c>
      <c r="E10" s="29"/>
      <c r="F10" s="29" t="str">
        <f aca="false">IF($A10="","",IF($E10&lt;&gt;"",$E10,IF(COUNTIFS(Submissions!$A$2:$A$1000,$A10,Submissions!$D$2:$D$1000,"Accepted")&gt;0,"Accepted",IF(COUNTIFS(Submissions!$A$2:$A$1000,$A10,Submissions!$D$2:$D$1000,"Revision requested")&gt;0,"Revision due",IF(COUNTIFS(Submissions!$A$2:$A$1000,$A10,Submissions!$D$2:$D$1000,"Under review")&gt;0,"Under review",IF($K10&gt;0,"Needs resubmission","Not yet submitted"))))))</f>
        <v>Under review</v>
      </c>
      <c r="G10" s="29" t="str">
        <f aca="false">IF($A10="","",IFERROR(INDEX(Submissions!$B$2:$B$1000,MATCH(_xlfn.MAXIFS(Submissions!$L$2:$L$1000,Submissions!$A$2:$A$1000,$A10),Submissions!$L$2:$L$1000,0)),""))</f>
        <v>Organization Theory</v>
      </c>
      <c r="H10" s="31" t="n">
        <f aca="false">IF($A10="","",IF(_xlfn.MAXIFS(Submissions!$F$2:$F$1000,Submissions!$A$2:$A$1000,$A10)=0,"",_xlfn.MAXIFS(Submissions!$F$2:$F$1000,Submissions!$A$2:$A$1000,$A10)))</f>
        <v>46132</v>
      </c>
      <c r="I10" s="29" t="str">
        <f aca="true">IF($F10="Needs resubmission",IF($H10="","",TODAY()-$H10),"")</f>
        <v/>
      </c>
      <c r="J10" s="29" t="str">
        <f aca="false">IF($A10="","",IF(_xlfn.MINIFS(Submissions!$M$2:$M$1000,Submissions!$A$2:$A$1000,$A10)=0,"",INDEX(Submissions!$B$2:$B$1000,_xlfn.MINIFS(Submissions!$M$2:$M$1000,Submissions!$A$2:$A$1000,$A10)-1)))</f>
        <v>Media, Culture &amp; Society</v>
      </c>
      <c r="K10" s="29" t="n">
        <f aca="false">IF($A10="","",SUMIFS(Submissions!$J$2:$J$1000,Submissions!$A$2:$A$1000,$A10))</f>
        <v>8</v>
      </c>
      <c r="L10" s="29" t="n">
        <f aca="false">IF($A10="","",COUNTIFS(Submissions!$A$2:$A$1000,$A10,Submissions!$D$2:$D$1000,"Rejected")+COUNTIFS(Submissions!$A$2:$A$1000,$A10,Submissions!$D$2:$D$1000,"Returned by office"))</f>
        <v>7</v>
      </c>
      <c r="M10" s="30" t="s">
        <v>89</v>
      </c>
      <c r="N10" s="32" t="str">
        <f aca="false">IF(IF($F10="Revision due",3000,IF($F10="Needs resubmission",2000,IF($F10="Not yet submitted",1000,"")))="","",IF($F10="Revision due",3000,IF($F10="Needs resubmission",2000,IF($F10="Not yet submitted",1000,"")))+IF($I10="",0,MIN($I10,999))+(1000-ROW())/100000)</f>
        <v/>
      </c>
      <c r="O10" s="32" t="str">
        <f aca="false">IF($N10="","",RANK($N10,$N$2:$N$81))</f>
        <v/>
      </c>
    </row>
    <row r="11" customFormat="false" ht="30" hidden="false" customHeight="true" outlineLevel="0" collapsed="false">
      <c r="A11" s="29" t="s">
        <v>90</v>
      </c>
      <c r="B11" s="30" t="s">
        <v>91</v>
      </c>
      <c r="C11" s="29" t="s">
        <v>92</v>
      </c>
      <c r="D11" s="29" t="s">
        <v>68</v>
      </c>
      <c r="E11" s="29"/>
      <c r="F11" s="29" t="str">
        <f aca="false">IF($A11="","",IF($E11&lt;&gt;"",$E11,IF(COUNTIFS(Submissions!$A$2:$A$1000,$A11,Submissions!$D$2:$D$1000,"Accepted")&gt;0,"Accepted",IF(COUNTIFS(Submissions!$A$2:$A$1000,$A11,Submissions!$D$2:$D$1000,"Revision requested")&gt;0,"Revision due",IF(COUNTIFS(Submissions!$A$2:$A$1000,$A11,Submissions!$D$2:$D$1000,"Under review")&gt;0,"Under review",IF($K11&gt;0,"Needs resubmission","Not yet submitted"))))))</f>
        <v>Under review</v>
      </c>
      <c r="G11" s="29" t="str">
        <f aca="false">IF($A11="","",IFERROR(INDEX(Submissions!$B$2:$B$1000,MATCH(_xlfn.MAXIFS(Submissions!$L$2:$L$1000,Submissions!$A$2:$A$1000,$A11),Submissions!$L$2:$L$1000,0)),""))</f>
        <v>Global Knowledge, Memory and Communication</v>
      </c>
      <c r="H11" s="31" t="n">
        <f aca="false">IF($A11="","",IF(_xlfn.MAXIFS(Submissions!$F$2:$F$1000,Submissions!$A$2:$A$1000,$A11)=0,"",_xlfn.MAXIFS(Submissions!$F$2:$F$1000,Submissions!$A$2:$A$1000,$A11)))</f>
        <v>46229</v>
      </c>
      <c r="I11" s="29" t="str">
        <f aca="true">IF($F11="Needs resubmission",IF($H11="","",TODAY()-$H11),"")</f>
        <v/>
      </c>
      <c r="J11" s="29" t="str">
        <f aca="false">IF($A11="","",IF(_xlfn.MINIFS(Submissions!$M$2:$M$1000,Submissions!$A$2:$A$1000,$A11)=0,"",INDEX(Submissions!$B$2:$B$1000,_xlfn.MINIFS(Submissions!$M$2:$M$1000,Submissions!$A$2:$A$1000,$A11)-1)))</f>
        <v>Group &amp; Organization Management</v>
      </c>
      <c r="K11" s="29" t="n">
        <f aca="false">IF($A11="","",SUMIFS(Submissions!$J$2:$J$1000,Submissions!$A$2:$A$1000,$A11))</f>
        <v>11</v>
      </c>
      <c r="L11" s="29" t="n">
        <f aca="false">IF($A11="","",COUNTIFS(Submissions!$A$2:$A$1000,$A11,Submissions!$D$2:$D$1000,"Rejected")+COUNTIFS(Submissions!$A$2:$A$1000,$A11,Submissions!$D$2:$D$1000,"Returned by office"))</f>
        <v>10</v>
      </c>
      <c r="M11" s="30" t="s">
        <v>93</v>
      </c>
      <c r="N11" s="32" t="str">
        <f aca="false">IF(IF($F11="Revision due",3000,IF($F11="Needs resubmission",2000,IF($F11="Not yet submitted",1000,"")))="","",IF($F11="Revision due",3000,IF($F11="Needs resubmission",2000,IF($F11="Not yet submitted",1000,"")))+IF($I11="",0,MIN($I11,999))+(1000-ROW())/100000)</f>
        <v/>
      </c>
      <c r="O11" s="32" t="str">
        <f aca="false">IF($N11="","",RANK($N11,$N$2:$N$81))</f>
        <v/>
      </c>
    </row>
    <row r="12" customFormat="false" ht="30" hidden="false" customHeight="true" outlineLevel="0" collapsed="false">
      <c r="A12" s="29" t="s">
        <v>94</v>
      </c>
      <c r="B12" s="30" t="s">
        <v>95</v>
      </c>
      <c r="C12" s="29" t="s">
        <v>96</v>
      </c>
      <c r="D12" s="29" t="s">
        <v>68</v>
      </c>
      <c r="E12" s="29"/>
      <c r="F12" s="29" t="str">
        <f aca="false">IF($A12="","",IF($E12&lt;&gt;"",$E12,IF(COUNTIFS(Submissions!$A$2:$A$1000,$A12,Submissions!$D$2:$D$1000,"Accepted")&gt;0,"Accepted",IF(COUNTIFS(Submissions!$A$2:$A$1000,$A12,Submissions!$D$2:$D$1000,"Revision requested")&gt;0,"Revision due",IF(COUNTIFS(Submissions!$A$2:$A$1000,$A12,Submissions!$D$2:$D$1000,"Under review")&gt;0,"Under review",IF($K12&gt;0,"Needs resubmission","Not yet submitted"))))))</f>
        <v>Needs resubmission</v>
      </c>
      <c r="G12" s="29" t="str">
        <f aca="false">IF($A12="","",IFERROR(INDEX(Submissions!$B$2:$B$1000,MATCH(_xlfn.MAXIFS(Submissions!$L$2:$L$1000,Submissions!$A$2:$A$1000,$A12),Submissions!$L$2:$L$1000,0)),""))</f>
        <v>Information, Communication &amp; Society</v>
      </c>
      <c r="H12" s="31" t="n">
        <f aca="false">IF($A12="","",IF(_xlfn.MAXIFS(Submissions!$F$2:$F$1000,Submissions!$A$2:$A$1000,$A12)=0,"",_xlfn.MAXIFS(Submissions!$F$2:$F$1000,Submissions!$A$2:$A$1000,$A12)))</f>
        <v>46305</v>
      </c>
      <c r="I12" s="29" t="n">
        <f aca="true">IF($F12="Needs resubmission",IF($H12="","",TODAY()-$H12),"")</f>
        <v>1</v>
      </c>
      <c r="J12" s="29" t="str">
        <f aca="false">IF($A12="","",IF(_xlfn.MINIFS(Submissions!$M$2:$M$1000,Submissions!$A$2:$A$1000,$A12)=0,"",INDEX(Submissions!$B$2:$B$1000,_xlfn.MINIFS(Submissions!$M$2:$M$1000,Submissions!$A$2:$A$1000,$A12)-1)))</f>
        <v>Journal of Computer-Mediated Communication</v>
      </c>
      <c r="K12" s="29" t="n">
        <f aca="false">IF($A12="","",SUMIFS(Submissions!$J$2:$J$1000,Submissions!$A$2:$A$1000,$A12))</f>
        <v>5</v>
      </c>
      <c r="L12" s="29" t="n">
        <f aca="false">IF($A12="","",COUNTIFS(Submissions!$A$2:$A$1000,$A12,Submissions!$D$2:$D$1000,"Rejected")+COUNTIFS(Submissions!$A$2:$A$1000,$A12,Submissions!$D$2:$D$1000,"Returned by office"))</f>
        <v>5</v>
      </c>
      <c r="M12" s="30" t="s">
        <v>97</v>
      </c>
      <c r="N12" s="32" t="n">
        <f aca="false">IF(IF($F12="Revision due",3000,IF($F12="Needs resubmission",2000,IF($F12="Not yet submitted",1000,"")))="","",IF($F12="Revision due",3000,IF($F12="Needs resubmission",2000,IF($F12="Not yet submitted",1000,"")))+IF($I12="",0,MIN($I12,999))+(1000-ROW())/100000)</f>
        <v>2001.00988</v>
      </c>
      <c r="O12" s="32" t="n">
        <f aca="false">IF($N12="","",RANK($N12,$N$2:$N$81))</f>
        <v>3</v>
      </c>
    </row>
    <row r="13" customFormat="false" ht="30" hidden="false" customHeight="true" outlineLevel="0" collapsed="false">
      <c r="A13" s="29" t="s">
        <v>98</v>
      </c>
      <c r="B13" s="30" t="s">
        <v>99</v>
      </c>
      <c r="C13" s="29"/>
      <c r="D13" s="29" t="s">
        <v>68</v>
      </c>
      <c r="E13" s="29"/>
      <c r="F13" s="29" t="str">
        <f aca="false">IF($A13="","",IF($E13&lt;&gt;"",$E13,IF(COUNTIFS(Submissions!$A$2:$A$1000,$A13,Submissions!$D$2:$D$1000,"Accepted")&gt;0,"Accepted",IF(COUNTIFS(Submissions!$A$2:$A$1000,$A13,Submissions!$D$2:$D$1000,"Revision requested")&gt;0,"Revision due",IF(COUNTIFS(Submissions!$A$2:$A$1000,$A13,Submissions!$D$2:$D$1000,"Under review")&gt;0,"Under review",IF($K13&gt;0,"Needs resubmission","Not yet submitted"))))))</f>
        <v>Not yet submitted</v>
      </c>
      <c r="G13" s="29" t="str">
        <f aca="false">IF($A13="","",IFERROR(INDEX(Submissions!$B$2:$B$1000,MATCH(_xlfn.MAXIFS(Submissions!$L$2:$L$1000,Submissions!$A$2:$A$1000,$A13),Submissions!$L$2:$L$1000,0)),""))</f>
        <v/>
      </c>
      <c r="H13" s="31" t="str">
        <f aca="false">IF($A13="","",IF(_xlfn.MAXIFS(Submissions!$F$2:$F$1000,Submissions!$A$2:$A$1000,$A13)=0,"",_xlfn.MAXIFS(Submissions!$F$2:$F$1000,Submissions!$A$2:$A$1000,$A13)))</f>
        <v/>
      </c>
      <c r="I13" s="29" t="str">
        <f aca="true">IF($F13="Needs resubmission",IF($H13="","",TODAY()-$H13),"")</f>
        <v/>
      </c>
      <c r="J13" s="29" t="str">
        <f aca="false">IF($A13="","",IF(_xlfn.MINIFS(Submissions!$M$2:$M$1000,Submissions!$A$2:$A$1000,$A13)=0,"",INDEX(Submissions!$B$2:$B$1000,_xlfn.MINIFS(Submissions!$M$2:$M$1000,Submissions!$A$2:$A$1000,$A13)-1)))</f>
        <v>Philosophy of Management</v>
      </c>
      <c r="K13" s="29" t="n">
        <f aca="false">IF($A13="","",SUMIFS(Submissions!$J$2:$J$1000,Submissions!$A$2:$A$1000,$A13))</f>
        <v>0</v>
      </c>
      <c r="L13" s="29" t="n">
        <f aca="false">IF($A13="","",COUNTIFS(Submissions!$A$2:$A$1000,$A13,Submissions!$D$2:$D$1000,"Rejected")+COUNTIFS(Submissions!$A$2:$A$1000,$A13,Submissions!$D$2:$D$1000,"Returned by office"))</f>
        <v>0</v>
      </c>
      <c r="M13" s="30"/>
      <c r="N13" s="32" t="n">
        <f aca="false">IF(IF($F13="Revision due",3000,IF($F13="Needs resubmission",2000,IF($F13="Not yet submitted",1000,"")))="","",IF($F13="Revision due",3000,IF($F13="Needs resubmission",2000,IF($F13="Not yet submitted",1000,"")))+IF($I13="",0,MIN($I13,999))+(1000-ROW())/100000)</f>
        <v>1000.00987</v>
      </c>
      <c r="O13" s="32" t="n">
        <f aca="false">IF($N13="","",RANK($N13,$N$2:$N$81))</f>
        <v>5</v>
      </c>
    </row>
    <row r="14" customFormat="false" ht="30" hidden="false" customHeight="true" outlineLevel="0" collapsed="false">
      <c r="A14" s="29" t="s">
        <v>100</v>
      </c>
      <c r="B14" s="30" t="s">
        <v>101</v>
      </c>
      <c r="C14" s="29"/>
      <c r="D14" s="29" t="s">
        <v>68</v>
      </c>
      <c r="E14" s="29"/>
      <c r="F14" s="29" t="str">
        <f aca="false">IF($A14="","",IF($E14&lt;&gt;"",$E14,IF(COUNTIFS(Submissions!$A$2:$A$1000,$A14,Submissions!$D$2:$D$1000,"Accepted")&gt;0,"Accepted",IF(COUNTIFS(Submissions!$A$2:$A$1000,$A14,Submissions!$D$2:$D$1000,"Revision requested")&gt;0,"Revision due",IF(COUNTIFS(Submissions!$A$2:$A$1000,$A14,Submissions!$D$2:$D$1000,"Under review")&gt;0,"Under review",IF($K14&gt;0,"Needs resubmission","Not yet submitted"))))))</f>
        <v>Not yet submitted</v>
      </c>
      <c r="G14" s="29" t="str">
        <f aca="false">IF($A14="","",IFERROR(INDEX(Submissions!$B$2:$B$1000,MATCH(_xlfn.MAXIFS(Submissions!$L$2:$L$1000,Submissions!$A$2:$A$1000,$A14),Submissions!$L$2:$L$1000,0)),""))</f>
        <v/>
      </c>
      <c r="H14" s="31" t="str">
        <f aca="false">IF($A14="","",IF(_xlfn.MAXIFS(Submissions!$F$2:$F$1000,Submissions!$A$2:$A$1000,$A14)=0,"",_xlfn.MAXIFS(Submissions!$F$2:$F$1000,Submissions!$A$2:$A$1000,$A14)))</f>
        <v/>
      </c>
      <c r="I14" s="29" t="str">
        <f aca="true">IF($F14="Needs resubmission",IF($H14="","",TODAY()-$H14),"")</f>
        <v/>
      </c>
      <c r="J14" s="29" t="str">
        <f aca="false">IF($A14="","",IF(_xlfn.MINIFS(Submissions!$M$2:$M$1000,Submissions!$A$2:$A$1000,$A14)=0,"",INDEX(Submissions!$B$2:$B$1000,_xlfn.MINIFS(Submissions!$M$2:$M$1000,Submissions!$A$2:$A$1000,$A14)-1)))</f>
        <v>Journal of Information, Communication and Ethics in Society</v>
      </c>
      <c r="K14" s="29" t="n">
        <f aca="false">IF($A14="","",SUMIFS(Submissions!$J$2:$J$1000,Submissions!$A$2:$A$1000,$A14))</f>
        <v>0</v>
      </c>
      <c r="L14" s="29" t="n">
        <f aca="false">IF($A14="","",COUNTIFS(Submissions!$A$2:$A$1000,$A14,Submissions!$D$2:$D$1000,"Rejected")+COUNTIFS(Submissions!$A$2:$A$1000,$A14,Submissions!$D$2:$D$1000,"Returned by office"))</f>
        <v>0</v>
      </c>
      <c r="M14" s="30" t="s">
        <v>102</v>
      </c>
      <c r="N14" s="32" t="n">
        <f aca="false">IF(IF($F14="Revision due",3000,IF($F14="Needs resubmission",2000,IF($F14="Not yet submitted",1000,"")))="","",IF($F14="Revision due",3000,IF($F14="Needs resubmission",2000,IF($F14="Not yet submitted",1000,"")))+IF($I14="",0,MIN($I14,999))+(1000-ROW())/100000)</f>
        <v>1000.00986</v>
      </c>
      <c r="O14" s="32" t="n">
        <f aca="false">IF($N14="","",RANK($N14,$N$2:$N$81))</f>
        <v>6</v>
      </c>
    </row>
    <row r="15" customFormat="false" ht="30" hidden="false" customHeight="true" outlineLevel="0" collapsed="false">
      <c r="A15" s="29" t="s">
        <v>103</v>
      </c>
      <c r="B15" s="30" t="s">
        <v>104</v>
      </c>
      <c r="C15" s="29" t="s">
        <v>67</v>
      </c>
      <c r="D15" s="29" t="s">
        <v>68</v>
      </c>
      <c r="E15" s="29"/>
      <c r="F15" s="29" t="str">
        <f aca="false">IF($A15="","",IF($E15&lt;&gt;"",$E15,IF(COUNTIFS(Submissions!$A$2:$A$1000,$A15,Submissions!$D$2:$D$1000,"Accepted")&gt;0,"Accepted",IF(COUNTIFS(Submissions!$A$2:$A$1000,$A15,Submissions!$D$2:$D$1000,"Revision requested")&gt;0,"Revision due",IF(COUNTIFS(Submissions!$A$2:$A$1000,$A15,Submissions!$D$2:$D$1000,"Under review")&gt;0,"Under review",IF($K15&gt;0,"Needs resubmission","Not yet submitted"))))))</f>
        <v>Under review</v>
      </c>
      <c r="G15" s="29" t="str">
        <f aca="false">IF($A15="","",IFERROR(INDEX(Submissions!$B$2:$B$1000,MATCH(_xlfn.MAXIFS(Submissions!$L$2:$L$1000,Submissions!$A$2:$A$1000,$A15),Submissions!$L$2:$L$1000,0)),""))</f>
        <v>Critical Discourse Studies</v>
      </c>
      <c r="H15" s="31" t="n">
        <f aca="false">IF($A15="","",IF(_xlfn.MAXIFS(Submissions!$F$2:$F$1000,Submissions!$A$2:$A$1000,$A15)=0,"",_xlfn.MAXIFS(Submissions!$F$2:$F$1000,Submissions!$A$2:$A$1000,$A15)))</f>
        <v>46281</v>
      </c>
      <c r="I15" s="29" t="str">
        <f aca="true">IF($F15="Needs resubmission",IF($H15="","",TODAY()-$H15),"")</f>
        <v/>
      </c>
      <c r="J15" s="29" t="str">
        <f aca="false">IF($A15="","",IF(_xlfn.MINIFS(Submissions!$M$2:$M$1000,Submissions!$A$2:$A$1000,$A15)=0,"",INDEX(Submissions!$B$2:$B$1000,_xlfn.MINIFS(Submissions!$M$2:$M$1000,Submissions!$A$2:$A$1000,$A15)-1)))</f>
        <v>Communication Theory</v>
      </c>
      <c r="K15" s="29" t="n">
        <f aca="false">IF($A15="","",SUMIFS(Submissions!$J$2:$J$1000,Submissions!$A$2:$A$1000,$A15))</f>
        <v>16</v>
      </c>
      <c r="L15" s="29" t="n">
        <f aca="false">IF($A15="","",COUNTIFS(Submissions!$A$2:$A$1000,$A15,Submissions!$D$2:$D$1000,"Rejected")+COUNTIFS(Submissions!$A$2:$A$1000,$A15,Submissions!$D$2:$D$1000,"Returned by office"))</f>
        <v>14</v>
      </c>
      <c r="M15" s="30" t="s">
        <v>105</v>
      </c>
      <c r="N15" s="32" t="str">
        <f aca="false">IF(IF($F15="Revision due",3000,IF($F15="Needs resubmission",2000,IF($F15="Not yet submitted",1000,"")))="","",IF($F15="Revision due",3000,IF($F15="Needs resubmission",2000,IF($F15="Not yet submitted",1000,"")))+IF($I15="",0,MIN($I15,999))+(1000-ROW())/100000)</f>
        <v/>
      </c>
      <c r="O15" s="32" t="str">
        <f aca="false">IF($N15="","",RANK($N15,$N$2:$N$81))</f>
        <v/>
      </c>
    </row>
    <row r="16" customFormat="false" ht="30" hidden="false" customHeight="true" outlineLevel="0" collapsed="false">
      <c r="A16" s="29" t="s">
        <v>106</v>
      </c>
      <c r="B16" s="30" t="s">
        <v>107</v>
      </c>
      <c r="C16" s="29" t="s">
        <v>67</v>
      </c>
      <c r="D16" s="29" t="s">
        <v>68</v>
      </c>
      <c r="E16" s="29"/>
      <c r="F16" s="29" t="str">
        <f aca="false">IF($A16="","",IF($E16&lt;&gt;"",$E16,IF(COUNTIFS(Submissions!$A$2:$A$1000,$A16,Submissions!$D$2:$D$1000,"Accepted")&gt;0,"Accepted",IF(COUNTIFS(Submissions!$A$2:$A$1000,$A16,Submissions!$D$2:$D$1000,"Revision requested")&gt;0,"Revision due",IF(COUNTIFS(Submissions!$A$2:$A$1000,$A16,Submissions!$D$2:$D$1000,"Under review")&gt;0,"Under review",IF($K16&gt;0,"Needs resubmission","Not yet submitted"))))))</f>
        <v>Needs resubmission</v>
      </c>
      <c r="G16" s="29" t="str">
        <f aca="false">IF($A16="","",IFERROR(INDEX(Submissions!$B$2:$B$1000,MATCH(_xlfn.MAXIFS(Submissions!$L$2:$L$1000,Submissions!$A$2:$A$1000,$A16),Submissions!$L$2:$L$1000,0)),""))</f>
        <v>Industrial and Commercial Training</v>
      </c>
      <c r="H16" s="31" t="n">
        <f aca="false">IF($A16="","",IF(_xlfn.MAXIFS(Submissions!$F$2:$F$1000,Submissions!$A$2:$A$1000,$A16)=0,"",_xlfn.MAXIFS(Submissions!$F$2:$F$1000,Submissions!$A$2:$A$1000,$A16)))</f>
        <v>45867</v>
      </c>
      <c r="I16" s="29" t="n">
        <f aca="true">IF($F16="Needs resubmission",IF($H16="","",TODAY()-$H16),"")</f>
        <v>439</v>
      </c>
      <c r="J16" s="29" t="str">
        <f aca="false">IF($A16="","",IF(_xlfn.MINIFS(Submissions!$M$2:$M$1000,Submissions!$A$2:$A$1000,$A16)=0,"",INDEX(Submissions!$B$2:$B$1000,_xlfn.MINIFS(Submissions!$M$2:$M$1000,Submissions!$A$2:$A$1000,$A16)-1)))</f>
        <v>Strategic HR Review</v>
      </c>
      <c r="K16" s="29" t="n">
        <f aca="false">IF($A16="","",SUMIFS(Submissions!$J$2:$J$1000,Submissions!$A$2:$A$1000,$A16))</f>
        <v>3</v>
      </c>
      <c r="L16" s="29" t="n">
        <f aca="false">IF($A16="","",COUNTIFS(Submissions!$A$2:$A$1000,$A16,Submissions!$D$2:$D$1000,"Rejected")+COUNTIFS(Submissions!$A$2:$A$1000,$A16,Submissions!$D$2:$D$1000,"Returned by office"))</f>
        <v>3</v>
      </c>
      <c r="M16" s="30"/>
      <c r="N16" s="32" t="n">
        <f aca="false">IF(IF($F16="Revision due",3000,IF($F16="Needs resubmission",2000,IF($F16="Not yet submitted",1000,"")))="","",IF($F16="Revision due",3000,IF($F16="Needs resubmission",2000,IF($F16="Not yet submitted",1000,"")))+IF($I16="",0,MIN($I16,999))+(1000-ROW())/100000)</f>
        <v>2439.00984</v>
      </c>
      <c r="O16" s="32" t="n">
        <f aca="false">IF($N16="","",RANK($N16,$N$2:$N$81))</f>
        <v>1</v>
      </c>
    </row>
    <row r="17" customFormat="false" ht="30" hidden="false" customHeight="true" outlineLevel="0" collapsed="false">
      <c r="A17" s="29" t="s">
        <v>108</v>
      </c>
      <c r="B17" s="30" t="s">
        <v>109</v>
      </c>
      <c r="C17" s="29" t="s">
        <v>67</v>
      </c>
      <c r="D17" s="29" t="s">
        <v>68</v>
      </c>
      <c r="E17" s="29"/>
      <c r="F17" s="29" t="str">
        <f aca="false">IF($A17="","",IF($E17&lt;&gt;"",$E17,IF(COUNTIFS(Submissions!$A$2:$A$1000,$A17,Submissions!$D$2:$D$1000,"Accepted")&gt;0,"Accepted",IF(COUNTIFS(Submissions!$A$2:$A$1000,$A17,Submissions!$D$2:$D$1000,"Revision requested")&gt;0,"Revision due",IF(COUNTIFS(Submissions!$A$2:$A$1000,$A17,Submissions!$D$2:$D$1000,"Under review")&gt;0,"Under review",IF($K17&gt;0,"Needs resubmission","Not yet submitted"))))))</f>
        <v>Under review</v>
      </c>
      <c r="G17" s="29" t="str">
        <f aca="false">IF($A17="","",IFERROR(INDEX(Submissions!$B$2:$B$1000,MATCH(_xlfn.MAXIFS(Submissions!$L$2:$L$1000,Submissions!$A$2:$A$1000,$A17),Submissions!$L$2:$L$1000,0)),""))</f>
        <v>Journal of Business Ethics</v>
      </c>
      <c r="H17" s="31" t="str">
        <f aca="false">IF($A17="","",IF(_xlfn.MAXIFS(Submissions!$F$2:$F$1000,Submissions!$A$2:$A$1000,$A17)=0,"",_xlfn.MAXIFS(Submissions!$F$2:$F$1000,Submissions!$A$2:$A$1000,$A17)))</f>
        <v/>
      </c>
      <c r="I17" s="29" t="str">
        <f aca="true">IF($F17="Needs resubmission",IF($H17="","",TODAY()-$H17),"")</f>
        <v/>
      </c>
      <c r="J17" s="29" t="str">
        <f aca="false">IF($A17="","",IF(_xlfn.MINIFS(Submissions!$M$2:$M$1000,Submissions!$A$2:$A$1000,$A17)=0,"",INDEX(Submissions!$B$2:$B$1000,_xlfn.MINIFS(Submissions!$M$2:$M$1000,Submissions!$A$2:$A$1000,$A17)-1)))</f>
        <v>Journal of Leadership and Organizational Studies</v>
      </c>
      <c r="K17" s="29" t="n">
        <f aca="false">IF($A17="","",SUMIFS(Submissions!$J$2:$J$1000,Submissions!$A$2:$A$1000,$A17))</f>
        <v>1</v>
      </c>
      <c r="L17" s="29" t="n">
        <f aca="false">IF($A17="","",COUNTIFS(Submissions!$A$2:$A$1000,$A17,Submissions!$D$2:$D$1000,"Rejected")+COUNTIFS(Submissions!$A$2:$A$1000,$A17,Submissions!$D$2:$D$1000,"Returned by office"))</f>
        <v>0</v>
      </c>
      <c r="M17" s="30"/>
      <c r="N17" s="32" t="str">
        <f aca="false">IF(IF($F17="Revision due",3000,IF($F17="Needs resubmission",2000,IF($F17="Not yet submitted",1000,"")))="","",IF($F17="Revision due",3000,IF($F17="Needs resubmission",2000,IF($F17="Not yet submitted",1000,"")))+IF($I17="",0,MIN($I17,999))+(1000-ROW())/100000)</f>
        <v/>
      </c>
      <c r="O17" s="32" t="str">
        <f aca="false">IF($N17="","",RANK($N17,$N$2:$N$81))</f>
        <v/>
      </c>
    </row>
    <row r="18" customFormat="false" ht="30" hidden="false" customHeight="true" outlineLevel="0" collapsed="false">
      <c r="A18" s="29" t="s">
        <v>110</v>
      </c>
      <c r="B18" s="30" t="s">
        <v>110</v>
      </c>
      <c r="C18" s="29"/>
      <c r="D18" s="29" t="s">
        <v>68</v>
      </c>
      <c r="E18" s="29"/>
      <c r="F18" s="29" t="str">
        <f aca="false">IF($A18="","",IF($E18&lt;&gt;"",$E18,IF(COUNTIFS(Submissions!$A$2:$A$1000,$A18,Submissions!$D$2:$D$1000,"Accepted")&gt;0,"Accepted",IF(COUNTIFS(Submissions!$A$2:$A$1000,$A18,Submissions!$D$2:$D$1000,"Revision requested")&gt;0,"Revision due",IF(COUNTIFS(Submissions!$A$2:$A$1000,$A18,Submissions!$D$2:$D$1000,"Under review")&gt;0,"Under review",IF($K18&gt;0,"Needs resubmission","Not yet submitted"))))))</f>
        <v>Under review</v>
      </c>
      <c r="G18" s="29" t="str">
        <f aca="false">IF($A18="","",IFERROR(INDEX(Submissions!$B$2:$B$1000,MATCH(_xlfn.MAXIFS(Submissions!$L$2:$L$1000,Submissions!$A$2:$A$1000,$A18),Submissions!$L$2:$L$1000,0)),""))</f>
        <v>IEEE Transactions on Engineering Management</v>
      </c>
      <c r="H18" s="31" t="n">
        <f aca="false">IF($A18="","",IF(_xlfn.MAXIFS(Submissions!$F$2:$F$1000,Submissions!$A$2:$A$1000,$A18)=0,"",_xlfn.MAXIFS(Submissions!$F$2:$F$1000,Submissions!$A$2:$A$1000,$A18)))</f>
        <v>46199</v>
      </c>
      <c r="I18" s="29" t="str">
        <f aca="true">IF($F18="Needs resubmission",IF($H18="","",TODAY()-$H18),"")</f>
        <v/>
      </c>
      <c r="J18" s="29" t="str">
        <f aca="false">IF($A18="","",IF(_xlfn.MINIFS(Submissions!$M$2:$M$1000,Submissions!$A$2:$A$1000,$A18)=0,"",INDEX(Submissions!$B$2:$B$1000,_xlfn.MINIFS(Submissions!$M$2:$M$1000,Submissions!$A$2:$A$1000,$A18)-1)))</f>
        <v>journals.sagepub.com/home/con</v>
      </c>
      <c r="K18" s="29" t="n">
        <f aca="false">IF($A18="","",SUMIFS(Submissions!$J$2:$J$1000,Submissions!$A$2:$A$1000,$A18))</f>
        <v>3</v>
      </c>
      <c r="L18" s="29" t="n">
        <f aca="false">IF($A18="","",COUNTIFS(Submissions!$A$2:$A$1000,$A18,Submissions!$D$2:$D$1000,"Rejected")+COUNTIFS(Submissions!$A$2:$A$1000,$A18,Submissions!$D$2:$D$1000,"Returned by office"))</f>
        <v>2</v>
      </c>
      <c r="M18" s="30" t="s">
        <v>111</v>
      </c>
      <c r="N18" s="32" t="str">
        <f aca="false">IF(IF($F18="Revision due",3000,IF($F18="Needs resubmission",2000,IF($F18="Not yet submitted",1000,"")))="","",IF($F18="Revision due",3000,IF($F18="Needs resubmission",2000,IF($F18="Not yet submitted",1000,"")))+IF($I18="",0,MIN($I18,999))+(1000-ROW())/100000)</f>
        <v/>
      </c>
      <c r="O18" s="32" t="str">
        <f aca="false">IF($N18="","",RANK($N18,$N$2:$N$81))</f>
        <v/>
      </c>
    </row>
    <row r="19" customFormat="false" ht="30" hidden="false" customHeight="true" outlineLevel="0" collapsed="false">
      <c r="A19" s="29" t="s">
        <v>112</v>
      </c>
      <c r="B19" s="30" t="s">
        <v>113</v>
      </c>
      <c r="C19" s="29"/>
      <c r="D19" s="29" t="s">
        <v>85</v>
      </c>
      <c r="E19" s="29" t="s">
        <v>86</v>
      </c>
      <c r="F19" s="29" t="str">
        <f aca="false">IF($A19="","",IF($E19&lt;&gt;"",$E19,IF(COUNTIFS(Submissions!$A$2:$A$1000,$A19,Submissions!$D$2:$D$1000,"Accepted")&gt;0,"Accepted",IF(COUNTIFS(Submissions!$A$2:$A$1000,$A19,Submissions!$D$2:$D$1000,"Revision requested")&gt;0,"Revision due",IF(COUNTIFS(Submissions!$A$2:$A$1000,$A19,Submissions!$D$2:$D$1000,"Under review")&gt;0,"Under review",IF($K19&gt;0,"Needs resubmission","Not yet submitted"))))))</f>
        <v>Closed – rejected</v>
      </c>
      <c r="G19" s="29" t="str">
        <f aca="false">IF($A19="","",IFERROR(INDEX(Submissions!$B$2:$B$1000,MATCH(_xlfn.MAXIFS(Submissions!$L$2:$L$1000,Submissions!$A$2:$A$1000,$A19),Submissions!$L$2:$L$1000,0)),""))</f>
        <v>EPW: Letter</v>
      </c>
      <c r="H19" s="31" t="n">
        <f aca="false">IF($A19="","",IF(_xlfn.MAXIFS(Submissions!$F$2:$F$1000,Submissions!$A$2:$A$1000,$A19)=0,"",_xlfn.MAXIFS(Submissions!$F$2:$F$1000,Submissions!$A$2:$A$1000,$A19)))</f>
        <v>45868</v>
      </c>
      <c r="I19" s="29" t="str">
        <f aca="true">IF($F19="Needs resubmission",IF($H19="","",TODAY()-$H19),"")</f>
        <v/>
      </c>
      <c r="J19" s="29" t="str">
        <f aca="false">IF($A19="","",IF(_xlfn.MINIFS(Submissions!$M$2:$M$1000,Submissions!$A$2:$A$1000,$A19)=0,"",INDEX(Submissions!$B$2:$B$1000,_xlfn.MINIFS(Submissions!$M$2:$M$1000,Submissions!$A$2:$A$1000,$A19)-1)))</f>
        <v/>
      </c>
      <c r="K19" s="29" t="n">
        <f aca="false">IF($A19="","",SUMIFS(Submissions!$J$2:$J$1000,Submissions!$A$2:$A$1000,$A19))</f>
        <v>1</v>
      </c>
      <c r="L19" s="29" t="n">
        <f aca="false">IF($A19="","",COUNTIFS(Submissions!$A$2:$A$1000,$A19,Submissions!$D$2:$D$1000,"Rejected")+COUNTIFS(Submissions!$A$2:$A$1000,$A19,Submissions!$D$2:$D$1000,"Returned by office"))</f>
        <v>1</v>
      </c>
      <c r="M19" s="30"/>
      <c r="N19" s="32" t="str">
        <f aca="false">IF(IF($F19="Revision due",3000,IF($F19="Needs resubmission",2000,IF($F19="Not yet submitted",1000,"")))="","",IF($F19="Revision due",3000,IF($F19="Needs resubmission",2000,IF($F19="Not yet submitted",1000,"")))+IF($I19="",0,MIN($I19,999))+(1000-ROW())/100000)</f>
        <v/>
      </c>
      <c r="O19" s="32" t="str">
        <f aca="false">IF($N19="","",RANK($N19,$N$2:$N$81))</f>
        <v/>
      </c>
    </row>
    <row r="20" customFormat="false" ht="30" hidden="false" customHeight="true" outlineLevel="0" collapsed="false">
      <c r="A20" s="29" t="s">
        <v>114</v>
      </c>
      <c r="B20" s="30" t="s">
        <v>115</v>
      </c>
      <c r="C20" s="29"/>
      <c r="D20" s="29" t="s">
        <v>85</v>
      </c>
      <c r="E20" s="29" t="s">
        <v>86</v>
      </c>
      <c r="F20" s="29" t="str">
        <f aca="false">IF($A20="","",IF($E20&lt;&gt;"",$E20,IF(COUNTIFS(Submissions!$A$2:$A$1000,$A20,Submissions!$D$2:$D$1000,"Accepted")&gt;0,"Accepted",IF(COUNTIFS(Submissions!$A$2:$A$1000,$A20,Submissions!$D$2:$D$1000,"Revision requested")&gt;0,"Revision due",IF(COUNTIFS(Submissions!$A$2:$A$1000,$A20,Submissions!$D$2:$D$1000,"Under review")&gt;0,"Under review",IF($K20&gt;0,"Needs resubmission","Not yet submitted"))))))</f>
        <v>Closed – rejected</v>
      </c>
      <c r="G20" s="29" t="str">
        <f aca="false">IF($A20="","",IFERROR(INDEX(Submissions!$B$2:$B$1000,MATCH(_xlfn.MAXIFS(Submissions!$L$2:$L$1000,Submissions!$A$2:$A$1000,$A20),Submissions!$L$2:$L$1000,0)),""))</f>
        <v>EPW: Postscript</v>
      </c>
      <c r="H20" s="31" t="n">
        <f aca="false">IF($A20="","",IF(_xlfn.MAXIFS(Submissions!$F$2:$F$1000,Submissions!$A$2:$A$1000,$A20)=0,"",_xlfn.MAXIFS(Submissions!$F$2:$F$1000,Submissions!$A$2:$A$1000,$A20)))</f>
        <v>45699</v>
      </c>
      <c r="I20" s="29" t="str">
        <f aca="true">IF($F20="Needs resubmission",IF($H20="","",TODAY()-$H20),"")</f>
        <v/>
      </c>
      <c r="J20" s="29" t="str">
        <f aca="false">IF($A20="","",IF(_xlfn.MINIFS(Submissions!$M$2:$M$1000,Submissions!$A$2:$A$1000,$A20)=0,"",INDEX(Submissions!$B$2:$B$1000,_xlfn.MINIFS(Submissions!$M$2:$M$1000,Submissions!$A$2:$A$1000,$A20)-1)))</f>
        <v/>
      </c>
      <c r="K20" s="29" t="n">
        <f aca="false">IF($A20="","",SUMIFS(Submissions!$J$2:$J$1000,Submissions!$A$2:$A$1000,$A20))</f>
        <v>1</v>
      </c>
      <c r="L20" s="29" t="n">
        <f aca="false">IF($A20="","",COUNTIFS(Submissions!$A$2:$A$1000,$A20,Submissions!$D$2:$D$1000,"Rejected")+COUNTIFS(Submissions!$A$2:$A$1000,$A20,Submissions!$D$2:$D$1000,"Returned by office"))</f>
        <v>1</v>
      </c>
      <c r="M20" s="30"/>
      <c r="N20" s="32" t="str">
        <f aca="false">IF(IF($F20="Revision due",3000,IF($F20="Needs resubmission",2000,IF($F20="Not yet submitted",1000,"")))="","",IF($F20="Revision due",3000,IF($F20="Needs resubmission",2000,IF($F20="Not yet submitted",1000,"")))+IF($I20="",0,MIN($I20,999))+(1000-ROW())/100000)</f>
        <v/>
      </c>
      <c r="O20" s="32" t="str">
        <f aca="false">IF($N20="","",RANK($N20,$N$2:$N$81))</f>
        <v/>
      </c>
    </row>
    <row r="21" customFormat="false" ht="30" hidden="false" customHeight="true" outlineLevel="0" collapsed="false">
      <c r="A21" s="29" t="s">
        <v>116</v>
      </c>
      <c r="B21" s="30" t="s">
        <v>117</v>
      </c>
      <c r="C21" s="29"/>
      <c r="D21" s="29" t="s">
        <v>85</v>
      </c>
      <c r="E21" s="29" t="s">
        <v>86</v>
      </c>
      <c r="F21" s="29" t="str">
        <f aca="false">IF($A21="","",IF($E21&lt;&gt;"",$E21,IF(COUNTIFS(Submissions!$A$2:$A$1000,$A21,Submissions!$D$2:$D$1000,"Accepted")&gt;0,"Accepted",IF(COUNTIFS(Submissions!$A$2:$A$1000,$A21,Submissions!$D$2:$D$1000,"Revision requested")&gt;0,"Revision due",IF(COUNTIFS(Submissions!$A$2:$A$1000,$A21,Submissions!$D$2:$D$1000,"Under review")&gt;0,"Under review",IF($K21&gt;0,"Needs resubmission","Not yet submitted"))))))</f>
        <v>Closed – rejected</v>
      </c>
      <c r="G21" s="29" t="str">
        <f aca="false">IF($A21="","",IFERROR(INDEX(Submissions!$B$2:$B$1000,MATCH(_xlfn.MAXIFS(Submissions!$L$2:$L$1000,Submissions!$A$2:$A$1000,$A21),Submissions!$L$2:$L$1000,0)),""))</f>
        <v>EPW: Postscript</v>
      </c>
      <c r="H21" s="31" t="n">
        <f aca="false">IF($A21="","",IF(_xlfn.MAXIFS(Submissions!$F$2:$F$1000,Submissions!$A$2:$A$1000,$A21)=0,"",_xlfn.MAXIFS(Submissions!$F$2:$F$1000,Submissions!$A$2:$A$1000,$A21)))</f>
        <v>45965</v>
      </c>
      <c r="I21" s="29" t="str">
        <f aca="true">IF($F21="Needs resubmission",IF($H21="","",TODAY()-$H21),"")</f>
        <v/>
      </c>
      <c r="J21" s="29" t="str">
        <f aca="false">IF($A21="","",IF(_xlfn.MINIFS(Submissions!$M$2:$M$1000,Submissions!$A$2:$A$1000,$A21)=0,"",INDEX(Submissions!$B$2:$B$1000,_xlfn.MINIFS(Submissions!$M$2:$M$1000,Submissions!$A$2:$A$1000,$A21)-1)))</f>
        <v/>
      </c>
      <c r="K21" s="29" t="n">
        <f aca="false">IF($A21="","",SUMIFS(Submissions!$J$2:$J$1000,Submissions!$A$2:$A$1000,$A21))</f>
        <v>1</v>
      </c>
      <c r="L21" s="29" t="n">
        <f aca="false">IF($A21="","",COUNTIFS(Submissions!$A$2:$A$1000,$A21,Submissions!$D$2:$D$1000,"Rejected")+COUNTIFS(Submissions!$A$2:$A$1000,$A21,Submissions!$D$2:$D$1000,"Returned by office"))</f>
        <v>1</v>
      </c>
      <c r="M21" s="30"/>
      <c r="N21" s="32" t="str">
        <f aca="false">IF(IF($F21="Revision due",3000,IF($F21="Needs resubmission",2000,IF($F21="Not yet submitted",1000,"")))="","",IF($F21="Revision due",3000,IF($F21="Needs resubmission",2000,IF($F21="Not yet submitted",1000,"")))+IF($I21="",0,MIN($I21,999))+(1000-ROW())/100000)</f>
        <v/>
      </c>
      <c r="O21" s="32" t="str">
        <f aca="false">IF($N21="","",RANK($N21,$N$2:$N$81))</f>
        <v/>
      </c>
    </row>
    <row r="22" customFormat="false" ht="30" hidden="false" customHeight="true" outlineLevel="0" collapsed="false">
      <c r="A22" s="29" t="s">
        <v>118</v>
      </c>
      <c r="B22" s="30" t="s">
        <v>119</v>
      </c>
      <c r="C22" s="29"/>
      <c r="D22" s="29" t="s">
        <v>85</v>
      </c>
      <c r="E22" s="29" t="s">
        <v>86</v>
      </c>
      <c r="F22" s="29" t="str">
        <f aca="false">IF($A22="","",IF($E22&lt;&gt;"",$E22,IF(COUNTIFS(Submissions!$A$2:$A$1000,$A22,Submissions!$D$2:$D$1000,"Accepted")&gt;0,"Accepted",IF(COUNTIFS(Submissions!$A$2:$A$1000,$A22,Submissions!$D$2:$D$1000,"Revision requested")&gt;0,"Revision due",IF(COUNTIFS(Submissions!$A$2:$A$1000,$A22,Submissions!$D$2:$D$1000,"Under review")&gt;0,"Under review",IF($K22&gt;0,"Needs resubmission","Not yet submitted"))))))</f>
        <v>Closed – rejected</v>
      </c>
      <c r="G22" s="29" t="str">
        <f aca="false">IF($A22="","",IFERROR(INDEX(Submissions!$B$2:$B$1000,MATCH(_xlfn.MAXIFS(Submissions!$L$2:$L$1000,Submissions!$A$2:$A$1000,$A22),Submissions!$L$2:$L$1000,0)),""))</f>
        <v>EPW: Commentary</v>
      </c>
      <c r="H22" s="31" t="n">
        <f aca="false">IF($A22="","",IF(_xlfn.MAXIFS(Submissions!$F$2:$F$1000,Submissions!$A$2:$A$1000,$A22)=0,"",_xlfn.MAXIFS(Submissions!$F$2:$F$1000,Submissions!$A$2:$A$1000,$A22)))</f>
        <v>45922</v>
      </c>
      <c r="I22" s="29" t="str">
        <f aca="true">IF($F22="Needs resubmission",IF($H22="","",TODAY()-$H22),"")</f>
        <v/>
      </c>
      <c r="J22" s="29" t="str">
        <f aca="false">IF($A22="","",IF(_xlfn.MINIFS(Submissions!$M$2:$M$1000,Submissions!$A$2:$A$1000,$A22)=0,"",INDEX(Submissions!$B$2:$B$1000,_xlfn.MINIFS(Submissions!$M$2:$M$1000,Submissions!$A$2:$A$1000,$A22)-1)))</f>
        <v/>
      </c>
      <c r="K22" s="29" t="n">
        <f aca="false">IF($A22="","",SUMIFS(Submissions!$J$2:$J$1000,Submissions!$A$2:$A$1000,$A22))</f>
        <v>1</v>
      </c>
      <c r="L22" s="29" t="n">
        <f aca="false">IF($A22="","",COUNTIFS(Submissions!$A$2:$A$1000,$A22,Submissions!$D$2:$D$1000,"Rejected")+COUNTIFS(Submissions!$A$2:$A$1000,$A22,Submissions!$D$2:$D$1000,"Returned by office"))</f>
        <v>1</v>
      </c>
      <c r="M22" s="30" t="s">
        <v>120</v>
      </c>
      <c r="N22" s="32" t="str">
        <f aca="false">IF(IF($F22="Revision due",3000,IF($F22="Needs resubmission",2000,IF($F22="Not yet submitted",1000,"")))="","",IF($F22="Revision due",3000,IF($F22="Needs resubmission",2000,IF($F22="Not yet submitted",1000,"")))+IF($I22="",0,MIN($I22,999))+(1000-ROW())/100000)</f>
        <v/>
      </c>
      <c r="O22" s="32" t="str">
        <f aca="false">IF($N22="","",RANK($N22,$N$2:$N$81))</f>
        <v/>
      </c>
    </row>
    <row r="23" customFormat="false" ht="15" hidden="false" customHeight="false" outlineLevel="0" collapsed="false">
      <c r="A23" s="29"/>
      <c r="B23" s="30"/>
      <c r="C23" s="29"/>
      <c r="D23" s="29"/>
      <c r="E23" s="29"/>
      <c r="F23" s="29" t="str">
        <f aca="false">IF($A23="","",IF($E23&lt;&gt;"",$E23,IF(COUNTIFS(Submissions!$A$2:$A$1000,$A23,Submissions!$D$2:$D$1000,"Accepted")&gt;0,"Accepted",IF(COUNTIFS(Submissions!$A$2:$A$1000,$A23,Submissions!$D$2:$D$1000,"Revision requested")&gt;0,"Revision due",IF(COUNTIFS(Submissions!$A$2:$A$1000,$A23,Submissions!$D$2:$D$1000,"Under review")&gt;0,"Under review",IF($K23&gt;0,"Needs resubmission","Not yet submitted"))))))</f>
        <v/>
      </c>
      <c r="G23" s="29" t="str">
        <f aca="false">IF($A23="","",IFERROR(INDEX(Submissions!$B$2:$B$1000,MATCH(_xlfn.MAXIFS(Submissions!$L$2:$L$1000,Submissions!$A$2:$A$1000,$A23),Submissions!$L$2:$L$1000,0)),""))</f>
        <v/>
      </c>
      <c r="H23" s="31" t="str">
        <f aca="false">IF($A23="","",IF(_xlfn.MAXIFS(Submissions!$F$2:$F$1000,Submissions!$A$2:$A$1000,$A23)=0,"",_xlfn.MAXIFS(Submissions!$F$2:$F$1000,Submissions!$A$2:$A$1000,$A23)))</f>
        <v/>
      </c>
      <c r="I23" s="29" t="str">
        <f aca="true">IF($F23="Needs resubmission",IF($H23="","",TODAY()-$H23),"")</f>
        <v/>
      </c>
      <c r="J23" s="29" t="str">
        <f aca="false">IF($A23="","",IF(_xlfn.MINIFS(Submissions!$M$2:$M$1000,Submissions!$A$2:$A$1000,$A23)=0,"",INDEX(Submissions!$B$2:$B$1000,_xlfn.MINIFS(Submissions!$M$2:$M$1000,Submissions!$A$2:$A$1000,$A23)-1)))</f>
        <v/>
      </c>
      <c r="K23" s="29" t="str">
        <f aca="false">IF($A23="","",SUMIFS(Submissions!$J$2:$J$1000,Submissions!$A$2:$A$1000,$A23))</f>
        <v/>
      </c>
      <c r="L23" s="29" t="str">
        <f aca="false">IF($A23="","",COUNTIFS(Submissions!$A$2:$A$1000,$A23,Submissions!$D$2:$D$1000,"Rejected")+COUNTIFS(Submissions!$A$2:$A$1000,$A23,Submissions!$D$2:$D$1000,"Returned by office"))</f>
        <v/>
      </c>
      <c r="M23" s="30"/>
      <c r="N23" s="32" t="str">
        <f aca="false">IF(IF($F23="Revision due",3000,IF($F23="Needs resubmission",2000,IF($F23="Not yet submitted",1000,"")))="","",IF($F23="Revision due",3000,IF($F23="Needs resubmission",2000,IF($F23="Not yet submitted",1000,"")))+IF($I23="",0,MIN($I23,999))+(1000-ROW())/100000)</f>
        <v/>
      </c>
      <c r="O23" s="32" t="str">
        <f aca="false">IF($N23="","",RANK($N23,$N$2:$N$81))</f>
        <v/>
      </c>
    </row>
    <row r="24" customFormat="false" ht="15" hidden="false" customHeight="false" outlineLevel="0" collapsed="false">
      <c r="A24" s="29"/>
      <c r="B24" s="30"/>
      <c r="C24" s="29"/>
      <c r="D24" s="29"/>
      <c r="E24" s="29"/>
      <c r="F24" s="29" t="str">
        <f aca="false">IF($A24="","",IF($E24&lt;&gt;"",$E24,IF(COUNTIFS(Submissions!$A$2:$A$1000,$A24,Submissions!$D$2:$D$1000,"Accepted")&gt;0,"Accepted",IF(COUNTIFS(Submissions!$A$2:$A$1000,$A24,Submissions!$D$2:$D$1000,"Revision requested")&gt;0,"Revision due",IF(COUNTIFS(Submissions!$A$2:$A$1000,$A24,Submissions!$D$2:$D$1000,"Under review")&gt;0,"Under review",IF($K24&gt;0,"Needs resubmission","Not yet submitted"))))))</f>
        <v/>
      </c>
      <c r="G24" s="29" t="str">
        <f aca="false">IF($A24="","",IFERROR(INDEX(Submissions!$B$2:$B$1000,MATCH(_xlfn.MAXIFS(Submissions!$L$2:$L$1000,Submissions!$A$2:$A$1000,$A24),Submissions!$L$2:$L$1000,0)),""))</f>
        <v/>
      </c>
      <c r="H24" s="31" t="str">
        <f aca="false">IF($A24="","",IF(_xlfn.MAXIFS(Submissions!$F$2:$F$1000,Submissions!$A$2:$A$1000,$A24)=0,"",_xlfn.MAXIFS(Submissions!$F$2:$F$1000,Submissions!$A$2:$A$1000,$A24)))</f>
        <v/>
      </c>
      <c r="I24" s="29" t="str">
        <f aca="true">IF($F24="Needs resubmission",IF($H24="","",TODAY()-$H24),"")</f>
        <v/>
      </c>
      <c r="J24" s="29" t="str">
        <f aca="false">IF($A24="","",IF(_xlfn.MINIFS(Submissions!$M$2:$M$1000,Submissions!$A$2:$A$1000,$A24)=0,"",INDEX(Submissions!$B$2:$B$1000,_xlfn.MINIFS(Submissions!$M$2:$M$1000,Submissions!$A$2:$A$1000,$A24)-1)))</f>
        <v/>
      </c>
      <c r="K24" s="29" t="str">
        <f aca="false">IF($A24="","",SUMIFS(Submissions!$J$2:$J$1000,Submissions!$A$2:$A$1000,$A24))</f>
        <v/>
      </c>
      <c r="L24" s="29" t="str">
        <f aca="false">IF($A24="","",COUNTIFS(Submissions!$A$2:$A$1000,$A24,Submissions!$D$2:$D$1000,"Rejected")+COUNTIFS(Submissions!$A$2:$A$1000,$A24,Submissions!$D$2:$D$1000,"Returned by office"))</f>
        <v/>
      </c>
      <c r="M24" s="30"/>
      <c r="N24" s="32" t="str">
        <f aca="false">IF(IF($F24="Revision due",3000,IF($F24="Needs resubmission",2000,IF($F24="Not yet submitted",1000,"")))="","",IF($F24="Revision due",3000,IF($F24="Needs resubmission",2000,IF($F24="Not yet submitted",1000,"")))+IF($I24="",0,MIN($I24,999))+(1000-ROW())/100000)</f>
        <v/>
      </c>
      <c r="O24" s="32" t="str">
        <f aca="false">IF($N24="","",RANK($N24,$N$2:$N$81))</f>
        <v/>
      </c>
    </row>
    <row r="25" customFormat="false" ht="15" hidden="false" customHeight="false" outlineLevel="0" collapsed="false">
      <c r="A25" s="29"/>
      <c r="B25" s="30"/>
      <c r="C25" s="29"/>
      <c r="D25" s="29"/>
      <c r="E25" s="29"/>
      <c r="F25" s="29" t="str">
        <f aca="false">IF($A25="","",IF($E25&lt;&gt;"",$E25,IF(COUNTIFS(Submissions!$A$2:$A$1000,$A25,Submissions!$D$2:$D$1000,"Accepted")&gt;0,"Accepted",IF(COUNTIFS(Submissions!$A$2:$A$1000,$A25,Submissions!$D$2:$D$1000,"Revision requested")&gt;0,"Revision due",IF(COUNTIFS(Submissions!$A$2:$A$1000,$A25,Submissions!$D$2:$D$1000,"Under review")&gt;0,"Under review",IF($K25&gt;0,"Needs resubmission","Not yet submitted"))))))</f>
        <v/>
      </c>
      <c r="G25" s="29" t="str">
        <f aca="false">IF($A25="","",IFERROR(INDEX(Submissions!$B$2:$B$1000,MATCH(_xlfn.MAXIFS(Submissions!$L$2:$L$1000,Submissions!$A$2:$A$1000,$A25),Submissions!$L$2:$L$1000,0)),""))</f>
        <v/>
      </c>
      <c r="H25" s="31" t="str">
        <f aca="false">IF($A25="","",IF(_xlfn.MAXIFS(Submissions!$F$2:$F$1000,Submissions!$A$2:$A$1000,$A25)=0,"",_xlfn.MAXIFS(Submissions!$F$2:$F$1000,Submissions!$A$2:$A$1000,$A25)))</f>
        <v/>
      </c>
      <c r="I25" s="29" t="str">
        <f aca="true">IF($F25="Needs resubmission",IF($H25="","",TODAY()-$H25),"")</f>
        <v/>
      </c>
      <c r="J25" s="29" t="str">
        <f aca="false">IF($A25="","",IF(_xlfn.MINIFS(Submissions!$M$2:$M$1000,Submissions!$A$2:$A$1000,$A25)=0,"",INDEX(Submissions!$B$2:$B$1000,_xlfn.MINIFS(Submissions!$M$2:$M$1000,Submissions!$A$2:$A$1000,$A25)-1)))</f>
        <v/>
      </c>
      <c r="K25" s="29" t="str">
        <f aca="false">IF($A25="","",SUMIFS(Submissions!$J$2:$J$1000,Submissions!$A$2:$A$1000,$A25))</f>
        <v/>
      </c>
      <c r="L25" s="29" t="str">
        <f aca="false">IF($A25="","",COUNTIFS(Submissions!$A$2:$A$1000,$A25,Submissions!$D$2:$D$1000,"Rejected")+COUNTIFS(Submissions!$A$2:$A$1000,$A25,Submissions!$D$2:$D$1000,"Returned by office"))</f>
        <v/>
      </c>
      <c r="M25" s="30"/>
      <c r="N25" s="32" t="str">
        <f aca="false">IF(IF($F25="Revision due",3000,IF($F25="Needs resubmission",2000,IF($F25="Not yet submitted",1000,"")))="","",IF($F25="Revision due",3000,IF($F25="Needs resubmission",2000,IF($F25="Not yet submitted",1000,"")))+IF($I25="",0,MIN($I25,999))+(1000-ROW())/100000)</f>
        <v/>
      </c>
      <c r="O25" s="32" t="str">
        <f aca="false">IF($N25="","",RANK($N25,$N$2:$N$81))</f>
        <v/>
      </c>
    </row>
    <row r="26" customFormat="false" ht="15" hidden="false" customHeight="false" outlineLevel="0" collapsed="false">
      <c r="A26" s="29"/>
      <c r="B26" s="30"/>
      <c r="C26" s="29"/>
      <c r="D26" s="29"/>
      <c r="E26" s="29"/>
      <c r="F26" s="29" t="str">
        <f aca="false">IF($A26="","",IF($E26&lt;&gt;"",$E26,IF(COUNTIFS(Submissions!$A$2:$A$1000,$A26,Submissions!$D$2:$D$1000,"Accepted")&gt;0,"Accepted",IF(COUNTIFS(Submissions!$A$2:$A$1000,$A26,Submissions!$D$2:$D$1000,"Revision requested")&gt;0,"Revision due",IF(COUNTIFS(Submissions!$A$2:$A$1000,$A26,Submissions!$D$2:$D$1000,"Under review")&gt;0,"Under review",IF($K26&gt;0,"Needs resubmission","Not yet submitted"))))))</f>
        <v/>
      </c>
      <c r="G26" s="29" t="str">
        <f aca="false">IF($A26="","",IFERROR(INDEX(Submissions!$B$2:$B$1000,MATCH(_xlfn.MAXIFS(Submissions!$L$2:$L$1000,Submissions!$A$2:$A$1000,$A26),Submissions!$L$2:$L$1000,0)),""))</f>
        <v/>
      </c>
      <c r="H26" s="31" t="str">
        <f aca="false">IF($A26="","",IF(_xlfn.MAXIFS(Submissions!$F$2:$F$1000,Submissions!$A$2:$A$1000,$A26)=0,"",_xlfn.MAXIFS(Submissions!$F$2:$F$1000,Submissions!$A$2:$A$1000,$A26)))</f>
        <v/>
      </c>
      <c r="I26" s="29" t="str">
        <f aca="true">IF($F26="Needs resubmission",IF($H26="","",TODAY()-$H26),"")</f>
        <v/>
      </c>
      <c r="J26" s="29" t="str">
        <f aca="false">IF($A26="","",IF(_xlfn.MINIFS(Submissions!$M$2:$M$1000,Submissions!$A$2:$A$1000,$A26)=0,"",INDEX(Submissions!$B$2:$B$1000,_xlfn.MINIFS(Submissions!$M$2:$M$1000,Submissions!$A$2:$A$1000,$A26)-1)))</f>
        <v/>
      </c>
      <c r="K26" s="29" t="str">
        <f aca="false">IF($A26="","",SUMIFS(Submissions!$J$2:$J$1000,Submissions!$A$2:$A$1000,$A26))</f>
        <v/>
      </c>
      <c r="L26" s="29" t="str">
        <f aca="false">IF($A26="","",COUNTIFS(Submissions!$A$2:$A$1000,$A26,Submissions!$D$2:$D$1000,"Rejected")+COUNTIFS(Submissions!$A$2:$A$1000,$A26,Submissions!$D$2:$D$1000,"Returned by office"))</f>
        <v/>
      </c>
      <c r="M26" s="30"/>
      <c r="N26" s="32" t="str">
        <f aca="false">IF(IF($F26="Revision due",3000,IF($F26="Needs resubmission",2000,IF($F26="Not yet submitted",1000,"")))="","",IF($F26="Revision due",3000,IF($F26="Needs resubmission",2000,IF($F26="Not yet submitted",1000,"")))+IF($I26="",0,MIN($I26,999))+(1000-ROW())/100000)</f>
        <v/>
      </c>
      <c r="O26" s="32" t="str">
        <f aca="false">IF($N26="","",RANK($N26,$N$2:$N$81))</f>
        <v/>
      </c>
    </row>
    <row r="27" customFormat="false" ht="15" hidden="false" customHeight="false" outlineLevel="0" collapsed="false">
      <c r="A27" s="29"/>
      <c r="B27" s="30"/>
      <c r="C27" s="29"/>
      <c r="D27" s="29"/>
      <c r="E27" s="29"/>
      <c r="F27" s="29" t="str">
        <f aca="false">IF($A27="","",IF($E27&lt;&gt;"",$E27,IF(COUNTIFS(Submissions!$A$2:$A$1000,$A27,Submissions!$D$2:$D$1000,"Accepted")&gt;0,"Accepted",IF(COUNTIFS(Submissions!$A$2:$A$1000,$A27,Submissions!$D$2:$D$1000,"Revision requested")&gt;0,"Revision due",IF(COUNTIFS(Submissions!$A$2:$A$1000,$A27,Submissions!$D$2:$D$1000,"Under review")&gt;0,"Under review",IF($K27&gt;0,"Needs resubmission","Not yet submitted"))))))</f>
        <v/>
      </c>
      <c r="G27" s="29" t="str">
        <f aca="false">IF($A27="","",IFERROR(INDEX(Submissions!$B$2:$B$1000,MATCH(_xlfn.MAXIFS(Submissions!$L$2:$L$1000,Submissions!$A$2:$A$1000,$A27),Submissions!$L$2:$L$1000,0)),""))</f>
        <v/>
      </c>
      <c r="H27" s="31" t="str">
        <f aca="false">IF($A27="","",IF(_xlfn.MAXIFS(Submissions!$F$2:$F$1000,Submissions!$A$2:$A$1000,$A27)=0,"",_xlfn.MAXIFS(Submissions!$F$2:$F$1000,Submissions!$A$2:$A$1000,$A27)))</f>
        <v/>
      </c>
      <c r="I27" s="29" t="str">
        <f aca="true">IF($F27="Needs resubmission",IF($H27="","",TODAY()-$H27),"")</f>
        <v/>
      </c>
      <c r="J27" s="29" t="str">
        <f aca="false">IF($A27="","",IF(_xlfn.MINIFS(Submissions!$M$2:$M$1000,Submissions!$A$2:$A$1000,$A27)=0,"",INDEX(Submissions!$B$2:$B$1000,_xlfn.MINIFS(Submissions!$M$2:$M$1000,Submissions!$A$2:$A$1000,$A27)-1)))</f>
        <v/>
      </c>
      <c r="K27" s="29" t="str">
        <f aca="false">IF($A27="","",SUMIFS(Submissions!$J$2:$J$1000,Submissions!$A$2:$A$1000,$A27))</f>
        <v/>
      </c>
      <c r="L27" s="29" t="str">
        <f aca="false">IF($A27="","",COUNTIFS(Submissions!$A$2:$A$1000,$A27,Submissions!$D$2:$D$1000,"Rejected")+COUNTIFS(Submissions!$A$2:$A$1000,$A27,Submissions!$D$2:$D$1000,"Returned by office"))</f>
        <v/>
      </c>
      <c r="M27" s="30"/>
      <c r="N27" s="32" t="str">
        <f aca="false">IF(IF($F27="Revision due",3000,IF($F27="Needs resubmission",2000,IF($F27="Not yet submitted",1000,"")))="","",IF($F27="Revision due",3000,IF($F27="Needs resubmission",2000,IF($F27="Not yet submitted",1000,"")))+IF($I27="",0,MIN($I27,999))+(1000-ROW())/100000)</f>
        <v/>
      </c>
      <c r="O27" s="32" t="str">
        <f aca="false">IF($N27="","",RANK($N27,$N$2:$N$81))</f>
        <v/>
      </c>
    </row>
    <row r="28" customFormat="false" ht="15" hidden="false" customHeight="false" outlineLevel="0" collapsed="false">
      <c r="A28" s="29"/>
      <c r="B28" s="30"/>
      <c r="C28" s="29"/>
      <c r="D28" s="29"/>
      <c r="E28" s="29"/>
      <c r="F28" s="29" t="str">
        <f aca="false">IF($A28="","",IF($E28&lt;&gt;"",$E28,IF(COUNTIFS(Submissions!$A$2:$A$1000,$A28,Submissions!$D$2:$D$1000,"Accepted")&gt;0,"Accepted",IF(COUNTIFS(Submissions!$A$2:$A$1000,$A28,Submissions!$D$2:$D$1000,"Revision requested")&gt;0,"Revision due",IF(COUNTIFS(Submissions!$A$2:$A$1000,$A28,Submissions!$D$2:$D$1000,"Under review")&gt;0,"Under review",IF($K28&gt;0,"Needs resubmission","Not yet submitted"))))))</f>
        <v/>
      </c>
      <c r="G28" s="29" t="str">
        <f aca="false">IF($A28="","",IFERROR(INDEX(Submissions!$B$2:$B$1000,MATCH(_xlfn.MAXIFS(Submissions!$L$2:$L$1000,Submissions!$A$2:$A$1000,$A28),Submissions!$L$2:$L$1000,0)),""))</f>
        <v/>
      </c>
      <c r="H28" s="31" t="str">
        <f aca="false">IF($A28="","",IF(_xlfn.MAXIFS(Submissions!$F$2:$F$1000,Submissions!$A$2:$A$1000,$A28)=0,"",_xlfn.MAXIFS(Submissions!$F$2:$F$1000,Submissions!$A$2:$A$1000,$A28)))</f>
        <v/>
      </c>
      <c r="I28" s="29" t="str">
        <f aca="true">IF($F28="Needs resubmission",IF($H28="","",TODAY()-$H28),"")</f>
        <v/>
      </c>
      <c r="J28" s="29" t="str">
        <f aca="false">IF($A28="","",IF(_xlfn.MINIFS(Submissions!$M$2:$M$1000,Submissions!$A$2:$A$1000,$A28)=0,"",INDEX(Submissions!$B$2:$B$1000,_xlfn.MINIFS(Submissions!$M$2:$M$1000,Submissions!$A$2:$A$1000,$A28)-1)))</f>
        <v/>
      </c>
      <c r="K28" s="29" t="str">
        <f aca="false">IF($A28="","",SUMIFS(Submissions!$J$2:$J$1000,Submissions!$A$2:$A$1000,$A28))</f>
        <v/>
      </c>
      <c r="L28" s="29" t="str">
        <f aca="false">IF($A28="","",COUNTIFS(Submissions!$A$2:$A$1000,$A28,Submissions!$D$2:$D$1000,"Rejected")+COUNTIFS(Submissions!$A$2:$A$1000,$A28,Submissions!$D$2:$D$1000,"Returned by office"))</f>
        <v/>
      </c>
      <c r="M28" s="30"/>
      <c r="N28" s="32" t="str">
        <f aca="false">IF(IF($F28="Revision due",3000,IF($F28="Needs resubmission",2000,IF($F28="Not yet submitted",1000,"")))="","",IF($F28="Revision due",3000,IF($F28="Needs resubmission",2000,IF($F28="Not yet submitted",1000,"")))+IF($I28="",0,MIN($I28,999))+(1000-ROW())/100000)</f>
        <v/>
      </c>
      <c r="O28" s="32" t="str">
        <f aca="false">IF($N28="","",RANK($N28,$N$2:$N$81))</f>
        <v/>
      </c>
    </row>
    <row r="29" customFormat="false" ht="15" hidden="false" customHeight="false" outlineLevel="0" collapsed="false">
      <c r="A29" s="29"/>
      <c r="B29" s="30"/>
      <c r="C29" s="29"/>
      <c r="D29" s="29"/>
      <c r="E29" s="29"/>
      <c r="F29" s="29" t="str">
        <f aca="false">IF($A29="","",IF($E29&lt;&gt;"",$E29,IF(COUNTIFS(Submissions!$A$2:$A$1000,$A29,Submissions!$D$2:$D$1000,"Accepted")&gt;0,"Accepted",IF(COUNTIFS(Submissions!$A$2:$A$1000,$A29,Submissions!$D$2:$D$1000,"Revision requested")&gt;0,"Revision due",IF(COUNTIFS(Submissions!$A$2:$A$1000,$A29,Submissions!$D$2:$D$1000,"Under review")&gt;0,"Under review",IF($K29&gt;0,"Needs resubmission","Not yet submitted"))))))</f>
        <v/>
      </c>
      <c r="G29" s="29" t="str">
        <f aca="false">IF($A29="","",IFERROR(INDEX(Submissions!$B$2:$B$1000,MATCH(_xlfn.MAXIFS(Submissions!$L$2:$L$1000,Submissions!$A$2:$A$1000,$A29),Submissions!$L$2:$L$1000,0)),""))</f>
        <v/>
      </c>
      <c r="H29" s="31" t="str">
        <f aca="false">IF($A29="","",IF(_xlfn.MAXIFS(Submissions!$F$2:$F$1000,Submissions!$A$2:$A$1000,$A29)=0,"",_xlfn.MAXIFS(Submissions!$F$2:$F$1000,Submissions!$A$2:$A$1000,$A29)))</f>
        <v/>
      </c>
      <c r="I29" s="29" t="str">
        <f aca="true">IF($F29="Needs resubmission",IF($H29="","",TODAY()-$H29),"")</f>
        <v/>
      </c>
      <c r="J29" s="29" t="str">
        <f aca="false">IF($A29="","",IF(_xlfn.MINIFS(Submissions!$M$2:$M$1000,Submissions!$A$2:$A$1000,$A29)=0,"",INDEX(Submissions!$B$2:$B$1000,_xlfn.MINIFS(Submissions!$M$2:$M$1000,Submissions!$A$2:$A$1000,$A29)-1)))</f>
        <v/>
      </c>
      <c r="K29" s="29" t="str">
        <f aca="false">IF($A29="","",SUMIFS(Submissions!$J$2:$J$1000,Submissions!$A$2:$A$1000,$A29))</f>
        <v/>
      </c>
      <c r="L29" s="29" t="str">
        <f aca="false">IF($A29="","",COUNTIFS(Submissions!$A$2:$A$1000,$A29,Submissions!$D$2:$D$1000,"Rejected")+COUNTIFS(Submissions!$A$2:$A$1000,$A29,Submissions!$D$2:$D$1000,"Returned by office"))</f>
        <v/>
      </c>
      <c r="M29" s="30"/>
      <c r="N29" s="32" t="str">
        <f aca="false">IF(IF($F29="Revision due",3000,IF($F29="Needs resubmission",2000,IF($F29="Not yet submitted",1000,"")))="","",IF($F29="Revision due",3000,IF($F29="Needs resubmission",2000,IF($F29="Not yet submitted",1000,"")))+IF($I29="",0,MIN($I29,999))+(1000-ROW())/100000)</f>
        <v/>
      </c>
      <c r="O29" s="32" t="str">
        <f aca="false">IF($N29="","",RANK($N29,$N$2:$N$81))</f>
        <v/>
      </c>
    </row>
    <row r="30" customFormat="false" ht="15" hidden="false" customHeight="false" outlineLevel="0" collapsed="false">
      <c r="A30" s="29"/>
      <c r="B30" s="30"/>
      <c r="C30" s="29"/>
      <c r="D30" s="29"/>
      <c r="E30" s="29"/>
      <c r="F30" s="29" t="str">
        <f aca="false">IF($A30="","",IF($E30&lt;&gt;"",$E30,IF(COUNTIFS(Submissions!$A$2:$A$1000,$A30,Submissions!$D$2:$D$1000,"Accepted")&gt;0,"Accepted",IF(COUNTIFS(Submissions!$A$2:$A$1000,$A30,Submissions!$D$2:$D$1000,"Revision requested")&gt;0,"Revision due",IF(COUNTIFS(Submissions!$A$2:$A$1000,$A30,Submissions!$D$2:$D$1000,"Under review")&gt;0,"Under review",IF($K30&gt;0,"Needs resubmission","Not yet submitted"))))))</f>
        <v/>
      </c>
      <c r="G30" s="29" t="str">
        <f aca="false">IF($A30="","",IFERROR(INDEX(Submissions!$B$2:$B$1000,MATCH(_xlfn.MAXIFS(Submissions!$L$2:$L$1000,Submissions!$A$2:$A$1000,$A30),Submissions!$L$2:$L$1000,0)),""))</f>
        <v/>
      </c>
      <c r="H30" s="31" t="str">
        <f aca="false">IF($A30="","",IF(_xlfn.MAXIFS(Submissions!$F$2:$F$1000,Submissions!$A$2:$A$1000,$A30)=0,"",_xlfn.MAXIFS(Submissions!$F$2:$F$1000,Submissions!$A$2:$A$1000,$A30)))</f>
        <v/>
      </c>
      <c r="I30" s="29" t="str">
        <f aca="true">IF($F30="Needs resubmission",IF($H30="","",TODAY()-$H30),"")</f>
        <v/>
      </c>
      <c r="J30" s="29" t="str">
        <f aca="false">IF($A30="","",IF(_xlfn.MINIFS(Submissions!$M$2:$M$1000,Submissions!$A$2:$A$1000,$A30)=0,"",INDEX(Submissions!$B$2:$B$1000,_xlfn.MINIFS(Submissions!$M$2:$M$1000,Submissions!$A$2:$A$1000,$A30)-1)))</f>
        <v/>
      </c>
      <c r="K30" s="29" t="str">
        <f aca="false">IF($A30="","",SUMIFS(Submissions!$J$2:$J$1000,Submissions!$A$2:$A$1000,$A30))</f>
        <v/>
      </c>
      <c r="L30" s="29" t="str">
        <f aca="false">IF($A30="","",COUNTIFS(Submissions!$A$2:$A$1000,$A30,Submissions!$D$2:$D$1000,"Rejected")+COUNTIFS(Submissions!$A$2:$A$1000,$A30,Submissions!$D$2:$D$1000,"Returned by office"))</f>
        <v/>
      </c>
      <c r="M30" s="30"/>
      <c r="N30" s="32" t="str">
        <f aca="false">IF(IF($F30="Revision due",3000,IF($F30="Needs resubmission",2000,IF($F30="Not yet submitted",1000,"")))="","",IF($F30="Revision due",3000,IF($F30="Needs resubmission",2000,IF($F30="Not yet submitted",1000,"")))+IF($I30="",0,MIN($I30,999))+(1000-ROW())/100000)</f>
        <v/>
      </c>
      <c r="O30" s="32" t="str">
        <f aca="false">IF($N30="","",RANK($N30,$N$2:$N$81))</f>
        <v/>
      </c>
    </row>
    <row r="31" customFormat="false" ht="15" hidden="false" customHeight="false" outlineLevel="0" collapsed="false">
      <c r="A31" s="29"/>
      <c r="B31" s="30"/>
      <c r="C31" s="29"/>
      <c r="D31" s="29"/>
      <c r="E31" s="29"/>
      <c r="F31" s="29" t="str">
        <f aca="false">IF($A31="","",IF($E31&lt;&gt;"",$E31,IF(COUNTIFS(Submissions!$A$2:$A$1000,$A31,Submissions!$D$2:$D$1000,"Accepted")&gt;0,"Accepted",IF(COUNTIFS(Submissions!$A$2:$A$1000,$A31,Submissions!$D$2:$D$1000,"Revision requested")&gt;0,"Revision due",IF(COUNTIFS(Submissions!$A$2:$A$1000,$A31,Submissions!$D$2:$D$1000,"Under review")&gt;0,"Under review",IF($K31&gt;0,"Needs resubmission","Not yet submitted"))))))</f>
        <v/>
      </c>
      <c r="G31" s="29" t="str">
        <f aca="false">IF($A31="","",IFERROR(INDEX(Submissions!$B$2:$B$1000,MATCH(_xlfn.MAXIFS(Submissions!$L$2:$L$1000,Submissions!$A$2:$A$1000,$A31),Submissions!$L$2:$L$1000,0)),""))</f>
        <v/>
      </c>
      <c r="H31" s="31" t="str">
        <f aca="false">IF($A31="","",IF(_xlfn.MAXIFS(Submissions!$F$2:$F$1000,Submissions!$A$2:$A$1000,$A31)=0,"",_xlfn.MAXIFS(Submissions!$F$2:$F$1000,Submissions!$A$2:$A$1000,$A31)))</f>
        <v/>
      </c>
      <c r="I31" s="29" t="str">
        <f aca="true">IF($F31="Needs resubmission",IF($H31="","",TODAY()-$H31),"")</f>
        <v/>
      </c>
      <c r="J31" s="29" t="str">
        <f aca="false">IF($A31="","",IF(_xlfn.MINIFS(Submissions!$M$2:$M$1000,Submissions!$A$2:$A$1000,$A31)=0,"",INDEX(Submissions!$B$2:$B$1000,_xlfn.MINIFS(Submissions!$M$2:$M$1000,Submissions!$A$2:$A$1000,$A31)-1)))</f>
        <v/>
      </c>
      <c r="K31" s="29" t="str">
        <f aca="false">IF($A31="","",SUMIFS(Submissions!$J$2:$J$1000,Submissions!$A$2:$A$1000,$A31))</f>
        <v/>
      </c>
      <c r="L31" s="29" t="str">
        <f aca="false">IF($A31="","",COUNTIFS(Submissions!$A$2:$A$1000,$A31,Submissions!$D$2:$D$1000,"Rejected")+COUNTIFS(Submissions!$A$2:$A$1000,$A31,Submissions!$D$2:$D$1000,"Returned by office"))</f>
        <v/>
      </c>
      <c r="M31" s="30"/>
      <c r="N31" s="32" t="str">
        <f aca="false">IF(IF($F31="Revision due",3000,IF($F31="Needs resubmission",2000,IF($F31="Not yet submitted",1000,"")))="","",IF($F31="Revision due",3000,IF($F31="Needs resubmission",2000,IF($F31="Not yet submitted",1000,"")))+IF($I31="",0,MIN($I31,999))+(1000-ROW())/100000)</f>
        <v/>
      </c>
      <c r="O31" s="32" t="str">
        <f aca="false">IF($N31="","",RANK($N31,$N$2:$N$81))</f>
        <v/>
      </c>
    </row>
    <row r="32" customFormat="false" ht="15" hidden="false" customHeight="false" outlineLevel="0" collapsed="false">
      <c r="A32" s="29"/>
      <c r="B32" s="30"/>
      <c r="C32" s="29"/>
      <c r="D32" s="29"/>
      <c r="E32" s="29"/>
      <c r="F32" s="29" t="str">
        <f aca="false">IF($A32="","",IF($E32&lt;&gt;"",$E32,IF(COUNTIFS(Submissions!$A$2:$A$1000,$A32,Submissions!$D$2:$D$1000,"Accepted")&gt;0,"Accepted",IF(COUNTIFS(Submissions!$A$2:$A$1000,$A32,Submissions!$D$2:$D$1000,"Revision requested")&gt;0,"Revision due",IF(COUNTIFS(Submissions!$A$2:$A$1000,$A32,Submissions!$D$2:$D$1000,"Under review")&gt;0,"Under review",IF($K32&gt;0,"Needs resubmission","Not yet submitted"))))))</f>
        <v/>
      </c>
      <c r="G32" s="29" t="str">
        <f aca="false">IF($A32="","",IFERROR(INDEX(Submissions!$B$2:$B$1000,MATCH(_xlfn.MAXIFS(Submissions!$L$2:$L$1000,Submissions!$A$2:$A$1000,$A32),Submissions!$L$2:$L$1000,0)),""))</f>
        <v/>
      </c>
      <c r="H32" s="31" t="str">
        <f aca="false">IF($A32="","",IF(_xlfn.MAXIFS(Submissions!$F$2:$F$1000,Submissions!$A$2:$A$1000,$A32)=0,"",_xlfn.MAXIFS(Submissions!$F$2:$F$1000,Submissions!$A$2:$A$1000,$A32)))</f>
        <v/>
      </c>
      <c r="I32" s="29" t="str">
        <f aca="true">IF($F32="Needs resubmission",IF($H32="","",TODAY()-$H32),"")</f>
        <v/>
      </c>
      <c r="J32" s="29" t="str">
        <f aca="false">IF($A32="","",IF(_xlfn.MINIFS(Submissions!$M$2:$M$1000,Submissions!$A$2:$A$1000,$A32)=0,"",INDEX(Submissions!$B$2:$B$1000,_xlfn.MINIFS(Submissions!$M$2:$M$1000,Submissions!$A$2:$A$1000,$A32)-1)))</f>
        <v/>
      </c>
      <c r="K32" s="29" t="str">
        <f aca="false">IF($A32="","",SUMIFS(Submissions!$J$2:$J$1000,Submissions!$A$2:$A$1000,$A32))</f>
        <v/>
      </c>
      <c r="L32" s="29" t="str">
        <f aca="false">IF($A32="","",COUNTIFS(Submissions!$A$2:$A$1000,$A32,Submissions!$D$2:$D$1000,"Rejected")+COUNTIFS(Submissions!$A$2:$A$1000,$A32,Submissions!$D$2:$D$1000,"Returned by office"))</f>
        <v/>
      </c>
      <c r="M32" s="30"/>
      <c r="N32" s="32" t="str">
        <f aca="false">IF(IF($F32="Revision due",3000,IF($F32="Needs resubmission",2000,IF($F32="Not yet submitted",1000,"")))="","",IF($F32="Revision due",3000,IF($F32="Needs resubmission",2000,IF($F32="Not yet submitted",1000,"")))+IF($I32="",0,MIN($I32,999))+(1000-ROW())/100000)</f>
        <v/>
      </c>
      <c r="O32" s="32" t="str">
        <f aca="false">IF($N32="","",RANK($N32,$N$2:$N$81))</f>
        <v/>
      </c>
    </row>
    <row r="33" customFormat="false" ht="15" hidden="false" customHeight="false" outlineLevel="0" collapsed="false">
      <c r="A33" s="29"/>
      <c r="B33" s="30"/>
      <c r="C33" s="29"/>
      <c r="D33" s="29"/>
      <c r="E33" s="29"/>
      <c r="F33" s="29" t="str">
        <f aca="false">IF($A33="","",IF($E33&lt;&gt;"",$E33,IF(COUNTIFS(Submissions!$A$2:$A$1000,$A33,Submissions!$D$2:$D$1000,"Accepted")&gt;0,"Accepted",IF(COUNTIFS(Submissions!$A$2:$A$1000,$A33,Submissions!$D$2:$D$1000,"Revision requested")&gt;0,"Revision due",IF(COUNTIFS(Submissions!$A$2:$A$1000,$A33,Submissions!$D$2:$D$1000,"Under review")&gt;0,"Under review",IF($K33&gt;0,"Needs resubmission","Not yet submitted"))))))</f>
        <v/>
      </c>
      <c r="G33" s="29" t="str">
        <f aca="false">IF($A33="","",IFERROR(INDEX(Submissions!$B$2:$B$1000,MATCH(_xlfn.MAXIFS(Submissions!$L$2:$L$1000,Submissions!$A$2:$A$1000,$A33),Submissions!$L$2:$L$1000,0)),""))</f>
        <v/>
      </c>
      <c r="H33" s="31" t="str">
        <f aca="false">IF($A33="","",IF(_xlfn.MAXIFS(Submissions!$F$2:$F$1000,Submissions!$A$2:$A$1000,$A33)=0,"",_xlfn.MAXIFS(Submissions!$F$2:$F$1000,Submissions!$A$2:$A$1000,$A33)))</f>
        <v/>
      </c>
      <c r="I33" s="29" t="str">
        <f aca="true">IF($F33="Needs resubmission",IF($H33="","",TODAY()-$H33),"")</f>
        <v/>
      </c>
      <c r="J33" s="29" t="str">
        <f aca="false">IF($A33="","",IF(_xlfn.MINIFS(Submissions!$M$2:$M$1000,Submissions!$A$2:$A$1000,$A33)=0,"",INDEX(Submissions!$B$2:$B$1000,_xlfn.MINIFS(Submissions!$M$2:$M$1000,Submissions!$A$2:$A$1000,$A33)-1)))</f>
        <v/>
      </c>
      <c r="K33" s="29" t="str">
        <f aca="false">IF($A33="","",SUMIFS(Submissions!$J$2:$J$1000,Submissions!$A$2:$A$1000,$A33))</f>
        <v/>
      </c>
      <c r="L33" s="29" t="str">
        <f aca="false">IF($A33="","",COUNTIFS(Submissions!$A$2:$A$1000,$A33,Submissions!$D$2:$D$1000,"Rejected")+COUNTIFS(Submissions!$A$2:$A$1000,$A33,Submissions!$D$2:$D$1000,"Returned by office"))</f>
        <v/>
      </c>
      <c r="M33" s="30"/>
      <c r="N33" s="32" t="str">
        <f aca="false">IF(IF($F33="Revision due",3000,IF($F33="Needs resubmission",2000,IF($F33="Not yet submitted",1000,"")))="","",IF($F33="Revision due",3000,IF($F33="Needs resubmission",2000,IF($F33="Not yet submitted",1000,"")))+IF($I33="",0,MIN($I33,999))+(1000-ROW())/100000)</f>
        <v/>
      </c>
      <c r="O33" s="32" t="str">
        <f aca="false">IF($N33="","",RANK($N33,$N$2:$N$81))</f>
        <v/>
      </c>
    </row>
    <row r="34" customFormat="false" ht="15" hidden="false" customHeight="false" outlineLevel="0" collapsed="false">
      <c r="A34" s="29"/>
      <c r="B34" s="30"/>
      <c r="C34" s="29"/>
      <c r="D34" s="29"/>
      <c r="E34" s="29"/>
      <c r="F34" s="29" t="str">
        <f aca="false">IF($A34="","",IF($E34&lt;&gt;"",$E34,IF(COUNTIFS(Submissions!$A$2:$A$1000,$A34,Submissions!$D$2:$D$1000,"Accepted")&gt;0,"Accepted",IF(COUNTIFS(Submissions!$A$2:$A$1000,$A34,Submissions!$D$2:$D$1000,"Revision requested")&gt;0,"Revision due",IF(COUNTIFS(Submissions!$A$2:$A$1000,$A34,Submissions!$D$2:$D$1000,"Under review")&gt;0,"Under review",IF($K34&gt;0,"Needs resubmission","Not yet submitted"))))))</f>
        <v/>
      </c>
      <c r="G34" s="29" t="str">
        <f aca="false">IF($A34="","",IFERROR(INDEX(Submissions!$B$2:$B$1000,MATCH(_xlfn.MAXIFS(Submissions!$L$2:$L$1000,Submissions!$A$2:$A$1000,$A34),Submissions!$L$2:$L$1000,0)),""))</f>
        <v/>
      </c>
      <c r="H34" s="31" t="str">
        <f aca="false">IF($A34="","",IF(_xlfn.MAXIFS(Submissions!$F$2:$F$1000,Submissions!$A$2:$A$1000,$A34)=0,"",_xlfn.MAXIFS(Submissions!$F$2:$F$1000,Submissions!$A$2:$A$1000,$A34)))</f>
        <v/>
      </c>
      <c r="I34" s="29" t="str">
        <f aca="true">IF($F34="Needs resubmission",IF($H34="","",TODAY()-$H34),"")</f>
        <v/>
      </c>
      <c r="J34" s="29" t="str">
        <f aca="false">IF($A34="","",IF(_xlfn.MINIFS(Submissions!$M$2:$M$1000,Submissions!$A$2:$A$1000,$A34)=0,"",INDEX(Submissions!$B$2:$B$1000,_xlfn.MINIFS(Submissions!$M$2:$M$1000,Submissions!$A$2:$A$1000,$A34)-1)))</f>
        <v/>
      </c>
      <c r="K34" s="29" t="str">
        <f aca="false">IF($A34="","",SUMIFS(Submissions!$J$2:$J$1000,Submissions!$A$2:$A$1000,$A34))</f>
        <v/>
      </c>
      <c r="L34" s="29" t="str">
        <f aca="false">IF($A34="","",COUNTIFS(Submissions!$A$2:$A$1000,$A34,Submissions!$D$2:$D$1000,"Rejected")+COUNTIFS(Submissions!$A$2:$A$1000,$A34,Submissions!$D$2:$D$1000,"Returned by office"))</f>
        <v/>
      </c>
      <c r="M34" s="30"/>
      <c r="N34" s="32" t="str">
        <f aca="false">IF(IF($F34="Revision due",3000,IF($F34="Needs resubmission",2000,IF($F34="Not yet submitted",1000,"")))="","",IF($F34="Revision due",3000,IF($F34="Needs resubmission",2000,IF($F34="Not yet submitted",1000,"")))+IF($I34="",0,MIN($I34,999))+(1000-ROW())/100000)</f>
        <v/>
      </c>
      <c r="O34" s="32" t="str">
        <f aca="false">IF($N34="","",RANK($N34,$N$2:$N$81))</f>
        <v/>
      </c>
    </row>
    <row r="35" customFormat="false" ht="15" hidden="false" customHeight="false" outlineLevel="0" collapsed="false">
      <c r="A35" s="29"/>
      <c r="B35" s="30"/>
      <c r="C35" s="29"/>
      <c r="D35" s="29"/>
      <c r="E35" s="29"/>
      <c r="F35" s="29" t="str">
        <f aca="false">IF($A35="","",IF($E35&lt;&gt;"",$E35,IF(COUNTIFS(Submissions!$A$2:$A$1000,$A35,Submissions!$D$2:$D$1000,"Accepted")&gt;0,"Accepted",IF(COUNTIFS(Submissions!$A$2:$A$1000,$A35,Submissions!$D$2:$D$1000,"Revision requested")&gt;0,"Revision due",IF(COUNTIFS(Submissions!$A$2:$A$1000,$A35,Submissions!$D$2:$D$1000,"Under review")&gt;0,"Under review",IF($K35&gt;0,"Needs resubmission","Not yet submitted"))))))</f>
        <v/>
      </c>
      <c r="G35" s="29" t="str">
        <f aca="false">IF($A35="","",IFERROR(INDEX(Submissions!$B$2:$B$1000,MATCH(_xlfn.MAXIFS(Submissions!$L$2:$L$1000,Submissions!$A$2:$A$1000,$A35),Submissions!$L$2:$L$1000,0)),""))</f>
        <v/>
      </c>
      <c r="H35" s="31" t="str">
        <f aca="false">IF($A35="","",IF(_xlfn.MAXIFS(Submissions!$F$2:$F$1000,Submissions!$A$2:$A$1000,$A35)=0,"",_xlfn.MAXIFS(Submissions!$F$2:$F$1000,Submissions!$A$2:$A$1000,$A35)))</f>
        <v/>
      </c>
      <c r="I35" s="29" t="str">
        <f aca="true">IF($F35="Needs resubmission",IF($H35="","",TODAY()-$H35),"")</f>
        <v/>
      </c>
      <c r="J35" s="29" t="str">
        <f aca="false">IF($A35="","",IF(_xlfn.MINIFS(Submissions!$M$2:$M$1000,Submissions!$A$2:$A$1000,$A35)=0,"",INDEX(Submissions!$B$2:$B$1000,_xlfn.MINIFS(Submissions!$M$2:$M$1000,Submissions!$A$2:$A$1000,$A35)-1)))</f>
        <v/>
      </c>
      <c r="K35" s="29" t="str">
        <f aca="false">IF($A35="","",SUMIFS(Submissions!$J$2:$J$1000,Submissions!$A$2:$A$1000,$A35))</f>
        <v/>
      </c>
      <c r="L35" s="29" t="str">
        <f aca="false">IF($A35="","",COUNTIFS(Submissions!$A$2:$A$1000,$A35,Submissions!$D$2:$D$1000,"Rejected")+COUNTIFS(Submissions!$A$2:$A$1000,$A35,Submissions!$D$2:$D$1000,"Returned by office"))</f>
        <v/>
      </c>
      <c r="M35" s="30"/>
      <c r="N35" s="32" t="str">
        <f aca="false">IF(IF($F35="Revision due",3000,IF($F35="Needs resubmission",2000,IF($F35="Not yet submitted",1000,"")))="","",IF($F35="Revision due",3000,IF($F35="Needs resubmission",2000,IF($F35="Not yet submitted",1000,"")))+IF($I35="",0,MIN($I35,999))+(1000-ROW())/100000)</f>
        <v/>
      </c>
      <c r="O35" s="32" t="str">
        <f aca="false">IF($N35="","",RANK($N35,$N$2:$N$81))</f>
        <v/>
      </c>
    </row>
    <row r="36" customFormat="false" ht="15" hidden="false" customHeight="false" outlineLevel="0" collapsed="false">
      <c r="A36" s="29"/>
      <c r="B36" s="30"/>
      <c r="C36" s="29"/>
      <c r="D36" s="29"/>
      <c r="E36" s="29"/>
      <c r="F36" s="29" t="str">
        <f aca="false">IF($A36="","",IF($E36&lt;&gt;"",$E36,IF(COUNTIFS(Submissions!$A$2:$A$1000,$A36,Submissions!$D$2:$D$1000,"Accepted")&gt;0,"Accepted",IF(COUNTIFS(Submissions!$A$2:$A$1000,$A36,Submissions!$D$2:$D$1000,"Revision requested")&gt;0,"Revision due",IF(COUNTIFS(Submissions!$A$2:$A$1000,$A36,Submissions!$D$2:$D$1000,"Under review")&gt;0,"Under review",IF($K36&gt;0,"Needs resubmission","Not yet submitted"))))))</f>
        <v/>
      </c>
      <c r="G36" s="29" t="str">
        <f aca="false">IF($A36="","",IFERROR(INDEX(Submissions!$B$2:$B$1000,MATCH(_xlfn.MAXIFS(Submissions!$L$2:$L$1000,Submissions!$A$2:$A$1000,$A36),Submissions!$L$2:$L$1000,0)),""))</f>
        <v/>
      </c>
      <c r="H36" s="31" t="str">
        <f aca="false">IF($A36="","",IF(_xlfn.MAXIFS(Submissions!$F$2:$F$1000,Submissions!$A$2:$A$1000,$A36)=0,"",_xlfn.MAXIFS(Submissions!$F$2:$F$1000,Submissions!$A$2:$A$1000,$A36)))</f>
        <v/>
      </c>
      <c r="I36" s="29" t="str">
        <f aca="true">IF($F36="Needs resubmission",IF($H36="","",TODAY()-$H36),"")</f>
        <v/>
      </c>
      <c r="J36" s="29" t="str">
        <f aca="false">IF($A36="","",IF(_xlfn.MINIFS(Submissions!$M$2:$M$1000,Submissions!$A$2:$A$1000,$A36)=0,"",INDEX(Submissions!$B$2:$B$1000,_xlfn.MINIFS(Submissions!$M$2:$M$1000,Submissions!$A$2:$A$1000,$A36)-1)))</f>
        <v/>
      </c>
      <c r="K36" s="29" t="str">
        <f aca="false">IF($A36="","",SUMIFS(Submissions!$J$2:$J$1000,Submissions!$A$2:$A$1000,$A36))</f>
        <v/>
      </c>
      <c r="L36" s="29" t="str">
        <f aca="false">IF($A36="","",COUNTIFS(Submissions!$A$2:$A$1000,$A36,Submissions!$D$2:$D$1000,"Rejected")+COUNTIFS(Submissions!$A$2:$A$1000,$A36,Submissions!$D$2:$D$1000,"Returned by office"))</f>
        <v/>
      </c>
      <c r="M36" s="30"/>
      <c r="N36" s="32" t="str">
        <f aca="false">IF(IF($F36="Revision due",3000,IF($F36="Needs resubmission",2000,IF($F36="Not yet submitted",1000,"")))="","",IF($F36="Revision due",3000,IF($F36="Needs resubmission",2000,IF($F36="Not yet submitted",1000,"")))+IF($I36="",0,MIN($I36,999))+(1000-ROW())/100000)</f>
        <v/>
      </c>
      <c r="O36" s="32" t="str">
        <f aca="false">IF($N36="","",RANK($N36,$N$2:$N$81))</f>
        <v/>
      </c>
    </row>
    <row r="37" customFormat="false" ht="15" hidden="false" customHeight="false" outlineLevel="0" collapsed="false">
      <c r="A37" s="29"/>
      <c r="B37" s="30"/>
      <c r="C37" s="29"/>
      <c r="D37" s="29"/>
      <c r="E37" s="29"/>
      <c r="F37" s="29" t="str">
        <f aca="false">IF($A37="","",IF($E37&lt;&gt;"",$E37,IF(COUNTIFS(Submissions!$A$2:$A$1000,$A37,Submissions!$D$2:$D$1000,"Accepted")&gt;0,"Accepted",IF(COUNTIFS(Submissions!$A$2:$A$1000,$A37,Submissions!$D$2:$D$1000,"Revision requested")&gt;0,"Revision due",IF(COUNTIFS(Submissions!$A$2:$A$1000,$A37,Submissions!$D$2:$D$1000,"Under review")&gt;0,"Under review",IF($K37&gt;0,"Needs resubmission","Not yet submitted"))))))</f>
        <v/>
      </c>
      <c r="G37" s="29" t="str">
        <f aca="false">IF($A37="","",IFERROR(INDEX(Submissions!$B$2:$B$1000,MATCH(_xlfn.MAXIFS(Submissions!$L$2:$L$1000,Submissions!$A$2:$A$1000,$A37),Submissions!$L$2:$L$1000,0)),""))</f>
        <v/>
      </c>
      <c r="H37" s="31" t="str">
        <f aca="false">IF($A37="","",IF(_xlfn.MAXIFS(Submissions!$F$2:$F$1000,Submissions!$A$2:$A$1000,$A37)=0,"",_xlfn.MAXIFS(Submissions!$F$2:$F$1000,Submissions!$A$2:$A$1000,$A37)))</f>
        <v/>
      </c>
      <c r="I37" s="29" t="str">
        <f aca="true">IF($F37="Needs resubmission",IF($H37="","",TODAY()-$H37),"")</f>
        <v/>
      </c>
      <c r="J37" s="29" t="str">
        <f aca="false">IF($A37="","",IF(_xlfn.MINIFS(Submissions!$M$2:$M$1000,Submissions!$A$2:$A$1000,$A37)=0,"",INDEX(Submissions!$B$2:$B$1000,_xlfn.MINIFS(Submissions!$M$2:$M$1000,Submissions!$A$2:$A$1000,$A37)-1)))</f>
        <v/>
      </c>
      <c r="K37" s="29" t="str">
        <f aca="false">IF($A37="","",SUMIFS(Submissions!$J$2:$J$1000,Submissions!$A$2:$A$1000,$A37))</f>
        <v/>
      </c>
      <c r="L37" s="29" t="str">
        <f aca="false">IF($A37="","",COUNTIFS(Submissions!$A$2:$A$1000,$A37,Submissions!$D$2:$D$1000,"Rejected")+COUNTIFS(Submissions!$A$2:$A$1000,$A37,Submissions!$D$2:$D$1000,"Returned by office"))</f>
        <v/>
      </c>
      <c r="M37" s="30"/>
      <c r="N37" s="32" t="str">
        <f aca="false">IF(IF($F37="Revision due",3000,IF($F37="Needs resubmission",2000,IF($F37="Not yet submitted",1000,"")))="","",IF($F37="Revision due",3000,IF($F37="Needs resubmission",2000,IF($F37="Not yet submitted",1000,"")))+IF($I37="",0,MIN($I37,999))+(1000-ROW())/100000)</f>
        <v/>
      </c>
      <c r="O37" s="32" t="str">
        <f aca="false">IF($N37="","",RANK($N37,$N$2:$N$81))</f>
        <v/>
      </c>
    </row>
    <row r="38" customFormat="false" ht="15" hidden="false" customHeight="false" outlineLevel="0" collapsed="false">
      <c r="A38" s="29"/>
      <c r="B38" s="30"/>
      <c r="C38" s="29"/>
      <c r="D38" s="29"/>
      <c r="E38" s="29"/>
      <c r="F38" s="29" t="str">
        <f aca="false">IF($A38="","",IF($E38&lt;&gt;"",$E38,IF(COUNTIFS(Submissions!$A$2:$A$1000,$A38,Submissions!$D$2:$D$1000,"Accepted")&gt;0,"Accepted",IF(COUNTIFS(Submissions!$A$2:$A$1000,$A38,Submissions!$D$2:$D$1000,"Revision requested")&gt;0,"Revision due",IF(COUNTIFS(Submissions!$A$2:$A$1000,$A38,Submissions!$D$2:$D$1000,"Under review")&gt;0,"Under review",IF($K38&gt;0,"Needs resubmission","Not yet submitted"))))))</f>
        <v/>
      </c>
      <c r="G38" s="29" t="str">
        <f aca="false">IF($A38="","",IFERROR(INDEX(Submissions!$B$2:$B$1000,MATCH(_xlfn.MAXIFS(Submissions!$L$2:$L$1000,Submissions!$A$2:$A$1000,$A38),Submissions!$L$2:$L$1000,0)),""))</f>
        <v/>
      </c>
      <c r="H38" s="31" t="str">
        <f aca="false">IF($A38="","",IF(_xlfn.MAXIFS(Submissions!$F$2:$F$1000,Submissions!$A$2:$A$1000,$A38)=0,"",_xlfn.MAXIFS(Submissions!$F$2:$F$1000,Submissions!$A$2:$A$1000,$A38)))</f>
        <v/>
      </c>
      <c r="I38" s="29" t="str">
        <f aca="true">IF($F38="Needs resubmission",IF($H38="","",TODAY()-$H38),"")</f>
        <v/>
      </c>
      <c r="J38" s="29" t="str">
        <f aca="false">IF($A38="","",IF(_xlfn.MINIFS(Submissions!$M$2:$M$1000,Submissions!$A$2:$A$1000,$A38)=0,"",INDEX(Submissions!$B$2:$B$1000,_xlfn.MINIFS(Submissions!$M$2:$M$1000,Submissions!$A$2:$A$1000,$A38)-1)))</f>
        <v/>
      </c>
      <c r="K38" s="29" t="str">
        <f aca="false">IF($A38="","",SUMIFS(Submissions!$J$2:$J$1000,Submissions!$A$2:$A$1000,$A38))</f>
        <v/>
      </c>
      <c r="L38" s="29" t="str">
        <f aca="false">IF($A38="","",COUNTIFS(Submissions!$A$2:$A$1000,$A38,Submissions!$D$2:$D$1000,"Rejected")+COUNTIFS(Submissions!$A$2:$A$1000,$A38,Submissions!$D$2:$D$1000,"Returned by office"))</f>
        <v/>
      </c>
      <c r="M38" s="30"/>
      <c r="N38" s="32" t="str">
        <f aca="false">IF(IF($F38="Revision due",3000,IF($F38="Needs resubmission",2000,IF($F38="Not yet submitted",1000,"")))="","",IF($F38="Revision due",3000,IF($F38="Needs resubmission",2000,IF($F38="Not yet submitted",1000,"")))+IF($I38="",0,MIN($I38,999))+(1000-ROW())/100000)</f>
        <v/>
      </c>
      <c r="O38" s="32" t="str">
        <f aca="false">IF($N38="","",RANK($N38,$N$2:$N$81))</f>
        <v/>
      </c>
    </row>
    <row r="39" customFormat="false" ht="15" hidden="false" customHeight="false" outlineLevel="0" collapsed="false">
      <c r="A39" s="29"/>
      <c r="B39" s="30"/>
      <c r="C39" s="29"/>
      <c r="D39" s="29"/>
      <c r="E39" s="29"/>
      <c r="F39" s="29" t="str">
        <f aca="false">IF($A39="","",IF($E39&lt;&gt;"",$E39,IF(COUNTIFS(Submissions!$A$2:$A$1000,$A39,Submissions!$D$2:$D$1000,"Accepted")&gt;0,"Accepted",IF(COUNTIFS(Submissions!$A$2:$A$1000,$A39,Submissions!$D$2:$D$1000,"Revision requested")&gt;0,"Revision due",IF(COUNTIFS(Submissions!$A$2:$A$1000,$A39,Submissions!$D$2:$D$1000,"Under review")&gt;0,"Under review",IF($K39&gt;0,"Needs resubmission","Not yet submitted"))))))</f>
        <v/>
      </c>
      <c r="G39" s="29" t="str">
        <f aca="false">IF($A39="","",IFERROR(INDEX(Submissions!$B$2:$B$1000,MATCH(_xlfn.MAXIFS(Submissions!$L$2:$L$1000,Submissions!$A$2:$A$1000,$A39),Submissions!$L$2:$L$1000,0)),""))</f>
        <v/>
      </c>
      <c r="H39" s="31" t="str">
        <f aca="false">IF($A39="","",IF(_xlfn.MAXIFS(Submissions!$F$2:$F$1000,Submissions!$A$2:$A$1000,$A39)=0,"",_xlfn.MAXIFS(Submissions!$F$2:$F$1000,Submissions!$A$2:$A$1000,$A39)))</f>
        <v/>
      </c>
      <c r="I39" s="29" t="str">
        <f aca="true">IF($F39="Needs resubmission",IF($H39="","",TODAY()-$H39),"")</f>
        <v/>
      </c>
      <c r="J39" s="29" t="str">
        <f aca="false">IF($A39="","",IF(_xlfn.MINIFS(Submissions!$M$2:$M$1000,Submissions!$A$2:$A$1000,$A39)=0,"",INDEX(Submissions!$B$2:$B$1000,_xlfn.MINIFS(Submissions!$M$2:$M$1000,Submissions!$A$2:$A$1000,$A39)-1)))</f>
        <v/>
      </c>
      <c r="K39" s="29" t="str">
        <f aca="false">IF($A39="","",SUMIFS(Submissions!$J$2:$J$1000,Submissions!$A$2:$A$1000,$A39))</f>
        <v/>
      </c>
      <c r="L39" s="29" t="str">
        <f aca="false">IF($A39="","",COUNTIFS(Submissions!$A$2:$A$1000,$A39,Submissions!$D$2:$D$1000,"Rejected")+COUNTIFS(Submissions!$A$2:$A$1000,$A39,Submissions!$D$2:$D$1000,"Returned by office"))</f>
        <v/>
      </c>
      <c r="M39" s="30"/>
      <c r="N39" s="32" t="str">
        <f aca="false">IF(IF($F39="Revision due",3000,IF($F39="Needs resubmission",2000,IF($F39="Not yet submitted",1000,"")))="","",IF($F39="Revision due",3000,IF($F39="Needs resubmission",2000,IF($F39="Not yet submitted",1000,"")))+IF($I39="",0,MIN($I39,999))+(1000-ROW())/100000)</f>
        <v/>
      </c>
      <c r="O39" s="32" t="str">
        <f aca="false">IF($N39="","",RANK($N39,$N$2:$N$81))</f>
        <v/>
      </c>
    </row>
    <row r="40" customFormat="false" ht="15" hidden="false" customHeight="false" outlineLevel="0" collapsed="false">
      <c r="A40" s="29"/>
      <c r="B40" s="30"/>
      <c r="C40" s="29"/>
      <c r="D40" s="29"/>
      <c r="E40" s="29"/>
      <c r="F40" s="29" t="str">
        <f aca="false">IF($A40="","",IF($E40&lt;&gt;"",$E40,IF(COUNTIFS(Submissions!$A$2:$A$1000,$A40,Submissions!$D$2:$D$1000,"Accepted")&gt;0,"Accepted",IF(COUNTIFS(Submissions!$A$2:$A$1000,$A40,Submissions!$D$2:$D$1000,"Revision requested")&gt;0,"Revision due",IF(COUNTIFS(Submissions!$A$2:$A$1000,$A40,Submissions!$D$2:$D$1000,"Under review")&gt;0,"Under review",IF($K40&gt;0,"Needs resubmission","Not yet submitted"))))))</f>
        <v/>
      </c>
      <c r="G40" s="29" t="str">
        <f aca="false">IF($A40="","",IFERROR(INDEX(Submissions!$B$2:$B$1000,MATCH(_xlfn.MAXIFS(Submissions!$L$2:$L$1000,Submissions!$A$2:$A$1000,$A40),Submissions!$L$2:$L$1000,0)),""))</f>
        <v/>
      </c>
      <c r="H40" s="31" t="str">
        <f aca="false">IF($A40="","",IF(_xlfn.MAXIFS(Submissions!$F$2:$F$1000,Submissions!$A$2:$A$1000,$A40)=0,"",_xlfn.MAXIFS(Submissions!$F$2:$F$1000,Submissions!$A$2:$A$1000,$A40)))</f>
        <v/>
      </c>
      <c r="I40" s="29" t="str">
        <f aca="true">IF($F40="Needs resubmission",IF($H40="","",TODAY()-$H40),"")</f>
        <v/>
      </c>
      <c r="J40" s="29" t="str">
        <f aca="false">IF($A40="","",IF(_xlfn.MINIFS(Submissions!$M$2:$M$1000,Submissions!$A$2:$A$1000,$A40)=0,"",INDEX(Submissions!$B$2:$B$1000,_xlfn.MINIFS(Submissions!$M$2:$M$1000,Submissions!$A$2:$A$1000,$A40)-1)))</f>
        <v/>
      </c>
      <c r="K40" s="29" t="str">
        <f aca="false">IF($A40="","",SUMIFS(Submissions!$J$2:$J$1000,Submissions!$A$2:$A$1000,$A40))</f>
        <v/>
      </c>
      <c r="L40" s="29" t="str">
        <f aca="false">IF($A40="","",COUNTIFS(Submissions!$A$2:$A$1000,$A40,Submissions!$D$2:$D$1000,"Rejected")+COUNTIFS(Submissions!$A$2:$A$1000,$A40,Submissions!$D$2:$D$1000,"Returned by office"))</f>
        <v/>
      </c>
      <c r="M40" s="30"/>
      <c r="N40" s="32" t="str">
        <f aca="false">IF(IF($F40="Revision due",3000,IF($F40="Needs resubmission",2000,IF($F40="Not yet submitted",1000,"")))="","",IF($F40="Revision due",3000,IF($F40="Needs resubmission",2000,IF($F40="Not yet submitted",1000,"")))+IF($I40="",0,MIN($I40,999))+(1000-ROW())/100000)</f>
        <v/>
      </c>
      <c r="O40" s="32" t="str">
        <f aca="false">IF($N40="","",RANK($N40,$N$2:$N$81))</f>
        <v/>
      </c>
    </row>
    <row r="41" customFormat="false" ht="15" hidden="false" customHeight="false" outlineLevel="0" collapsed="false">
      <c r="A41" s="29"/>
      <c r="B41" s="30"/>
      <c r="C41" s="29"/>
      <c r="D41" s="29"/>
      <c r="E41" s="29"/>
      <c r="F41" s="29" t="str">
        <f aca="false">IF($A41="","",IF($E41&lt;&gt;"",$E41,IF(COUNTIFS(Submissions!$A$2:$A$1000,$A41,Submissions!$D$2:$D$1000,"Accepted")&gt;0,"Accepted",IF(COUNTIFS(Submissions!$A$2:$A$1000,$A41,Submissions!$D$2:$D$1000,"Revision requested")&gt;0,"Revision due",IF(COUNTIFS(Submissions!$A$2:$A$1000,$A41,Submissions!$D$2:$D$1000,"Under review")&gt;0,"Under review",IF($K41&gt;0,"Needs resubmission","Not yet submitted"))))))</f>
        <v/>
      </c>
      <c r="G41" s="29" t="str">
        <f aca="false">IF($A41="","",IFERROR(INDEX(Submissions!$B$2:$B$1000,MATCH(_xlfn.MAXIFS(Submissions!$L$2:$L$1000,Submissions!$A$2:$A$1000,$A41),Submissions!$L$2:$L$1000,0)),""))</f>
        <v/>
      </c>
      <c r="H41" s="31" t="str">
        <f aca="false">IF($A41="","",IF(_xlfn.MAXIFS(Submissions!$F$2:$F$1000,Submissions!$A$2:$A$1000,$A41)=0,"",_xlfn.MAXIFS(Submissions!$F$2:$F$1000,Submissions!$A$2:$A$1000,$A41)))</f>
        <v/>
      </c>
      <c r="I41" s="29" t="str">
        <f aca="true">IF($F41="Needs resubmission",IF($H41="","",TODAY()-$H41),"")</f>
        <v/>
      </c>
      <c r="J41" s="29" t="str">
        <f aca="false">IF($A41="","",IF(_xlfn.MINIFS(Submissions!$M$2:$M$1000,Submissions!$A$2:$A$1000,$A41)=0,"",INDEX(Submissions!$B$2:$B$1000,_xlfn.MINIFS(Submissions!$M$2:$M$1000,Submissions!$A$2:$A$1000,$A41)-1)))</f>
        <v/>
      </c>
      <c r="K41" s="29" t="str">
        <f aca="false">IF($A41="","",SUMIFS(Submissions!$J$2:$J$1000,Submissions!$A$2:$A$1000,$A41))</f>
        <v/>
      </c>
      <c r="L41" s="29" t="str">
        <f aca="false">IF($A41="","",COUNTIFS(Submissions!$A$2:$A$1000,$A41,Submissions!$D$2:$D$1000,"Rejected")+COUNTIFS(Submissions!$A$2:$A$1000,$A41,Submissions!$D$2:$D$1000,"Returned by office"))</f>
        <v/>
      </c>
      <c r="M41" s="30"/>
      <c r="N41" s="32" t="str">
        <f aca="false">IF(IF($F41="Revision due",3000,IF($F41="Needs resubmission",2000,IF($F41="Not yet submitted",1000,"")))="","",IF($F41="Revision due",3000,IF($F41="Needs resubmission",2000,IF($F41="Not yet submitted",1000,"")))+IF($I41="",0,MIN($I41,999))+(1000-ROW())/100000)</f>
        <v/>
      </c>
      <c r="O41" s="32" t="str">
        <f aca="false">IF($N41="","",RANK($N41,$N$2:$N$81))</f>
        <v/>
      </c>
    </row>
    <row r="42" customFormat="false" ht="15" hidden="false" customHeight="false" outlineLevel="0" collapsed="false">
      <c r="A42" s="29"/>
      <c r="B42" s="30"/>
      <c r="C42" s="29"/>
      <c r="D42" s="29"/>
      <c r="E42" s="29"/>
      <c r="F42" s="29" t="str">
        <f aca="false">IF($A42="","",IF($E42&lt;&gt;"",$E42,IF(COUNTIFS(Submissions!$A$2:$A$1000,$A42,Submissions!$D$2:$D$1000,"Accepted")&gt;0,"Accepted",IF(COUNTIFS(Submissions!$A$2:$A$1000,$A42,Submissions!$D$2:$D$1000,"Revision requested")&gt;0,"Revision due",IF(COUNTIFS(Submissions!$A$2:$A$1000,$A42,Submissions!$D$2:$D$1000,"Under review")&gt;0,"Under review",IF($K42&gt;0,"Needs resubmission","Not yet submitted"))))))</f>
        <v/>
      </c>
      <c r="G42" s="29" t="str">
        <f aca="false">IF($A42="","",IFERROR(INDEX(Submissions!$B$2:$B$1000,MATCH(_xlfn.MAXIFS(Submissions!$L$2:$L$1000,Submissions!$A$2:$A$1000,$A42),Submissions!$L$2:$L$1000,0)),""))</f>
        <v/>
      </c>
      <c r="H42" s="31" t="str">
        <f aca="false">IF($A42="","",IF(_xlfn.MAXIFS(Submissions!$F$2:$F$1000,Submissions!$A$2:$A$1000,$A42)=0,"",_xlfn.MAXIFS(Submissions!$F$2:$F$1000,Submissions!$A$2:$A$1000,$A42)))</f>
        <v/>
      </c>
      <c r="I42" s="29" t="str">
        <f aca="true">IF($F42="Needs resubmission",IF($H42="","",TODAY()-$H42),"")</f>
        <v/>
      </c>
      <c r="J42" s="29" t="str">
        <f aca="false">IF($A42="","",IF(_xlfn.MINIFS(Submissions!$M$2:$M$1000,Submissions!$A$2:$A$1000,$A42)=0,"",INDEX(Submissions!$B$2:$B$1000,_xlfn.MINIFS(Submissions!$M$2:$M$1000,Submissions!$A$2:$A$1000,$A42)-1)))</f>
        <v/>
      </c>
      <c r="K42" s="29" t="str">
        <f aca="false">IF($A42="","",SUMIFS(Submissions!$J$2:$J$1000,Submissions!$A$2:$A$1000,$A42))</f>
        <v/>
      </c>
      <c r="L42" s="29" t="str">
        <f aca="false">IF($A42="","",COUNTIFS(Submissions!$A$2:$A$1000,$A42,Submissions!$D$2:$D$1000,"Rejected")+COUNTIFS(Submissions!$A$2:$A$1000,$A42,Submissions!$D$2:$D$1000,"Returned by office"))</f>
        <v/>
      </c>
      <c r="M42" s="30"/>
      <c r="N42" s="32" t="str">
        <f aca="false">IF(IF($F42="Revision due",3000,IF($F42="Needs resubmission",2000,IF($F42="Not yet submitted",1000,"")))="","",IF($F42="Revision due",3000,IF($F42="Needs resubmission",2000,IF($F42="Not yet submitted",1000,"")))+IF($I42="",0,MIN($I42,999))+(1000-ROW())/100000)</f>
        <v/>
      </c>
      <c r="O42" s="32" t="str">
        <f aca="false">IF($N42="","",RANK($N42,$N$2:$N$81))</f>
        <v/>
      </c>
    </row>
    <row r="43" customFormat="false" ht="15" hidden="false" customHeight="false" outlineLevel="0" collapsed="false">
      <c r="A43" s="29"/>
      <c r="B43" s="30"/>
      <c r="C43" s="29"/>
      <c r="D43" s="29"/>
      <c r="E43" s="29"/>
      <c r="F43" s="29" t="str">
        <f aca="false">IF($A43="","",IF($E43&lt;&gt;"",$E43,IF(COUNTIFS(Submissions!$A$2:$A$1000,$A43,Submissions!$D$2:$D$1000,"Accepted")&gt;0,"Accepted",IF(COUNTIFS(Submissions!$A$2:$A$1000,$A43,Submissions!$D$2:$D$1000,"Revision requested")&gt;0,"Revision due",IF(COUNTIFS(Submissions!$A$2:$A$1000,$A43,Submissions!$D$2:$D$1000,"Under review")&gt;0,"Under review",IF($K43&gt;0,"Needs resubmission","Not yet submitted"))))))</f>
        <v/>
      </c>
      <c r="G43" s="29" t="str">
        <f aca="false">IF($A43="","",IFERROR(INDEX(Submissions!$B$2:$B$1000,MATCH(_xlfn.MAXIFS(Submissions!$L$2:$L$1000,Submissions!$A$2:$A$1000,$A43),Submissions!$L$2:$L$1000,0)),""))</f>
        <v/>
      </c>
      <c r="H43" s="31" t="str">
        <f aca="false">IF($A43="","",IF(_xlfn.MAXIFS(Submissions!$F$2:$F$1000,Submissions!$A$2:$A$1000,$A43)=0,"",_xlfn.MAXIFS(Submissions!$F$2:$F$1000,Submissions!$A$2:$A$1000,$A43)))</f>
        <v/>
      </c>
      <c r="I43" s="29" t="str">
        <f aca="true">IF($F43="Needs resubmission",IF($H43="","",TODAY()-$H43),"")</f>
        <v/>
      </c>
      <c r="J43" s="29" t="str">
        <f aca="false">IF($A43="","",IF(_xlfn.MINIFS(Submissions!$M$2:$M$1000,Submissions!$A$2:$A$1000,$A43)=0,"",INDEX(Submissions!$B$2:$B$1000,_xlfn.MINIFS(Submissions!$M$2:$M$1000,Submissions!$A$2:$A$1000,$A43)-1)))</f>
        <v/>
      </c>
      <c r="K43" s="29" t="str">
        <f aca="false">IF($A43="","",SUMIFS(Submissions!$J$2:$J$1000,Submissions!$A$2:$A$1000,$A43))</f>
        <v/>
      </c>
      <c r="L43" s="29" t="str">
        <f aca="false">IF($A43="","",COUNTIFS(Submissions!$A$2:$A$1000,$A43,Submissions!$D$2:$D$1000,"Rejected")+COUNTIFS(Submissions!$A$2:$A$1000,$A43,Submissions!$D$2:$D$1000,"Returned by office"))</f>
        <v/>
      </c>
      <c r="M43" s="30"/>
      <c r="N43" s="32" t="str">
        <f aca="false">IF(IF($F43="Revision due",3000,IF($F43="Needs resubmission",2000,IF($F43="Not yet submitted",1000,"")))="","",IF($F43="Revision due",3000,IF($F43="Needs resubmission",2000,IF($F43="Not yet submitted",1000,"")))+IF($I43="",0,MIN($I43,999))+(1000-ROW())/100000)</f>
        <v/>
      </c>
      <c r="O43" s="32" t="str">
        <f aca="false">IF($N43="","",RANK($N43,$N$2:$N$81))</f>
        <v/>
      </c>
    </row>
    <row r="44" customFormat="false" ht="15" hidden="false" customHeight="false" outlineLevel="0" collapsed="false">
      <c r="A44" s="29"/>
      <c r="B44" s="30"/>
      <c r="C44" s="29"/>
      <c r="D44" s="29"/>
      <c r="E44" s="29"/>
      <c r="F44" s="29" t="str">
        <f aca="false">IF($A44="","",IF($E44&lt;&gt;"",$E44,IF(COUNTIFS(Submissions!$A$2:$A$1000,$A44,Submissions!$D$2:$D$1000,"Accepted")&gt;0,"Accepted",IF(COUNTIFS(Submissions!$A$2:$A$1000,$A44,Submissions!$D$2:$D$1000,"Revision requested")&gt;0,"Revision due",IF(COUNTIFS(Submissions!$A$2:$A$1000,$A44,Submissions!$D$2:$D$1000,"Under review")&gt;0,"Under review",IF($K44&gt;0,"Needs resubmission","Not yet submitted"))))))</f>
        <v/>
      </c>
      <c r="G44" s="29" t="str">
        <f aca="false">IF($A44="","",IFERROR(INDEX(Submissions!$B$2:$B$1000,MATCH(_xlfn.MAXIFS(Submissions!$L$2:$L$1000,Submissions!$A$2:$A$1000,$A44),Submissions!$L$2:$L$1000,0)),""))</f>
        <v/>
      </c>
      <c r="H44" s="31" t="str">
        <f aca="false">IF($A44="","",IF(_xlfn.MAXIFS(Submissions!$F$2:$F$1000,Submissions!$A$2:$A$1000,$A44)=0,"",_xlfn.MAXIFS(Submissions!$F$2:$F$1000,Submissions!$A$2:$A$1000,$A44)))</f>
        <v/>
      </c>
      <c r="I44" s="29" t="str">
        <f aca="true">IF($F44="Needs resubmission",IF($H44="","",TODAY()-$H44),"")</f>
        <v/>
      </c>
      <c r="J44" s="29" t="str">
        <f aca="false">IF($A44="","",IF(_xlfn.MINIFS(Submissions!$M$2:$M$1000,Submissions!$A$2:$A$1000,$A44)=0,"",INDEX(Submissions!$B$2:$B$1000,_xlfn.MINIFS(Submissions!$M$2:$M$1000,Submissions!$A$2:$A$1000,$A44)-1)))</f>
        <v/>
      </c>
      <c r="K44" s="29" t="str">
        <f aca="false">IF($A44="","",SUMIFS(Submissions!$J$2:$J$1000,Submissions!$A$2:$A$1000,$A44))</f>
        <v/>
      </c>
      <c r="L44" s="29" t="str">
        <f aca="false">IF($A44="","",COUNTIFS(Submissions!$A$2:$A$1000,$A44,Submissions!$D$2:$D$1000,"Rejected")+COUNTIFS(Submissions!$A$2:$A$1000,$A44,Submissions!$D$2:$D$1000,"Returned by office"))</f>
        <v/>
      </c>
      <c r="M44" s="30"/>
      <c r="N44" s="32" t="str">
        <f aca="false">IF(IF($F44="Revision due",3000,IF($F44="Needs resubmission",2000,IF($F44="Not yet submitted",1000,"")))="","",IF($F44="Revision due",3000,IF($F44="Needs resubmission",2000,IF($F44="Not yet submitted",1000,"")))+IF($I44="",0,MIN($I44,999))+(1000-ROW())/100000)</f>
        <v/>
      </c>
      <c r="O44" s="32" t="str">
        <f aca="false">IF($N44="","",RANK($N44,$N$2:$N$81))</f>
        <v/>
      </c>
    </row>
    <row r="45" customFormat="false" ht="15" hidden="false" customHeight="false" outlineLevel="0" collapsed="false">
      <c r="A45" s="29"/>
      <c r="B45" s="30"/>
      <c r="C45" s="29"/>
      <c r="D45" s="29"/>
      <c r="E45" s="29"/>
      <c r="F45" s="29" t="str">
        <f aca="false">IF($A45="","",IF($E45&lt;&gt;"",$E45,IF(COUNTIFS(Submissions!$A$2:$A$1000,$A45,Submissions!$D$2:$D$1000,"Accepted")&gt;0,"Accepted",IF(COUNTIFS(Submissions!$A$2:$A$1000,$A45,Submissions!$D$2:$D$1000,"Revision requested")&gt;0,"Revision due",IF(COUNTIFS(Submissions!$A$2:$A$1000,$A45,Submissions!$D$2:$D$1000,"Under review")&gt;0,"Under review",IF($K45&gt;0,"Needs resubmission","Not yet submitted"))))))</f>
        <v/>
      </c>
      <c r="G45" s="29" t="str">
        <f aca="false">IF($A45="","",IFERROR(INDEX(Submissions!$B$2:$B$1000,MATCH(_xlfn.MAXIFS(Submissions!$L$2:$L$1000,Submissions!$A$2:$A$1000,$A45),Submissions!$L$2:$L$1000,0)),""))</f>
        <v/>
      </c>
      <c r="H45" s="31" t="str">
        <f aca="false">IF($A45="","",IF(_xlfn.MAXIFS(Submissions!$F$2:$F$1000,Submissions!$A$2:$A$1000,$A45)=0,"",_xlfn.MAXIFS(Submissions!$F$2:$F$1000,Submissions!$A$2:$A$1000,$A45)))</f>
        <v/>
      </c>
      <c r="I45" s="29" t="str">
        <f aca="true">IF($F45="Needs resubmission",IF($H45="","",TODAY()-$H45),"")</f>
        <v/>
      </c>
      <c r="J45" s="29" t="str">
        <f aca="false">IF($A45="","",IF(_xlfn.MINIFS(Submissions!$M$2:$M$1000,Submissions!$A$2:$A$1000,$A45)=0,"",INDEX(Submissions!$B$2:$B$1000,_xlfn.MINIFS(Submissions!$M$2:$M$1000,Submissions!$A$2:$A$1000,$A45)-1)))</f>
        <v/>
      </c>
      <c r="K45" s="29" t="str">
        <f aca="false">IF($A45="","",SUMIFS(Submissions!$J$2:$J$1000,Submissions!$A$2:$A$1000,$A45))</f>
        <v/>
      </c>
      <c r="L45" s="29" t="str">
        <f aca="false">IF($A45="","",COUNTIFS(Submissions!$A$2:$A$1000,$A45,Submissions!$D$2:$D$1000,"Rejected")+COUNTIFS(Submissions!$A$2:$A$1000,$A45,Submissions!$D$2:$D$1000,"Returned by office"))</f>
        <v/>
      </c>
      <c r="M45" s="30"/>
      <c r="N45" s="32" t="str">
        <f aca="false">IF(IF($F45="Revision due",3000,IF($F45="Needs resubmission",2000,IF($F45="Not yet submitted",1000,"")))="","",IF($F45="Revision due",3000,IF($F45="Needs resubmission",2000,IF($F45="Not yet submitted",1000,"")))+IF($I45="",0,MIN($I45,999))+(1000-ROW())/100000)</f>
        <v/>
      </c>
      <c r="O45" s="32" t="str">
        <f aca="false">IF($N45="","",RANK($N45,$N$2:$N$81))</f>
        <v/>
      </c>
    </row>
    <row r="46" customFormat="false" ht="15" hidden="false" customHeight="false" outlineLevel="0" collapsed="false">
      <c r="A46" s="29"/>
      <c r="B46" s="30"/>
      <c r="C46" s="29"/>
      <c r="D46" s="29"/>
      <c r="E46" s="29"/>
      <c r="F46" s="29" t="str">
        <f aca="false">IF($A46="","",IF($E46&lt;&gt;"",$E46,IF(COUNTIFS(Submissions!$A$2:$A$1000,$A46,Submissions!$D$2:$D$1000,"Accepted")&gt;0,"Accepted",IF(COUNTIFS(Submissions!$A$2:$A$1000,$A46,Submissions!$D$2:$D$1000,"Revision requested")&gt;0,"Revision due",IF(COUNTIFS(Submissions!$A$2:$A$1000,$A46,Submissions!$D$2:$D$1000,"Under review")&gt;0,"Under review",IF($K46&gt;0,"Needs resubmission","Not yet submitted"))))))</f>
        <v/>
      </c>
      <c r="G46" s="29" t="str">
        <f aca="false">IF($A46="","",IFERROR(INDEX(Submissions!$B$2:$B$1000,MATCH(_xlfn.MAXIFS(Submissions!$L$2:$L$1000,Submissions!$A$2:$A$1000,$A46),Submissions!$L$2:$L$1000,0)),""))</f>
        <v/>
      </c>
      <c r="H46" s="31" t="str">
        <f aca="false">IF($A46="","",IF(_xlfn.MAXIFS(Submissions!$F$2:$F$1000,Submissions!$A$2:$A$1000,$A46)=0,"",_xlfn.MAXIFS(Submissions!$F$2:$F$1000,Submissions!$A$2:$A$1000,$A46)))</f>
        <v/>
      </c>
      <c r="I46" s="29" t="str">
        <f aca="true">IF($F46="Needs resubmission",IF($H46="","",TODAY()-$H46),"")</f>
        <v/>
      </c>
      <c r="J46" s="29" t="str">
        <f aca="false">IF($A46="","",IF(_xlfn.MINIFS(Submissions!$M$2:$M$1000,Submissions!$A$2:$A$1000,$A46)=0,"",INDEX(Submissions!$B$2:$B$1000,_xlfn.MINIFS(Submissions!$M$2:$M$1000,Submissions!$A$2:$A$1000,$A46)-1)))</f>
        <v/>
      </c>
      <c r="K46" s="29" t="str">
        <f aca="false">IF($A46="","",SUMIFS(Submissions!$J$2:$J$1000,Submissions!$A$2:$A$1000,$A46))</f>
        <v/>
      </c>
      <c r="L46" s="29" t="str">
        <f aca="false">IF($A46="","",COUNTIFS(Submissions!$A$2:$A$1000,$A46,Submissions!$D$2:$D$1000,"Rejected")+COUNTIFS(Submissions!$A$2:$A$1000,$A46,Submissions!$D$2:$D$1000,"Returned by office"))</f>
        <v/>
      </c>
      <c r="M46" s="30"/>
      <c r="N46" s="32" t="str">
        <f aca="false">IF(IF($F46="Revision due",3000,IF($F46="Needs resubmission",2000,IF($F46="Not yet submitted",1000,"")))="","",IF($F46="Revision due",3000,IF($F46="Needs resubmission",2000,IF($F46="Not yet submitted",1000,"")))+IF($I46="",0,MIN($I46,999))+(1000-ROW())/100000)</f>
        <v/>
      </c>
      <c r="O46" s="32" t="str">
        <f aca="false">IF($N46="","",RANK($N46,$N$2:$N$81))</f>
        <v/>
      </c>
    </row>
    <row r="47" customFormat="false" ht="15" hidden="false" customHeight="false" outlineLevel="0" collapsed="false">
      <c r="A47" s="29"/>
      <c r="B47" s="30"/>
      <c r="C47" s="29"/>
      <c r="D47" s="29"/>
      <c r="E47" s="29"/>
      <c r="F47" s="29" t="str">
        <f aca="false">IF($A47="","",IF($E47&lt;&gt;"",$E47,IF(COUNTIFS(Submissions!$A$2:$A$1000,$A47,Submissions!$D$2:$D$1000,"Accepted")&gt;0,"Accepted",IF(COUNTIFS(Submissions!$A$2:$A$1000,$A47,Submissions!$D$2:$D$1000,"Revision requested")&gt;0,"Revision due",IF(COUNTIFS(Submissions!$A$2:$A$1000,$A47,Submissions!$D$2:$D$1000,"Under review")&gt;0,"Under review",IF($K47&gt;0,"Needs resubmission","Not yet submitted"))))))</f>
        <v/>
      </c>
      <c r="G47" s="29" t="str">
        <f aca="false">IF($A47="","",IFERROR(INDEX(Submissions!$B$2:$B$1000,MATCH(_xlfn.MAXIFS(Submissions!$L$2:$L$1000,Submissions!$A$2:$A$1000,$A47),Submissions!$L$2:$L$1000,0)),""))</f>
        <v/>
      </c>
      <c r="H47" s="31" t="str">
        <f aca="false">IF($A47="","",IF(_xlfn.MAXIFS(Submissions!$F$2:$F$1000,Submissions!$A$2:$A$1000,$A47)=0,"",_xlfn.MAXIFS(Submissions!$F$2:$F$1000,Submissions!$A$2:$A$1000,$A47)))</f>
        <v/>
      </c>
      <c r="I47" s="29" t="str">
        <f aca="true">IF($F47="Needs resubmission",IF($H47="","",TODAY()-$H47),"")</f>
        <v/>
      </c>
      <c r="J47" s="29" t="str">
        <f aca="false">IF($A47="","",IF(_xlfn.MINIFS(Submissions!$M$2:$M$1000,Submissions!$A$2:$A$1000,$A47)=0,"",INDEX(Submissions!$B$2:$B$1000,_xlfn.MINIFS(Submissions!$M$2:$M$1000,Submissions!$A$2:$A$1000,$A47)-1)))</f>
        <v/>
      </c>
      <c r="K47" s="29" t="str">
        <f aca="false">IF($A47="","",SUMIFS(Submissions!$J$2:$J$1000,Submissions!$A$2:$A$1000,$A47))</f>
        <v/>
      </c>
      <c r="L47" s="29" t="str">
        <f aca="false">IF($A47="","",COUNTIFS(Submissions!$A$2:$A$1000,$A47,Submissions!$D$2:$D$1000,"Rejected")+COUNTIFS(Submissions!$A$2:$A$1000,$A47,Submissions!$D$2:$D$1000,"Returned by office"))</f>
        <v/>
      </c>
      <c r="M47" s="30"/>
      <c r="N47" s="32" t="str">
        <f aca="false">IF(IF($F47="Revision due",3000,IF($F47="Needs resubmission",2000,IF($F47="Not yet submitted",1000,"")))="","",IF($F47="Revision due",3000,IF($F47="Needs resubmission",2000,IF($F47="Not yet submitted",1000,"")))+IF($I47="",0,MIN($I47,999))+(1000-ROW())/100000)</f>
        <v/>
      </c>
      <c r="O47" s="32" t="str">
        <f aca="false">IF($N47="","",RANK($N47,$N$2:$N$81))</f>
        <v/>
      </c>
    </row>
    <row r="48" customFormat="false" ht="15" hidden="false" customHeight="false" outlineLevel="0" collapsed="false">
      <c r="A48" s="29"/>
      <c r="B48" s="30"/>
      <c r="C48" s="29"/>
      <c r="D48" s="29"/>
      <c r="E48" s="29"/>
      <c r="F48" s="29" t="str">
        <f aca="false">IF($A48="","",IF($E48&lt;&gt;"",$E48,IF(COUNTIFS(Submissions!$A$2:$A$1000,$A48,Submissions!$D$2:$D$1000,"Accepted")&gt;0,"Accepted",IF(COUNTIFS(Submissions!$A$2:$A$1000,$A48,Submissions!$D$2:$D$1000,"Revision requested")&gt;0,"Revision due",IF(COUNTIFS(Submissions!$A$2:$A$1000,$A48,Submissions!$D$2:$D$1000,"Under review")&gt;0,"Under review",IF($K48&gt;0,"Needs resubmission","Not yet submitted"))))))</f>
        <v/>
      </c>
      <c r="G48" s="29" t="str">
        <f aca="false">IF($A48="","",IFERROR(INDEX(Submissions!$B$2:$B$1000,MATCH(_xlfn.MAXIFS(Submissions!$L$2:$L$1000,Submissions!$A$2:$A$1000,$A48),Submissions!$L$2:$L$1000,0)),""))</f>
        <v/>
      </c>
      <c r="H48" s="31" t="str">
        <f aca="false">IF($A48="","",IF(_xlfn.MAXIFS(Submissions!$F$2:$F$1000,Submissions!$A$2:$A$1000,$A48)=0,"",_xlfn.MAXIFS(Submissions!$F$2:$F$1000,Submissions!$A$2:$A$1000,$A48)))</f>
        <v/>
      </c>
      <c r="I48" s="29" t="str">
        <f aca="true">IF($F48="Needs resubmission",IF($H48="","",TODAY()-$H48),"")</f>
        <v/>
      </c>
      <c r="J48" s="29" t="str">
        <f aca="false">IF($A48="","",IF(_xlfn.MINIFS(Submissions!$M$2:$M$1000,Submissions!$A$2:$A$1000,$A48)=0,"",INDEX(Submissions!$B$2:$B$1000,_xlfn.MINIFS(Submissions!$M$2:$M$1000,Submissions!$A$2:$A$1000,$A48)-1)))</f>
        <v/>
      </c>
      <c r="K48" s="29" t="str">
        <f aca="false">IF($A48="","",SUMIFS(Submissions!$J$2:$J$1000,Submissions!$A$2:$A$1000,$A48))</f>
        <v/>
      </c>
      <c r="L48" s="29" t="str">
        <f aca="false">IF($A48="","",COUNTIFS(Submissions!$A$2:$A$1000,$A48,Submissions!$D$2:$D$1000,"Rejected")+COUNTIFS(Submissions!$A$2:$A$1000,$A48,Submissions!$D$2:$D$1000,"Returned by office"))</f>
        <v/>
      </c>
      <c r="M48" s="30"/>
      <c r="N48" s="32" t="str">
        <f aca="false">IF(IF($F48="Revision due",3000,IF($F48="Needs resubmission",2000,IF($F48="Not yet submitted",1000,"")))="","",IF($F48="Revision due",3000,IF($F48="Needs resubmission",2000,IF($F48="Not yet submitted",1000,"")))+IF($I48="",0,MIN($I48,999))+(1000-ROW())/100000)</f>
        <v/>
      </c>
      <c r="O48" s="32" t="str">
        <f aca="false">IF($N48="","",RANK($N48,$N$2:$N$81))</f>
        <v/>
      </c>
    </row>
    <row r="49" customFormat="false" ht="15" hidden="false" customHeight="false" outlineLevel="0" collapsed="false">
      <c r="A49" s="29"/>
      <c r="B49" s="30"/>
      <c r="C49" s="29"/>
      <c r="D49" s="29"/>
      <c r="E49" s="29"/>
      <c r="F49" s="29" t="str">
        <f aca="false">IF($A49="","",IF($E49&lt;&gt;"",$E49,IF(COUNTIFS(Submissions!$A$2:$A$1000,$A49,Submissions!$D$2:$D$1000,"Accepted")&gt;0,"Accepted",IF(COUNTIFS(Submissions!$A$2:$A$1000,$A49,Submissions!$D$2:$D$1000,"Revision requested")&gt;0,"Revision due",IF(COUNTIFS(Submissions!$A$2:$A$1000,$A49,Submissions!$D$2:$D$1000,"Under review")&gt;0,"Under review",IF($K49&gt;0,"Needs resubmission","Not yet submitted"))))))</f>
        <v/>
      </c>
      <c r="G49" s="29" t="str">
        <f aca="false">IF($A49="","",IFERROR(INDEX(Submissions!$B$2:$B$1000,MATCH(_xlfn.MAXIFS(Submissions!$L$2:$L$1000,Submissions!$A$2:$A$1000,$A49),Submissions!$L$2:$L$1000,0)),""))</f>
        <v/>
      </c>
      <c r="H49" s="31" t="str">
        <f aca="false">IF($A49="","",IF(_xlfn.MAXIFS(Submissions!$F$2:$F$1000,Submissions!$A$2:$A$1000,$A49)=0,"",_xlfn.MAXIFS(Submissions!$F$2:$F$1000,Submissions!$A$2:$A$1000,$A49)))</f>
        <v/>
      </c>
      <c r="I49" s="29" t="str">
        <f aca="true">IF($F49="Needs resubmission",IF($H49="","",TODAY()-$H49),"")</f>
        <v/>
      </c>
      <c r="J49" s="29" t="str">
        <f aca="false">IF($A49="","",IF(_xlfn.MINIFS(Submissions!$M$2:$M$1000,Submissions!$A$2:$A$1000,$A49)=0,"",INDEX(Submissions!$B$2:$B$1000,_xlfn.MINIFS(Submissions!$M$2:$M$1000,Submissions!$A$2:$A$1000,$A49)-1)))</f>
        <v/>
      </c>
      <c r="K49" s="29" t="str">
        <f aca="false">IF($A49="","",SUMIFS(Submissions!$J$2:$J$1000,Submissions!$A$2:$A$1000,$A49))</f>
        <v/>
      </c>
      <c r="L49" s="29" t="str">
        <f aca="false">IF($A49="","",COUNTIFS(Submissions!$A$2:$A$1000,$A49,Submissions!$D$2:$D$1000,"Rejected")+COUNTIFS(Submissions!$A$2:$A$1000,$A49,Submissions!$D$2:$D$1000,"Returned by office"))</f>
        <v/>
      </c>
      <c r="M49" s="30"/>
      <c r="N49" s="32" t="str">
        <f aca="false">IF(IF($F49="Revision due",3000,IF($F49="Needs resubmission",2000,IF($F49="Not yet submitted",1000,"")))="","",IF($F49="Revision due",3000,IF($F49="Needs resubmission",2000,IF($F49="Not yet submitted",1000,"")))+IF($I49="",0,MIN($I49,999))+(1000-ROW())/100000)</f>
        <v/>
      </c>
      <c r="O49" s="32" t="str">
        <f aca="false">IF($N49="","",RANK($N49,$N$2:$N$81))</f>
        <v/>
      </c>
    </row>
    <row r="50" customFormat="false" ht="15" hidden="false" customHeight="false" outlineLevel="0" collapsed="false">
      <c r="A50" s="29"/>
      <c r="B50" s="30"/>
      <c r="C50" s="29"/>
      <c r="D50" s="29"/>
      <c r="E50" s="29"/>
      <c r="F50" s="29" t="str">
        <f aca="false">IF($A50="","",IF($E50&lt;&gt;"",$E50,IF(COUNTIFS(Submissions!$A$2:$A$1000,$A50,Submissions!$D$2:$D$1000,"Accepted")&gt;0,"Accepted",IF(COUNTIFS(Submissions!$A$2:$A$1000,$A50,Submissions!$D$2:$D$1000,"Revision requested")&gt;0,"Revision due",IF(COUNTIFS(Submissions!$A$2:$A$1000,$A50,Submissions!$D$2:$D$1000,"Under review")&gt;0,"Under review",IF($K50&gt;0,"Needs resubmission","Not yet submitted"))))))</f>
        <v/>
      </c>
      <c r="G50" s="29" t="str">
        <f aca="false">IF($A50="","",IFERROR(INDEX(Submissions!$B$2:$B$1000,MATCH(_xlfn.MAXIFS(Submissions!$L$2:$L$1000,Submissions!$A$2:$A$1000,$A50),Submissions!$L$2:$L$1000,0)),""))</f>
        <v/>
      </c>
      <c r="H50" s="31" t="str">
        <f aca="false">IF($A50="","",IF(_xlfn.MAXIFS(Submissions!$F$2:$F$1000,Submissions!$A$2:$A$1000,$A50)=0,"",_xlfn.MAXIFS(Submissions!$F$2:$F$1000,Submissions!$A$2:$A$1000,$A50)))</f>
        <v/>
      </c>
      <c r="I50" s="29" t="str">
        <f aca="true">IF($F50="Needs resubmission",IF($H50="","",TODAY()-$H50),"")</f>
        <v/>
      </c>
      <c r="J50" s="29" t="str">
        <f aca="false">IF($A50="","",IF(_xlfn.MINIFS(Submissions!$M$2:$M$1000,Submissions!$A$2:$A$1000,$A50)=0,"",INDEX(Submissions!$B$2:$B$1000,_xlfn.MINIFS(Submissions!$M$2:$M$1000,Submissions!$A$2:$A$1000,$A50)-1)))</f>
        <v/>
      </c>
      <c r="K50" s="29" t="str">
        <f aca="false">IF($A50="","",SUMIFS(Submissions!$J$2:$J$1000,Submissions!$A$2:$A$1000,$A50))</f>
        <v/>
      </c>
      <c r="L50" s="29" t="str">
        <f aca="false">IF($A50="","",COUNTIFS(Submissions!$A$2:$A$1000,$A50,Submissions!$D$2:$D$1000,"Rejected")+COUNTIFS(Submissions!$A$2:$A$1000,$A50,Submissions!$D$2:$D$1000,"Returned by office"))</f>
        <v/>
      </c>
      <c r="M50" s="30"/>
      <c r="N50" s="32" t="str">
        <f aca="false">IF(IF($F50="Revision due",3000,IF($F50="Needs resubmission",2000,IF($F50="Not yet submitted",1000,"")))="","",IF($F50="Revision due",3000,IF($F50="Needs resubmission",2000,IF($F50="Not yet submitted",1000,"")))+IF($I50="",0,MIN($I50,999))+(1000-ROW())/100000)</f>
        <v/>
      </c>
      <c r="O50" s="32" t="str">
        <f aca="false">IF($N50="","",RANK($N50,$N$2:$N$81))</f>
        <v/>
      </c>
    </row>
    <row r="51" customFormat="false" ht="15" hidden="false" customHeight="false" outlineLevel="0" collapsed="false">
      <c r="A51" s="29"/>
      <c r="B51" s="30"/>
      <c r="C51" s="29"/>
      <c r="D51" s="29"/>
      <c r="E51" s="29"/>
      <c r="F51" s="29" t="str">
        <f aca="false">IF($A51="","",IF($E51&lt;&gt;"",$E51,IF(COUNTIFS(Submissions!$A$2:$A$1000,$A51,Submissions!$D$2:$D$1000,"Accepted")&gt;0,"Accepted",IF(COUNTIFS(Submissions!$A$2:$A$1000,$A51,Submissions!$D$2:$D$1000,"Revision requested")&gt;0,"Revision due",IF(COUNTIFS(Submissions!$A$2:$A$1000,$A51,Submissions!$D$2:$D$1000,"Under review")&gt;0,"Under review",IF($K51&gt;0,"Needs resubmission","Not yet submitted"))))))</f>
        <v/>
      </c>
      <c r="G51" s="29" t="str">
        <f aca="false">IF($A51="","",IFERROR(INDEX(Submissions!$B$2:$B$1000,MATCH(_xlfn.MAXIFS(Submissions!$L$2:$L$1000,Submissions!$A$2:$A$1000,$A51),Submissions!$L$2:$L$1000,0)),""))</f>
        <v/>
      </c>
      <c r="H51" s="31" t="str">
        <f aca="false">IF($A51="","",IF(_xlfn.MAXIFS(Submissions!$F$2:$F$1000,Submissions!$A$2:$A$1000,$A51)=0,"",_xlfn.MAXIFS(Submissions!$F$2:$F$1000,Submissions!$A$2:$A$1000,$A51)))</f>
        <v/>
      </c>
      <c r="I51" s="29" t="str">
        <f aca="true">IF($F51="Needs resubmission",IF($H51="","",TODAY()-$H51),"")</f>
        <v/>
      </c>
      <c r="J51" s="29" t="str">
        <f aca="false">IF($A51="","",IF(_xlfn.MINIFS(Submissions!$M$2:$M$1000,Submissions!$A$2:$A$1000,$A51)=0,"",INDEX(Submissions!$B$2:$B$1000,_xlfn.MINIFS(Submissions!$M$2:$M$1000,Submissions!$A$2:$A$1000,$A51)-1)))</f>
        <v/>
      </c>
      <c r="K51" s="29" t="str">
        <f aca="false">IF($A51="","",SUMIFS(Submissions!$J$2:$J$1000,Submissions!$A$2:$A$1000,$A51))</f>
        <v/>
      </c>
      <c r="L51" s="29" t="str">
        <f aca="false">IF($A51="","",COUNTIFS(Submissions!$A$2:$A$1000,$A51,Submissions!$D$2:$D$1000,"Rejected")+COUNTIFS(Submissions!$A$2:$A$1000,$A51,Submissions!$D$2:$D$1000,"Returned by office"))</f>
        <v/>
      </c>
      <c r="M51" s="30"/>
      <c r="N51" s="32" t="str">
        <f aca="false">IF(IF($F51="Revision due",3000,IF($F51="Needs resubmission",2000,IF($F51="Not yet submitted",1000,"")))="","",IF($F51="Revision due",3000,IF($F51="Needs resubmission",2000,IF($F51="Not yet submitted",1000,"")))+IF($I51="",0,MIN($I51,999))+(1000-ROW())/100000)</f>
        <v/>
      </c>
      <c r="O51" s="32" t="str">
        <f aca="false">IF($N51="","",RANK($N51,$N$2:$N$81))</f>
        <v/>
      </c>
    </row>
    <row r="52" customFormat="false" ht="15" hidden="false" customHeight="false" outlineLevel="0" collapsed="false">
      <c r="A52" s="29"/>
      <c r="B52" s="30"/>
      <c r="C52" s="29"/>
      <c r="D52" s="29"/>
      <c r="E52" s="29"/>
      <c r="F52" s="29" t="str">
        <f aca="false">IF($A52="","",IF($E52&lt;&gt;"",$E52,IF(COUNTIFS(Submissions!$A$2:$A$1000,$A52,Submissions!$D$2:$D$1000,"Accepted")&gt;0,"Accepted",IF(COUNTIFS(Submissions!$A$2:$A$1000,$A52,Submissions!$D$2:$D$1000,"Revision requested")&gt;0,"Revision due",IF(COUNTIFS(Submissions!$A$2:$A$1000,$A52,Submissions!$D$2:$D$1000,"Under review")&gt;0,"Under review",IF($K52&gt;0,"Needs resubmission","Not yet submitted"))))))</f>
        <v/>
      </c>
      <c r="G52" s="29" t="str">
        <f aca="false">IF($A52="","",IFERROR(INDEX(Submissions!$B$2:$B$1000,MATCH(_xlfn.MAXIFS(Submissions!$L$2:$L$1000,Submissions!$A$2:$A$1000,$A52),Submissions!$L$2:$L$1000,0)),""))</f>
        <v/>
      </c>
      <c r="H52" s="31" t="str">
        <f aca="false">IF($A52="","",IF(_xlfn.MAXIFS(Submissions!$F$2:$F$1000,Submissions!$A$2:$A$1000,$A52)=0,"",_xlfn.MAXIFS(Submissions!$F$2:$F$1000,Submissions!$A$2:$A$1000,$A52)))</f>
        <v/>
      </c>
      <c r="I52" s="29" t="str">
        <f aca="true">IF($F52="Needs resubmission",IF($H52="","",TODAY()-$H52),"")</f>
        <v/>
      </c>
      <c r="J52" s="29" t="str">
        <f aca="false">IF($A52="","",IF(_xlfn.MINIFS(Submissions!$M$2:$M$1000,Submissions!$A$2:$A$1000,$A52)=0,"",INDEX(Submissions!$B$2:$B$1000,_xlfn.MINIFS(Submissions!$M$2:$M$1000,Submissions!$A$2:$A$1000,$A52)-1)))</f>
        <v/>
      </c>
      <c r="K52" s="29" t="str">
        <f aca="false">IF($A52="","",SUMIFS(Submissions!$J$2:$J$1000,Submissions!$A$2:$A$1000,$A52))</f>
        <v/>
      </c>
      <c r="L52" s="29" t="str">
        <f aca="false">IF($A52="","",COUNTIFS(Submissions!$A$2:$A$1000,$A52,Submissions!$D$2:$D$1000,"Rejected")+COUNTIFS(Submissions!$A$2:$A$1000,$A52,Submissions!$D$2:$D$1000,"Returned by office"))</f>
        <v/>
      </c>
      <c r="M52" s="30"/>
      <c r="N52" s="32" t="str">
        <f aca="false">IF(IF($F52="Revision due",3000,IF($F52="Needs resubmission",2000,IF($F52="Not yet submitted",1000,"")))="","",IF($F52="Revision due",3000,IF($F52="Needs resubmission",2000,IF($F52="Not yet submitted",1000,"")))+IF($I52="",0,MIN($I52,999))+(1000-ROW())/100000)</f>
        <v/>
      </c>
      <c r="O52" s="32" t="str">
        <f aca="false">IF($N52="","",RANK($N52,$N$2:$N$81))</f>
        <v/>
      </c>
    </row>
    <row r="53" customFormat="false" ht="15" hidden="false" customHeight="false" outlineLevel="0" collapsed="false">
      <c r="A53" s="29"/>
      <c r="B53" s="30"/>
      <c r="C53" s="29"/>
      <c r="D53" s="29"/>
      <c r="E53" s="29"/>
      <c r="F53" s="29" t="str">
        <f aca="false">IF($A53="","",IF($E53&lt;&gt;"",$E53,IF(COUNTIFS(Submissions!$A$2:$A$1000,$A53,Submissions!$D$2:$D$1000,"Accepted")&gt;0,"Accepted",IF(COUNTIFS(Submissions!$A$2:$A$1000,$A53,Submissions!$D$2:$D$1000,"Revision requested")&gt;0,"Revision due",IF(COUNTIFS(Submissions!$A$2:$A$1000,$A53,Submissions!$D$2:$D$1000,"Under review")&gt;0,"Under review",IF($K53&gt;0,"Needs resubmission","Not yet submitted"))))))</f>
        <v/>
      </c>
      <c r="G53" s="29" t="str">
        <f aca="false">IF($A53="","",IFERROR(INDEX(Submissions!$B$2:$B$1000,MATCH(_xlfn.MAXIFS(Submissions!$L$2:$L$1000,Submissions!$A$2:$A$1000,$A53),Submissions!$L$2:$L$1000,0)),""))</f>
        <v/>
      </c>
      <c r="H53" s="31" t="str">
        <f aca="false">IF($A53="","",IF(_xlfn.MAXIFS(Submissions!$F$2:$F$1000,Submissions!$A$2:$A$1000,$A53)=0,"",_xlfn.MAXIFS(Submissions!$F$2:$F$1000,Submissions!$A$2:$A$1000,$A53)))</f>
        <v/>
      </c>
      <c r="I53" s="29" t="str">
        <f aca="true">IF($F53="Needs resubmission",IF($H53="","",TODAY()-$H53),"")</f>
        <v/>
      </c>
      <c r="J53" s="29" t="str">
        <f aca="false">IF($A53="","",IF(_xlfn.MINIFS(Submissions!$M$2:$M$1000,Submissions!$A$2:$A$1000,$A53)=0,"",INDEX(Submissions!$B$2:$B$1000,_xlfn.MINIFS(Submissions!$M$2:$M$1000,Submissions!$A$2:$A$1000,$A53)-1)))</f>
        <v/>
      </c>
      <c r="K53" s="29" t="str">
        <f aca="false">IF($A53="","",SUMIFS(Submissions!$J$2:$J$1000,Submissions!$A$2:$A$1000,$A53))</f>
        <v/>
      </c>
      <c r="L53" s="29" t="str">
        <f aca="false">IF($A53="","",COUNTIFS(Submissions!$A$2:$A$1000,$A53,Submissions!$D$2:$D$1000,"Rejected")+COUNTIFS(Submissions!$A$2:$A$1000,$A53,Submissions!$D$2:$D$1000,"Returned by office"))</f>
        <v/>
      </c>
      <c r="M53" s="30"/>
      <c r="N53" s="32" t="str">
        <f aca="false">IF(IF($F53="Revision due",3000,IF($F53="Needs resubmission",2000,IF($F53="Not yet submitted",1000,"")))="","",IF($F53="Revision due",3000,IF($F53="Needs resubmission",2000,IF($F53="Not yet submitted",1000,"")))+IF($I53="",0,MIN($I53,999))+(1000-ROW())/100000)</f>
        <v/>
      </c>
      <c r="O53" s="32" t="str">
        <f aca="false">IF($N53="","",RANK($N53,$N$2:$N$81))</f>
        <v/>
      </c>
    </row>
    <row r="54" customFormat="false" ht="15" hidden="false" customHeight="false" outlineLevel="0" collapsed="false">
      <c r="A54" s="29"/>
      <c r="B54" s="30"/>
      <c r="C54" s="29"/>
      <c r="D54" s="29"/>
      <c r="E54" s="29"/>
      <c r="F54" s="29" t="str">
        <f aca="false">IF($A54="","",IF($E54&lt;&gt;"",$E54,IF(COUNTIFS(Submissions!$A$2:$A$1000,$A54,Submissions!$D$2:$D$1000,"Accepted")&gt;0,"Accepted",IF(COUNTIFS(Submissions!$A$2:$A$1000,$A54,Submissions!$D$2:$D$1000,"Revision requested")&gt;0,"Revision due",IF(COUNTIFS(Submissions!$A$2:$A$1000,$A54,Submissions!$D$2:$D$1000,"Under review")&gt;0,"Under review",IF($K54&gt;0,"Needs resubmission","Not yet submitted"))))))</f>
        <v/>
      </c>
      <c r="G54" s="29" t="str">
        <f aca="false">IF($A54="","",IFERROR(INDEX(Submissions!$B$2:$B$1000,MATCH(_xlfn.MAXIFS(Submissions!$L$2:$L$1000,Submissions!$A$2:$A$1000,$A54),Submissions!$L$2:$L$1000,0)),""))</f>
        <v/>
      </c>
      <c r="H54" s="31" t="str">
        <f aca="false">IF($A54="","",IF(_xlfn.MAXIFS(Submissions!$F$2:$F$1000,Submissions!$A$2:$A$1000,$A54)=0,"",_xlfn.MAXIFS(Submissions!$F$2:$F$1000,Submissions!$A$2:$A$1000,$A54)))</f>
        <v/>
      </c>
      <c r="I54" s="29" t="str">
        <f aca="true">IF($F54="Needs resubmission",IF($H54="","",TODAY()-$H54),"")</f>
        <v/>
      </c>
      <c r="J54" s="29" t="str">
        <f aca="false">IF($A54="","",IF(_xlfn.MINIFS(Submissions!$M$2:$M$1000,Submissions!$A$2:$A$1000,$A54)=0,"",INDEX(Submissions!$B$2:$B$1000,_xlfn.MINIFS(Submissions!$M$2:$M$1000,Submissions!$A$2:$A$1000,$A54)-1)))</f>
        <v/>
      </c>
      <c r="K54" s="29" t="str">
        <f aca="false">IF($A54="","",SUMIFS(Submissions!$J$2:$J$1000,Submissions!$A$2:$A$1000,$A54))</f>
        <v/>
      </c>
      <c r="L54" s="29" t="str">
        <f aca="false">IF($A54="","",COUNTIFS(Submissions!$A$2:$A$1000,$A54,Submissions!$D$2:$D$1000,"Rejected")+COUNTIFS(Submissions!$A$2:$A$1000,$A54,Submissions!$D$2:$D$1000,"Returned by office"))</f>
        <v/>
      </c>
      <c r="M54" s="30"/>
      <c r="N54" s="32" t="str">
        <f aca="false">IF(IF($F54="Revision due",3000,IF($F54="Needs resubmission",2000,IF($F54="Not yet submitted",1000,"")))="","",IF($F54="Revision due",3000,IF($F54="Needs resubmission",2000,IF($F54="Not yet submitted",1000,"")))+IF($I54="",0,MIN($I54,999))+(1000-ROW())/100000)</f>
        <v/>
      </c>
      <c r="O54" s="32" t="str">
        <f aca="false">IF($N54="","",RANK($N54,$N$2:$N$81))</f>
        <v/>
      </c>
    </row>
    <row r="55" customFormat="false" ht="15" hidden="false" customHeight="false" outlineLevel="0" collapsed="false">
      <c r="A55" s="29"/>
      <c r="B55" s="30"/>
      <c r="C55" s="29"/>
      <c r="D55" s="29"/>
      <c r="E55" s="29"/>
      <c r="F55" s="29" t="str">
        <f aca="false">IF($A55="","",IF($E55&lt;&gt;"",$E55,IF(COUNTIFS(Submissions!$A$2:$A$1000,$A55,Submissions!$D$2:$D$1000,"Accepted")&gt;0,"Accepted",IF(COUNTIFS(Submissions!$A$2:$A$1000,$A55,Submissions!$D$2:$D$1000,"Revision requested")&gt;0,"Revision due",IF(COUNTIFS(Submissions!$A$2:$A$1000,$A55,Submissions!$D$2:$D$1000,"Under review")&gt;0,"Under review",IF($K55&gt;0,"Needs resubmission","Not yet submitted"))))))</f>
        <v/>
      </c>
      <c r="G55" s="29" t="str">
        <f aca="false">IF($A55="","",IFERROR(INDEX(Submissions!$B$2:$B$1000,MATCH(_xlfn.MAXIFS(Submissions!$L$2:$L$1000,Submissions!$A$2:$A$1000,$A55),Submissions!$L$2:$L$1000,0)),""))</f>
        <v/>
      </c>
      <c r="H55" s="31" t="str">
        <f aca="false">IF($A55="","",IF(_xlfn.MAXIFS(Submissions!$F$2:$F$1000,Submissions!$A$2:$A$1000,$A55)=0,"",_xlfn.MAXIFS(Submissions!$F$2:$F$1000,Submissions!$A$2:$A$1000,$A55)))</f>
        <v/>
      </c>
      <c r="I55" s="29" t="str">
        <f aca="true">IF($F55="Needs resubmission",IF($H55="","",TODAY()-$H55),"")</f>
        <v/>
      </c>
      <c r="J55" s="29" t="str">
        <f aca="false">IF($A55="","",IF(_xlfn.MINIFS(Submissions!$M$2:$M$1000,Submissions!$A$2:$A$1000,$A55)=0,"",INDEX(Submissions!$B$2:$B$1000,_xlfn.MINIFS(Submissions!$M$2:$M$1000,Submissions!$A$2:$A$1000,$A55)-1)))</f>
        <v/>
      </c>
      <c r="K55" s="29" t="str">
        <f aca="false">IF($A55="","",SUMIFS(Submissions!$J$2:$J$1000,Submissions!$A$2:$A$1000,$A55))</f>
        <v/>
      </c>
      <c r="L55" s="29" t="str">
        <f aca="false">IF($A55="","",COUNTIFS(Submissions!$A$2:$A$1000,$A55,Submissions!$D$2:$D$1000,"Rejected")+COUNTIFS(Submissions!$A$2:$A$1000,$A55,Submissions!$D$2:$D$1000,"Returned by office"))</f>
        <v/>
      </c>
      <c r="M55" s="30"/>
      <c r="N55" s="32" t="str">
        <f aca="false">IF(IF($F55="Revision due",3000,IF($F55="Needs resubmission",2000,IF($F55="Not yet submitted",1000,"")))="","",IF($F55="Revision due",3000,IF($F55="Needs resubmission",2000,IF($F55="Not yet submitted",1000,"")))+IF($I55="",0,MIN($I55,999))+(1000-ROW())/100000)</f>
        <v/>
      </c>
      <c r="O55" s="32" t="str">
        <f aca="false">IF($N55="","",RANK($N55,$N$2:$N$81))</f>
        <v/>
      </c>
    </row>
    <row r="56" customFormat="false" ht="15" hidden="false" customHeight="false" outlineLevel="0" collapsed="false">
      <c r="A56" s="29"/>
      <c r="B56" s="30"/>
      <c r="C56" s="29"/>
      <c r="D56" s="29"/>
      <c r="E56" s="29"/>
      <c r="F56" s="29" t="str">
        <f aca="false">IF($A56="","",IF($E56&lt;&gt;"",$E56,IF(COUNTIFS(Submissions!$A$2:$A$1000,$A56,Submissions!$D$2:$D$1000,"Accepted")&gt;0,"Accepted",IF(COUNTIFS(Submissions!$A$2:$A$1000,$A56,Submissions!$D$2:$D$1000,"Revision requested")&gt;0,"Revision due",IF(COUNTIFS(Submissions!$A$2:$A$1000,$A56,Submissions!$D$2:$D$1000,"Under review")&gt;0,"Under review",IF($K56&gt;0,"Needs resubmission","Not yet submitted"))))))</f>
        <v/>
      </c>
      <c r="G56" s="29" t="str">
        <f aca="false">IF($A56="","",IFERROR(INDEX(Submissions!$B$2:$B$1000,MATCH(_xlfn.MAXIFS(Submissions!$L$2:$L$1000,Submissions!$A$2:$A$1000,$A56),Submissions!$L$2:$L$1000,0)),""))</f>
        <v/>
      </c>
      <c r="H56" s="31" t="str">
        <f aca="false">IF($A56="","",IF(_xlfn.MAXIFS(Submissions!$F$2:$F$1000,Submissions!$A$2:$A$1000,$A56)=0,"",_xlfn.MAXIFS(Submissions!$F$2:$F$1000,Submissions!$A$2:$A$1000,$A56)))</f>
        <v/>
      </c>
      <c r="I56" s="29" t="str">
        <f aca="true">IF($F56="Needs resubmission",IF($H56="","",TODAY()-$H56),"")</f>
        <v/>
      </c>
      <c r="J56" s="29" t="str">
        <f aca="false">IF($A56="","",IF(_xlfn.MINIFS(Submissions!$M$2:$M$1000,Submissions!$A$2:$A$1000,$A56)=0,"",INDEX(Submissions!$B$2:$B$1000,_xlfn.MINIFS(Submissions!$M$2:$M$1000,Submissions!$A$2:$A$1000,$A56)-1)))</f>
        <v/>
      </c>
      <c r="K56" s="29" t="str">
        <f aca="false">IF($A56="","",SUMIFS(Submissions!$J$2:$J$1000,Submissions!$A$2:$A$1000,$A56))</f>
        <v/>
      </c>
      <c r="L56" s="29" t="str">
        <f aca="false">IF($A56="","",COUNTIFS(Submissions!$A$2:$A$1000,$A56,Submissions!$D$2:$D$1000,"Rejected")+COUNTIFS(Submissions!$A$2:$A$1000,$A56,Submissions!$D$2:$D$1000,"Returned by office"))</f>
        <v/>
      </c>
      <c r="M56" s="30"/>
      <c r="N56" s="32" t="str">
        <f aca="false">IF(IF($F56="Revision due",3000,IF($F56="Needs resubmission",2000,IF($F56="Not yet submitted",1000,"")))="","",IF($F56="Revision due",3000,IF($F56="Needs resubmission",2000,IF($F56="Not yet submitted",1000,"")))+IF($I56="",0,MIN($I56,999))+(1000-ROW())/100000)</f>
        <v/>
      </c>
      <c r="O56" s="32" t="str">
        <f aca="false">IF($N56="","",RANK($N56,$N$2:$N$81))</f>
        <v/>
      </c>
    </row>
    <row r="57" customFormat="false" ht="15" hidden="false" customHeight="false" outlineLevel="0" collapsed="false">
      <c r="A57" s="29"/>
      <c r="B57" s="30"/>
      <c r="C57" s="29"/>
      <c r="D57" s="29"/>
      <c r="E57" s="29"/>
      <c r="F57" s="29" t="str">
        <f aca="false">IF($A57="","",IF($E57&lt;&gt;"",$E57,IF(COUNTIFS(Submissions!$A$2:$A$1000,$A57,Submissions!$D$2:$D$1000,"Accepted")&gt;0,"Accepted",IF(COUNTIFS(Submissions!$A$2:$A$1000,$A57,Submissions!$D$2:$D$1000,"Revision requested")&gt;0,"Revision due",IF(COUNTIFS(Submissions!$A$2:$A$1000,$A57,Submissions!$D$2:$D$1000,"Under review")&gt;0,"Under review",IF($K57&gt;0,"Needs resubmission","Not yet submitted"))))))</f>
        <v/>
      </c>
      <c r="G57" s="29" t="str">
        <f aca="false">IF($A57="","",IFERROR(INDEX(Submissions!$B$2:$B$1000,MATCH(_xlfn.MAXIFS(Submissions!$L$2:$L$1000,Submissions!$A$2:$A$1000,$A57),Submissions!$L$2:$L$1000,0)),""))</f>
        <v/>
      </c>
      <c r="H57" s="31" t="str">
        <f aca="false">IF($A57="","",IF(_xlfn.MAXIFS(Submissions!$F$2:$F$1000,Submissions!$A$2:$A$1000,$A57)=0,"",_xlfn.MAXIFS(Submissions!$F$2:$F$1000,Submissions!$A$2:$A$1000,$A57)))</f>
        <v/>
      </c>
      <c r="I57" s="29" t="str">
        <f aca="true">IF($F57="Needs resubmission",IF($H57="","",TODAY()-$H57),"")</f>
        <v/>
      </c>
      <c r="J57" s="29" t="str">
        <f aca="false">IF($A57="","",IF(_xlfn.MINIFS(Submissions!$M$2:$M$1000,Submissions!$A$2:$A$1000,$A57)=0,"",INDEX(Submissions!$B$2:$B$1000,_xlfn.MINIFS(Submissions!$M$2:$M$1000,Submissions!$A$2:$A$1000,$A57)-1)))</f>
        <v/>
      </c>
      <c r="K57" s="29" t="str">
        <f aca="false">IF($A57="","",SUMIFS(Submissions!$J$2:$J$1000,Submissions!$A$2:$A$1000,$A57))</f>
        <v/>
      </c>
      <c r="L57" s="29" t="str">
        <f aca="false">IF($A57="","",COUNTIFS(Submissions!$A$2:$A$1000,$A57,Submissions!$D$2:$D$1000,"Rejected")+COUNTIFS(Submissions!$A$2:$A$1000,$A57,Submissions!$D$2:$D$1000,"Returned by office"))</f>
        <v/>
      </c>
      <c r="M57" s="30"/>
      <c r="N57" s="32" t="str">
        <f aca="false">IF(IF($F57="Revision due",3000,IF($F57="Needs resubmission",2000,IF($F57="Not yet submitted",1000,"")))="","",IF($F57="Revision due",3000,IF($F57="Needs resubmission",2000,IF($F57="Not yet submitted",1000,"")))+IF($I57="",0,MIN($I57,999))+(1000-ROW())/100000)</f>
        <v/>
      </c>
      <c r="O57" s="32" t="str">
        <f aca="false">IF($N57="","",RANK($N57,$N$2:$N$81))</f>
        <v/>
      </c>
    </row>
    <row r="58" customFormat="false" ht="15" hidden="false" customHeight="false" outlineLevel="0" collapsed="false">
      <c r="A58" s="29"/>
      <c r="B58" s="30"/>
      <c r="C58" s="29"/>
      <c r="D58" s="29"/>
      <c r="E58" s="29"/>
      <c r="F58" s="29" t="str">
        <f aca="false">IF($A58="","",IF($E58&lt;&gt;"",$E58,IF(COUNTIFS(Submissions!$A$2:$A$1000,$A58,Submissions!$D$2:$D$1000,"Accepted")&gt;0,"Accepted",IF(COUNTIFS(Submissions!$A$2:$A$1000,$A58,Submissions!$D$2:$D$1000,"Revision requested")&gt;0,"Revision due",IF(COUNTIFS(Submissions!$A$2:$A$1000,$A58,Submissions!$D$2:$D$1000,"Under review")&gt;0,"Under review",IF($K58&gt;0,"Needs resubmission","Not yet submitted"))))))</f>
        <v/>
      </c>
      <c r="G58" s="29" t="str">
        <f aca="false">IF($A58="","",IFERROR(INDEX(Submissions!$B$2:$B$1000,MATCH(_xlfn.MAXIFS(Submissions!$L$2:$L$1000,Submissions!$A$2:$A$1000,$A58),Submissions!$L$2:$L$1000,0)),""))</f>
        <v/>
      </c>
      <c r="H58" s="31" t="str">
        <f aca="false">IF($A58="","",IF(_xlfn.MAXIFS(Submissions!$F$2:$F$1000,Submissions!$A$2:$A$1000,$A58)=0,"",_xlfn.MAXIFS(Submissions!$F$2:$F$1000,Submissions!$A$2:$A$1000,$A58)))</f>
        <v/>
      </c>
      <c r="I58" s="29" t="str">
        <f aca="true">IF($F58="Needs resubmission",IF($H58="","",TODAY()-$H58),"")</f>
        <v/>
      </c>
      <c r="J58" s="29" t="str">
        <f aca="false">IF($A58="","",IF(_xlfn.MINIFS(Submissions!$M$2:$M$1000,Submissions!$A$2:$A$1000,$A58)=0,"",INDEX(Submissions!$B$2:$B$1000,_xlfn.MINIFS(Submissions!$M$2:$M$1000,Submissions!$A$2:$A$1000,$A58)-1)))</f>
        <v/>
      </c>
      <c r="K58" s="29" t="str">
        <f aca="false">IF($A58="","",SUMIFS(Submissions!$J$2:$J$1000,Submissions!$A$2:$A$1000,$A58))</f>
        <v/>
      </c>
      <c r="L58" s="29" t="str">
        <f aca="false">IF($A58="","",COUNTIFS(Submissions!$A$2:$A$1000,$A58,Submissions!$D$2:$D$1000,"Rejected")+COUNTIFS(Submissions!$A$2:$A$1000,$A58,Submissions!$D$2:$D$1000,"Returned by office"))</f>
        <v/>
      </c>
      <c r="M58" s="30"/>
      <c r="N58" s="32" t="str">
        <f aca="false">IF(IF($F58="Revision due",3000,IF($F58="Needs resubmission",2000,IF($F58="Not yet submitted",1000,"")))="","",IF($F58="Revision due",3000,IF($F58="Needs resubmission",2000,IF($F58="Not yet submitted",1000,"")))+IF($I58="",0,MIN($I58,999))+(1000-ROW())/100000)</f>
        <v/>
      </c>
      <c r="O58" s="32" t="str">
        <f aca="false">IF($N58="","",RANK($N58,$N$2:$N$81))</f>
        <v/>
      </c>
    </row>
    <row r="59" customFormat="false" ht="15" hidden="false" customHeight="false" outlineLevel="0" collapsed="false">
      <c r="A59" s="29"/>
      <c r="B59" s="30"/>
      <c r="C59" s="29"/>
      <c r="D59" s="29"/>
      <c r="E59" s="29"/>
      <c r="F59" s="29" t="str">
        <f aca="false">IF($A59="","",IF($E59&lt;&gt;"",$E59,IF(COUNTIFS(Submissions!$A$2:$A$1000,$A59,Submissions!$D$2:$D$1000,"Accepted")&gt;0,"Accepted",IF(COUNTIFS(Submissions!$A$2:$A$1000,$A59,Submissions!$D$2:$D$1000,"Revision requested")&gt;0,"Revision due",IF(COUNTIFS(Submissions!$A$2:$A$1000,$A59,Submissions!$D$2:$D$1000,"Under review")&gt;0,"Under review",IF($K59&gt;0,"Needs resubmission","Not yet submitted"))))))</f>
        <v/>
      </c>
      <c r="G59" s="29" t="str">
        <f aca="false">IF($A59="","",IFERROR(INDEX(Submissions!$B$2:$B$1000,MATCH(_xlfn.MAXIFS(Submissions!$L$2:$L$1000,Submissions!$A$2:$A$1000,$A59),Submissions!$L$2:$L$1000,0)),""))</f>
        <v/>
      </c>
      <c r="H59" s="31" t="str">
        <f aca="false">IF($A59="","",IF(_xlfn.MAXIFS(Submissions!$F$2:$F$1000,Submissions!$A$2:$A$1000,$A59)=0,"",_xlfn.MAXIFS(Submissions!$F$2:$F$1000,Submissions!$A$2:$A$1000,$A59)))</f>
        <v/>
      </c>
      <c r="I59" s="29" t="str">
        <f aca="true">IF($F59="Needs resubmission",IF($H59="","",TODAY()-$H59),"")</f>
        <v/>
      </c>
      <c r="J59" s="29" t="str">
        <f aca="false">IF($A59="","",IF(_xlfn.MINIFS(Submissions!$M$2:$M$1000,Submissions!$A$2:$A$1000,$A59)=0,"",INDEX(Submissions!$B$2:$B$1000,_xlfn.MINIFS(Submissions!$M$2:$M$1000,Submissions!$A$2:$A$1000,$A59)-1)))</f>
        <v/>
      </c>
      <c r="K59" s="29" t="str">
        <f aca="false">IF($A59="","",SUMIFS(Submissions!$J$2:$J$1000,Submissions!$A$2:$A$1000,$A59))</f>
        <v/>
      </c>
      <c r="L59" s="29" t="str">
        <f aca="false">IF($A59="","",COUNTIFS(Submissions!$A$2:$A$1000,$A59,Submissions!$D$2:$D$1000,"Rejected")+COUNTIFS(Submissions!$A$2:$A$1000,$A59,Submissions!$D$2:$D$1000,"Returned by office"))</f>
        <v/>
      </c>
      <c r="M59" s="30"/>
      <c r="N59" s="32" t="str">
        <f aca="false">IF(IF($F59="Revision due",3000,IF($F59="Needs resubmission",2000,IF($F59="Not yet submitted",1000,"")))="","",IF($F59="Revision due",3000,IF($F59="Needs resubmission",2000,IF($F59="Not yet submitted",1000,"")))+IF($I59="",0,MIN($I59,999))+(1000-ROW())/100000)</f>
        <v/>
      </c>
      <c r="O59" s="32" t="str">
        <f aca="false">IF($N59="","",RANK($N59,$N$2:$N$81))</f>
        <v/>
      </c>
    </row>
    <row r="60" customFormat="false" ht="15" hidden="false" customHeight="false" outlineLevel="0" collapsed="false">
      <c r="A60" s="29"/>
      <c r="B60" s="30"/>
      <c r="C60" s="29"/>
      <c r="D60" s="29"/>
      <c r="E60" s="29"/>
      <c r="F60" s="29" t="str">
        <f aca="false">IF($A60="","",IF($E60&lt;&gt;"",$E60,IF(COUNTIFS(Submissions!$A$2:$A$1000,$A60,Submissions!$D$2:$D$1000,"Accepted")&gt;0,"Accepted",IF(COUNTIFS(Submissions!$A$2:$A$1000,$A60,Submissions!$D$2:$D$1000,"Revision requested")&gt;0,"Revision due",IF(COUNTIFS(Submissions!$A$2:$A$1000,$A60,Submissions!$D$2:$D$1000,"Under review")&gt;0,"Under review",IF($K60&gt;0,"Needs resubmission","Not yet submitted"))))))</f>
        <v/>
      </c>
      <c r="G60" s="29" t="str">
        <f aca="false">IF($A60="","",IFERROR(INDEX(Submissions!$B$2:$B$1000,MATCH(_xlfn.MAXIFS(Submissions!$L$2:$L$1000,Submissions!$A$2:$A$1000,$A60),Submissions!$L$2:$L$1000,0)),""))</f>
        <v/>
      </c>
      <c r="H60" s="31" t="str">
        <f aca="false">IF($A60="","",IF(_xlfn.MAXIFS(Submissions!$F$2:$F$1000,Submissions!$A$2:$A$1000,$A60)=0,"",_xlfn.MAXIFS(Submissions!$F$2:$F$1000,Submissions!$A$2:$A$1000,$A60)))</f>
        <v/>
      </c>
      <c r="I60" s="29" t="str">
        <f aca="true">IF($F60="Needs resubmission",IF($H60="","",TODAY()-$H60),"")</f>
        <v/>
      </c>
      <c r="J60" s="29" t="str">
        <f aca="false">IF($A60="","",IF(_xlfn.MINIFS(Submissions!$M$2:$M$1000,Submissions!$A$2:$A$1000,$A60)=0,"",INDEX(Submissions!$B$2:$B$1000,_xlfn.MINIFS(Submissions!$M$2:$M$1000,Submissions!$A$2:$A$1000,$A60)-1)))</f>
        <v/>
      </c>
      <c r="K60" s="29" t="str">
        <f aca="false">IF($A60="","",SUMIFS(Submissions!$J$2:$J$1000,Submissions!$A$2:$A$1000,$A60))</f>
        <v/>
      </c>
      <c r="L60" s="29" t="str">
        <f aca="false">IF($A60="","",COUNTIFS(Submissions!$A$2:$A$1000,$A60,Submissions!$D$2:$D$1000,"Rejected")+COUNTIFS(Submissions!$A$2:$A$1000,$A60,Submissions!$D$2:$D$1000,"Returned by office"))</f>
        <v/>
      </c>
      <c r="M60" s="30"/>
      <c r="N60" s="32" t="str">
        <f aca="false">IF(IF($F60="Revision due",3000,IF($F60="Needs resubmission",2000,IF($F60="Not yet submitted",1000,"")))="","",IF($F60="Revision due",3000,IF($F60="Needs resubmission",2000,IF($F60="Not yet submitted",1000,"")))+IF($I60="",0,MIN($I60,999))+(1000-ROW())/100000)</f>
        <v/>
      </c>
      <c r="O60" s="32" t="str">
        <f aca="false">IF($N60="","",RANK($N60,$N$2:$N$81))</f>
        <v/>
      </c>
    </row>
    <row r="61" customFormat="false" ht="15" hidden="false" customHeight="false" outlineLevel="0" collapsed="false">
      <c r="A61" s="29"/>
      <c r="B61" s="30"/>
      <c r="C61" s="29"/>
      <c r="D61" s="29"/>
      <c r="E61" s="29"/>
      <c r="F61" s="29" t="str">
        <f aca="false">IF($A61="","",IF($E61&lt;&gt;"",$E61,IF(COUNTIFS(Submissions!$A$2:$A$1000,$A61,Submissions!$D$2:$D$1000,"Accepted")&gt;0,"Accepted",IF(COUNTIFS(Submissions!$A$2:$A$1000,$A61,Submissions!$D$2:$D$1000,"Revision requested")&gt;0,"Revision due",IF(COUNTIFS(Submissions!$A$2:$A$1000,$A61,Submissions!$D$2:$D$1000,"Under review")&gt;0,"Under review",IF($K61&gt;0,"Needs resubmission","Not yet submitted"))))))</f>
        <v/>
      </c>
      <c r="G61" s="29" t="str">
        <f aca="false">IF($A61="","",IFERROR(INDEX(Submissions!$B$2:$B$1000,MATCH(_xlfn.MAXIFS(Submissions!$L$2:$L$1000,Submissions!$A$2:$A$1000,$A61),Submissions!$L$2:$L$1000,0)),""))</f>
        <v/>
      </c>
      <c r="H61" s="31" t="str">
        <f aca="false">IF($A61="","",IF(_xlfn.MAXIFS(Submissions!$F$2:$F$1000,Submissions!$A$2:$A$1000,$A61)=0,"",_xlfn.MAXIFS(Submissions!$F$2:$F$1000,Submissions!$A$2:$A$1000,$A61)))</f>
        <v/>
      </c>
      <c r="I61" s="29" t="str">
        <f aca="true">IF($F61="Needs resubmission",IF($H61="","",TODAY()-$H61),"")</f>
        <v/>
      </c>
      <c r="J61" s="29" t="str">
        <f aca="false">IF($A61="","",IF(_xlfn.MINIFS(Submissions!$M$2:$M$1000,Submissions!$A$2:$A$1000,$A61)=0,"",INDEX(Submissions!$B$2:$B$1000,_xlfn.MINIFS(Submissions!$M$2:$M$1000,Submissions!$A$2:$A$1000,$A61)-1)))</f>
        <v/>
      </c>
      <c r="K61" s="29" t="str">
        <f aca="false">IF($A61="","",SUMIFS(Submissions!$J$2:$J$1000,Submissions!$A$2:$A$1000,$A61))</f>
        <v/>
      </c>
      <c r="L61" s="29" t="str">
        <f aca="false">IF($A61="","",COUNTIFS(Submissions!$A$2:$A$1000,$A61,Submissions!$D$2:$D$1000,"Rejected")+COUNTIFS(Submissions!$A$2:$A$1000,$A61,Submissions!$D$2:$D$1000,"Returned by office"))</f>
        <v/>
      </c>
      <c r="M61" s="30"/>
      <c r="N61" s="32" t="str">
        <f aca="false">IF(IF($F61="Revision due",3000,IF($F61="Needs resubmission",2000,IF($F61="Not yet submitted",1000,"")))="","",IF($F61="Revision due",3000,IF($F61="Needs resubmission",2000,IF($F61="Not yet submitted",1000,"")))+IF($I61="",0,MIN($I61,999))+(1000-ROW())/100000)</f>
        <v/>
      </c>
      <c r="O61" s="32" t="str">
        <f aca="false">IF($N61="","",RANK($N61,$N$2:$N$81))</f>
        <v/>
      </c>
    </row>
    <row r="62" customFormat="false" ht="15" hidden="false" customHeight="false" outlineLevel="0" collapsed="false">
      <c r="A62" s="29"/>
      <c r="B62" s="30"/>
      <c r="C62" s="29"/>
      <c r="D62" s="29"/>
      <c r="E62" s="29"/>
      <c r="F62" s="29" t="str">
        <f aca="false">IF($A62="","",IF($E62&lt;&gt;"",$E62,IF(COUNTIFS(Submissions!$A$2:$A$1000,$A62,Submissions!$D$2:$D$1000,"Accepted")&gt;0,"Accepted",IF(COUNTIFS(Submissions!$A$2:$A$1000,$A62,Submissions!$D$2:$D$1000,"Revision requested")&gt;0,"Revision due",IF(COUNTIFS(Submissions!$A$2:$A$1000,$A62,Submissions!$D$2:$D$1000,"Under review")&gt;0,"Under review",IF($K62&gt;0,"Needs resubmission","Not yet submitted"))))))</f>
        <v/>
      </c>
      <c r="G62" s="29" t="str">
        <f aca="false">IF($A62="","",IFERROR(INDEX(Submissions!$B$2:$B$1000,MATCH(_xlfn.MAXIFS(Submissions!$L$2:$L$1000,Submissions!$A$2:$A$1000,$A62),Submissions!$L$2:$L$1000,0)),""))</f>
        <v/>
      </c>
      <c r="H62" s="31" t="str">
        <f aca="false">IF($A62="","",IF(_xlfn.MAXIFS(Submissions!$F$2:$F$1000,Submissions!$A$2:$A$1000,$A62)=0,"",_xlfn.MAXIFS(Submissions!$F$2:$F$1000,Submissions!$A$2:$A$1000,$A62)))</f>
        <v/>
      </c>
      <c r="I62" s="29" t="str">
        <f aca="true">IF($F62="Needs resubmission",IF($H62="","",TODAY()-$H62),"")</f>
        <v/>
      </c>
      <c r="J62" s="29" t="str">
        <f aca="false">IF($A62="","",IF(_xlfn.MINIFS(Submissions!$M$2:$M$1000,Submissions!$A$2:$A$1000,$A62)=0,"",INDEX(Submissions!$B$2:$B$1000,_xlfn.MINIFS(Submissions!$M$2:$M$1000,Submissions!$A$2:$A$1000,$A62)-1)))</f>
        <v/>
      </c>
      <c r="K62" s="29" t="str">
        <f aca="false">IF($A62="","",SUMIFS(Submissions!$J$2:$J$1000,Submissions!$A$2:$A$1000,$A62))</f>
        <v/>
      </c>
      <c r="L62" s="29" t="str">
        <f aca="false">IF($A62="","",COUNTIFS(Submissions!$A$2:$A$1000,$A62,Submissions!$D$2:$D$1000,"Rejected")+COUNTIFS(Submissions!$A$2:$A$1000,$A62,Submissions!$D$2:$D$1000,"Returned by office"))</f>
        <v/>
      </c>
      <c r="M62" s="30"/>
      <c r="N62" s="32" t="str">
        <f aca="false">IF(IF($F62="Revision due",3000,IF($F62="Needs resubmission",2000,IF($F62="Not yet submitted",1000,"")))="","",IF($F62="Revision due",3000,IF($F62="Needs resubmission",2000,IF($F62="Not yet submitted",1000,"")))+IF($I62="",0,MIN($I62,999))+(1000-ROW())/100000)</f>
        <v/>
      </c>
      <c r="O62" s="32" t="str">
        <f aca="false">IF($N62="","",RANK($N62,$N$2:$N$81))</f>
        <v/>
      </c>
    </row>
    <row r="63" customFormat="false" ht="15" hidden="false" customHeight="false" outlineLevel="0" collapsed="false">
      <c r="A63" s="29"/>
      <c r="B63" s="30"/>
      <c r="C63" s="29"/>
      <c r="D63" s="29"/>
      <c r="E63" s="29"/>
      <c r="F63" s="29" t="str">
        <f aca="false">IF($A63="","",IF($E63&lt;&gt;"",$E63,IF(COUNTIFS(Submissions!$A$2:$A$1000,$A63,Submissions!$D$2:$D$1000,"Accepted")&gt;0,"Accepted",IF(COUNTIFS(Submissions!$A$2:$A$1000,$A63,Submissions!$D$2:$D$1000,"Revision requested")&gt;0,"Revision due",IF(COUNTIFS(Submissions!$A$2:$A$1000,$A63,Submissions!$D$2:$D$1000,"Under review")&gt;0,"Under review",IF($K63&gt;0,"Needs resubmission","Not yet submitted"))))))</f>
        <v/>
      </c>
      <c r="G63" s="29" t="str">
        <f aca="false">IF($A63="","",IFERROR(INDEX(Submissions!$B$2:$B$1000,MATCH(_xlfn.MAXIFS(Submissions!$L$2:$L$1000,Submissions!$A$2:$A$1000,$A63),Submissions!$L$2:$L$1000,0)),""))</f>
        <v/>
      </c>
      <c r="H63" s="31" t="str">
        <f aca="false">IF($A63="","",IF(_xlfn.MAXIFS(Submissions!$F$2:$F$1000,Submissions!$A$2:$A$1000,$A63)=0,"",_xlfn.MAXIFS(Submissions!$F$2:$F$1000,Submissions!$A$2:$A$1000,$A63)))</f>
        <v/>
      </c>
      <c r="I63" s="29" t="str">
        <f aca="true">IF($F63="Needs resubmission",IF($H63="","",TODAY()-$H63),"")</f>
        <v/>
      </c>
      <c r="J63" s="29" t="str">
        <f aca="false">IF($A63="","",IF(_xlfn.MINIFS(Submissions!$M$2:$M$1000,Submissions!$A$2:$A$1000,$A63)=0,"",INDEX(Submissions!$B$2:$B$1000,_xlfn.MINIFS(Submissions!$M$2:$M$1000,Submissions!$A$2:$A$1000,$A63)-1)))</f>
        <v/>
      </c>
      <c r="K63" s="29" t="str">
        <f aca="false">IF($A63="","",SUMIFS(Submissions!$J$2:$J$1000,Submissions!$A$2:$A$1000,$A63))</f>
        <v/>
      </c>
      <c r="L63" s="29" t="str">
        <f aca="false">IF($A63="","",COUNTIFS(Submissions!$A$2:$A$1000,$A63,Submissions!$D$2:$D$1000,"Rejected")+COUNTIFS(Submissions!$A$2:$A$1000,$A63,Submissions!$D$2:$D$1000,"Returned by office"))</f>
        <v/>
      </c>
      <c r="M63" s="30"/>
      <c r="N63" s="32" t="str">
        <f aca="false">IF(IF($F63="Revision due",3000,IF($F63="Needs resubmission",2000,IF($F63="Not yet submitted",1000,"")))="","",IF($F63="Revision due",3000,IF($F63="Needs resubmission",2000,IF($F63="Not yet submitted",1000,"")))+IF($I63="",0,MIN($I63,999))+(1000-ROW())/100000)</f>
        <v/>
      </c>
      <c r="O63" s="32" t="str">
        <f aca="false">IF($N63="","",RANK($N63,$N$2:$N$81))</f>
        <v/>
      </c>
    </row>
    <row r="64" customFormat="false" ht="15" hidden="false" customHeight="false" outlineLevel="0" collapsed="false">
      <c r="A64" s="29"/>
      <c r="B64" s="30"/>
      <c r="C64" s="29"/>
      <c r="D64" s="29"/>
      <c r="E64" s="29"/>
      <c r="F64" s="29" t="str">
        <f aca="false">IF($A64="","",IF($E64&lt;&gt;"",$E64,IF(COUNTIFS(Submissions!$A$2:$A$1000,$A64,Submissions!$D$2:$D$1000,"Accepted")&gt;0,"Accepted",IF(COUNTIFS(Submissions!$A$2:$A$1000,$A64,Submissions!$D$2:$D$1000,"Revision requested")&gt;0,"Revision due",IF(COUNTIFS(Submissions!$A$2:$A$1000,$A64,Submissions!$D$2:$D$1000,"Under review")&gt;0,"Under review",IF($K64&gt;0,"Needs resubmission","Not yet submitted"))))))</f>
        <v/>
      </c>
      <c r="G64" s="29" t="str">
        <f aca="false">IF($A64="","",IFERROR(INDEX(Submissions!$B$2:$B$1000,MATCH(_xlfn.MAXIFS(Submissions!$L$2:$L$1000,Submissions!$A$2:$A$1000,$A64),Submissions!$L$2:$L$1000,0)),""))</f>
        <v/>
      </c>
      <c r="H64" s="31" t="str">
        <f aca="false">IF($A64="","",IF(_xlfn.MAXIFS(Submissions!$F$2:$F$1000,Submissions!$A$2:$A$1000,$A64)=0,"",_xlfn.MAXIFS(Submissions!$F$2:$F$1000,Submissions!$A$2:$A$1000,$A64)))</f>
        <v/>
      </c>
      <c r="I64" s="29" t="str">
        <f aca="true">IF($F64="Needs resubmission",IF($H64="","",TODAY()-$H64),"")</f>
        <v/>
      </c>
      <c r="J64" s="29" t="str">
        <f aca="false">IF($A64="","",IF(_xlfn.MINIFS(Submissions!$M$2:$M$1000,Submissions!$A$2:$A$1000,$A64)=0,"",INDEX(Submissions!$B$2:$B$1000,_xlfn.MINIFS(Submissions!$M$2:$M$1000,Submissions!$A$2:$A$1000,$A64)-1)))</f>
        <v/>
      </c>
      <c r="K64" s="29" t="str">
        <f aca="false">IF($A64="","",SUMIFS(Submissions!$J$2:$J$1000,Submissions!$A$2:$A$1000,$A64))</f>
        <v/>
      </c>
      <c r="L64" s="29" t="str">
        <f aca="false">IF($A64="","",COUNTIFS(Submissions!$A$2:$A$1000,$A64,Submissions!$D$2:$D$1000,"Rejected")+COUNTIFS(Submissions!$A$2:$A$1000,$A64,Submissions!$D$2:$D$1000,"Returned by office"))</f>
        <v/>
      </c>
      <c r="M64" s="30"/>
      <c r="N64" s="32" t="str">
        <f aca="false">IF(IF($F64="Revision due",3000,IF($F64="Needs resubmission",2000,IF($F64="Not yet submitted",1000,"")))="","",IF($F64="Revision due",3000,IF($F64="Needs resubmission",2000,IF($F64="Not yet submitted",1000,"")))+IF($I64="",0,MIN($I64,999))+(1000-ROW())/100000)</f>
        <v/>
      </c>
      <c r="O64" s="32" t="str">
        <f aca="false">IF($N64="","",RANK($N64,$N$2:$N$81))</f>
        <v/>
      </c>
    </row>
    <row r="65" customFormat="false" ht="15" hidden="false" customHeight="false" outlineLevel="0" collapsed="false">
      <c r="A65" s="29"/>
      <c r="B65" s="30"/>
      <c r="C65" s="29"/>
      <c r="D65" s="29"/>
      <c r="E65" s="29"/>
      <c r="F65" s="29" t="str">
        <f aca="false">IF($A65="","",IF($E65&lt;&gt;"",$E65,IF(COUNTIFS(Submissions!$A$2:$A$1000,$A65,Submissions!$D$2:$D$1000,"Accepted")&gt;0,"Accepted",IF(COUNTIFS(Submissions!$A$2:$A$1000,$A65,Submissions!$D$2:$D$1000,"Revision requested")&gt;0,"Revision due",IF(COUNTIFS(Submissions!$A$2:$A$1000,$A65,Submissions!$D$2:$D$1000,"Under review")&gt;0,"Under review",IF($K65&gt;0,"Needs resubmission","Not yet submitted"))))))</f>
        <v/>
      </c>
      <c r="G65" s="29" t="str">
        <f aca="false">IF($A65="","",IFERROR(INDEX(Submissions!$B$2:$B$1000,MATCH(_xlfn.MAXIFS(Submissions!$L$2:$L$1000,Submissions!$A$2:$A$1000,$A65),Submissions!$L$2:$L$1000,0)),""))</f>
        <v/>
      </c>
      <c r="H65" s="31" t="str">
        <f aca="false">IF($A65="","",IF(_xlfn.MAXIFS(Submissions!$F$2:$F$1000,Submissions!$A$2:$A$1000,$A65)=0,"",_xlfn.MAXIFS(Submissions!$F$2:$F$1000,Submissions!$A$2:$A$1000,$A65)))</f>
        <v/>
      </c>
      <c r="I65" s="29" t="str">
        <f aca="true">IF($F65="Needs resubmission",IF($H65="","",TODAY()-$H65),"")</f>
        <v/>
      </c>
      <c r="J65" s="29" t="str">
        <f aca="false">IF($A65="","",IF(_xlfn.MINIFS(Submissions!$M$2:$M$1000,Submissions!$A$2:$A$1000,$A65)=0,"",INDEX(Submissions!$B$2:$B$1000,_xlfn.MINIFS(Submissions!$M$2:$M$1000,Submissions!$A$2:$A$1000,$A65)-1)))</f>
        <v/>
      </c>
      <c r="K65" s="29" t="str">
        <f aca="false">IF($A65="","",SUMIFS(Submissions!$J$2:$J$1000,Submissions!$A$2:$A$1000,$A65))</f>
        <v/>
      </c>
      <c r="L65" s="29" t="str">
        <f aca="false">IF($A65="","",COUNTIFS(Submissions!$A$2:$A$1000,$A65,Submissions!$D$2:$D$1000,"Rejected")+COUNTIFS(Submissions!$A$2:$A$1000,$A65,Submissions!$D$2:$D$1000,"Returned by office"))</f>
        <v/>
      </c>
      <c r="M65" s="30"/>
      <c r="N65" s="32" t="str">
        <f aca="false">IF(IF($F65="Revision due",3000,IF($F65="Needs resubmission",2000,IF($F65="Not yet submitted",1000,"")))="","",IF($F65="Revision due",3000,IF($F65="Needs resubmission",2000,IF($F65="Not yet submitted",1000,"")))+IF($I65="",0,MIN($I65,999))+(1000-ROW())/100000)</f>
        <v/>
      </c>
      <c r="O65" s="32" t="str">
        <f aca="false">IF($N65="","",RANK($N65,$N$2:$N$81))</f>
        <v/>
      </c>
    </row>
    <row r="66" customFormat="false" ht="15" hidden="false" customHeight="false" outlineLevel="0" collapsed="false">
      <c r="A66" s="29"/>
      <c r="B66" s="30"/>
      <c r="C66" s="29"/>
      <c r="D66" s="29"/>
      <c r="E66" s="29"/>
      <c r="F66" s="29" t="str">
        <f aca="false">IF($A66="","",IF($E66&lt;&gt;"",$E66,IF(COUNTIFS(Submissions!$A$2:$A$1000,$A66,Submissions!$D$2:$D$1000,"Accepted")&gt;0,"Accepted",IF(COUNTIFS(Submissions!$A$2:$A$1000,$A66,Submissions!$D$2:$D$1000,"Revision requested")&gt;0,"Revision due",IF(COUNTIFS(Submissions!$A$2:$A$1000,$A66,Submissions!$D$2:$D$1000,"Under review")&gt;0,"Under review",IF($K66&gt;0,"Needs resubmission","Not yet submitted"))))))</f>
        <v/>
      </c>
      <c r="G66" s="29" t="str">
        <f aca="false">IF($A66="","",IFERROR(INDEX(Submissions!$B$2:$B$1000,MATCH(_xlfn.MAXIFS(Submissions!$L$2:$L$1000,Submissions!$A$2:$A$1000,$A66),Submissions!$L$2:$L$1000,0)),""))</f>
        <v/>
      </c>
      <c r="H66" s="31" t="str">
        <f aca="false">IF($A66="","",IF(_xlfn.MAXIFS(Submissions!$F$2:$F$1000,Submissions!$A$2:$A$1000,$A66)=0,"",_xlfn.MAXIFS(Submissions!$F$2:$F$1000,Submissions!$A$2:$A$1000,$A66)))</f>
        <v/>
      </c>
      <c r="I66" s="29" t="str">
        <f aca="true">IF($F66="Needs resubmission",IF($H66="","",TODAY()-$H66),"")</f>
        <v/>
      </c>
      <c r="J66" s="29" t="str">
        <f aca="false">IF($A66="","",IF(_xlfn.MINIFS(Submissions!$M$2:$M$1000,Submissions!$A$2:$A$1000,$A66)=0,"",INDEX(Submissions!$B$2:$B$1000,_xlfn.MINIFS(Submissions!$M$2:$M$1000,Submissions!$A$2:$A$1000,$A66)-1)))</f>
        <v/>
      </c>
      <c r="K66" s="29" t="str">
        <f aca="false">IF($A66="","",SUMIFS(Submissions!$J$2:$J$1000,Submissions!$A$2:$A$1000,$A66))</f>
        <v/>
      </c>
      <c r="L66" s="29" t="str">
        <f aca="false">IF($A66="","",COUNTIFS(Submissions!$A$2:$A$1000,$A66,Submissions!$D$2:$D$1000,"Rejected")+COUNTIFS(Submissions!$A$2:$A$1000,$A66,Submissions!$D$2:$D$1000,"Returned by office"))</f>
        <v/>
      </c>
      <c r="M66" s="30"/>
      <c r="N66" s="32" t="str">
        <f aca="false">IF(IF($F66="Revision due",3000,IF($F66="Needs resubmission",2000,IF($F66="Not yet submitted",1000,"")))="","",IF($F66="Revision due",3000,IF($F66="Needs resubmission",2000,IF($F66="Not yet submitted",1000,"")))+IF($I66="",0,MIN($I66,999))+(1000-ROW())/100000)</f>
        <v/>
      </c>
      <c r="O66" s="32" t="str">
        <f aca="false">IF($N66="","",RANK($N66,$N$2:$N$81))</f>
        <v/>
      </c>
    </row>
    <row r="67" customFormat="false" ht="15" hidden="false" customHeight="false" outlineLevel="0" collapsed="false">
      <c r="A67" s="29"/>
      <c r="B67" s="30"/>
      <c r="C67" s="29"/>
      <c r="D67" s="29"/>
      <c r="E67" s="29"/>
      <c r="F67" s="29" t="str">
        <f aca="false">IF($A67="","",IF($E67&lt;&gt;"",$E67,IF(COUNTIFS(Submissions!$A$2:$A$1000,$A67,Submissions!$D$2:$D$1000,"Accepted")&gt;0,"Accepted",IF(COUNTIFS(Submissions!$A$2:$A$1000,$A67,Submissions!$D$2:$D$1000,"Revision requested")&gt;0,"Revision due",IF(COUNTIFS(Submissions!$A$2:$A$1000,$A67,Submissions!$D$2:$D$1000,"Under review")&gt;0,"Under review",IF($K67&gt;0,"Needs resubmission","Not yet submitted"))))))</f>
        <v/>
      </c>
      <c r="G67" s="29" t="str">
        <f aca="false">IF($A67="","",IFERROR(INDEX(Submissions!$B$2:$B$1000,MATCH(_xlfn.MAXIFS(Submissions!$L$2:$L$1000,Submissions!$A$2:$A$1000,$A67),Submissions!$L$2:$L$1000,0)),""))</f>
        <v/>
      </c>
      <c r="H67" s="31" t="str">
        <f aca="false">IF($A67="","",IF(_xlfn.MAXIFS(Submissions!$F$2:$F$1000,Submissions!$A$2:$A$1000,$A67)=0,"",_xlfn.MAXIFS(Submissions!$F$2:$F$1000,Submissions!$A$2:$A$1000,$A67)))</f>
        <v/>
      </c>
      <c r="I67" s="29" t="str">
        <f aca="true">IF($F67="Needs resubmission",IF($H67="","",TODAY()-$H67),"")</f>
        <v/>
      </c>
      <c r="J67" s="29" t="str">
        <f aca="false">IF($A67="","",IF(_xlfn.MINIFS(Submissions!$M$2:$M$1000,Submissions!$A$2:$A$1000,$A67)=0,"",INDEX(Submissions!$B$2:$B$1000,_xlfn.MINIFS(Submissions!$M$2:$M$1000,Submissions!$A$2:$A$1000,$A67)-1)))</f>
        <v/>
      </c>
      <c r="K67" s="29" t="str">
        <f aca="false">IF($A67="","",SUMIFS(Submissions!$J$2:$J$1000,Submissions!$A$2:$A$1000,$A67))</f>
        <v/>
      </c>
      <c r="L67" s="29" t="str">
        <f aca="false">IF($A67="","",COUNTIFS(Submissions!$A$2:$A$1000,$A67,Submissions!$D$2:$D$1000,"Rejected")+COUNTIFS(Submissions!$A$2:$A$1000,$A67,Submissions!$D$2:$D$1000,"Returned by office"))</f>
        <v/>
      </c>
      <c r="M67" s="30"/>
      <c r="N67" s="32" t="str">
        <f aca="false">IF(IF($F67="Revision due",3000,IF($F67="Needs resubmission",2000,IF($F67="Not yet submitted",1000,"")))="","",IF($F67="Revision due",3000,IF($F67="Needs resubmission",2000,IF($F67="Not yet submitted",1000,"")))+IF($I67="",0,MIN($I67,999))+(1000-ROW())/100000)</f>
        <v/>
      </c>
      <c r="O67" s="32" t="str">
        <f aca="false">IF($N67="","",RANK($N67,$N$2:$N$81))</f>
        <v/>
      </c>
    </row>
    <row r="68" customFormat="false" ht="15" hidden="false" customHeight="false" outlineLevel="0" collapsed="false">
      <c r="A68" s="29"/>
      <c r="B68" s="30"/>
      <c r="C68" s="29"/>
      <c r="D68" s="29"/>
      <c r="E68" s="29"/>
      <c r="F68" s="29" t="str">
        <f aca="false">IF($A68="","",IF($E68&lt;&gt;"",$E68,IF(COUNTIFS(Submissions!$A$2:$A$1000,$A68,Submissions!$D$2:$D$1000,"Accepted")&gt;0,"Accepted",IF(COUNTIFS(Submissions!$A$2:$A$1000,$A68,Submissions!$D$2:$D$1000,"Revision requested")&gt;0,"Revision due",IF(COUNTIFS(Submissions!$A$2:$A$1000,$A68,Submissions!$D$2:$D$1000,"Under review")&gt;0,"Under review",IF($K68&gt;0,"Needs resubmission","Not yet submitted"))))))</f>
        <v/>
      </c>
      <c r="G68" s="29" t="str">
        <f aca="false">IF($A68="","",IFERROR(INDEX(Submissions!$B$2:$B$1000,MATCH(_xlfn.MAXIFS(Submissions!$L$2:$L$1000,Submissions!$A$2:$A$1000,$A68),Submissions!$L$2:$L$1000,0)),""))</f>
        <v/>
      </c>
      <c r="H68" s="31" t="str">
        <f aca="false">IF($A68="","",IF(_xlfn.MAXIFS(Submissions!$F$2:$F$1000,Submissions!$A$2:$A$1000,$A68)=0,"",_xlfn.MAXIFS(Submissions!$F$2:$F$1000,Submissions!$A$2:$A$1000,$A68)))</f>
        <v/>
      </c>
      <c r="I68" s="29" t="str">
        <f aca="true">IF($F68="Needs resubmission",IF($H68="","",TODAY()-$H68),"")</f>
        <v/>
      </c>
      <c r="J68" s="29" t="str">
        <f aca="false">IF($A68="","",IF(_xlfn.MINIFS(Submissions!$M$2:$M$1000,Submissions!$A$2:$A$1000,$A68)=0,"",INDEX(Submissions!$B$2:$B$1000,_xlfn.MINIFS(Submissions!$M$2:$M$1000,Submissions!$A$2:$A$1000,$A68)-1)))</f>
        <v/>
      </c>
      <c r="K68" s="29" t="str">
        <f aca="false">IF($A68="","",SUMIFS(Submissions!$J$2:$J$1000,Submissions!$A$2:$A$1000,$A68))</f>
        <v/>
      </c>
      <c r="L68" s="29" t="str">
        <f aca="false">IF($A68="","",COUNTIFS(Submissions!$A$2:$A$1000,$A68,Submissions!$D$2:$D$1000,"Rejected")+COUNTIFS(Submissions!$A$2:$A$1000,$A68,Submissions!$D$2:$D$1000,"Returned by office"))</f>
        <v/>
      </c>
      <c r="M68" s="30"/>
      <c r="N68" s="32" t="str">
        <f aca="false">IF(IF($F68="Revision due",3000,IF($F68="Needs resubmission",2000,IF($F68="Not yet submitted",1000,"")))="","",IF($F68="Revision due",3000,IF($F68="Needs resubmission",2000,IF($F68="Not yet submitted",1000,"")))+IF($I68="",0,MIN($I68,999))+(1000-ROW())/100000)</f>
        <v/>
      </c>
      <c r="O68" s="32" t="str">
        <f aca="false">IF($N68="","",RANK($N68,$N$2:$N$81))</f>
        <v/>
      </c>
    </row>
    <row r="69" customFormat="false" ht="15" hidden="false" customHeight="false" outlineLevel="0" collapsed="false">
      <c r="A69" s="29"/>
      <c r="B69" s="30"/>
      <c r="C69" s="29"/>
      <c r="D69" s="29"/>
      <c r="E69" s="29"/>
      <c r="F69" s="29" t="str">
        <f aca="false">IF($A69="","",IF($E69&lt;&gt;"",$E69,IF(COUNTIFS(Submissions!$A$2:$A$1000,$A69,Submissions!$D$2:$D$1000,"Accepted")&gt;0,"Accepted",IF(COUNTIFS(Submissions!$A$2:$A$1000,$A69,Submissions!$D$2:$D$1000,"Revision requested")&gt;0,"Revision due",IF(COUNTIFS(Submissions!$A$2:$A$1000,$A69,Submissions!$D$2:$D$1000,"Under review")&gt;0,"Under review",IF($K69&gt;0,"Needs resubmission","Not yet submitted"))))))</f>
        <v/>
      </c>
      <c r="G69" s="29" t="str">
        <f aca="false">IF($A69="","",IFERROR(INDEX(Submissions!$B$2:$B$1000,MATCH(_xlfn.MAXIFS(Submissions!$L$2:$L$1000,Submissions!$A$2:$A$1000,$A69),Submissions!$L$2:$L$1000,0)),""))</f>
        <v/>
      </c>
      <c r="H69" s="31" t="str">
        <f aca="false">IF($A69="","",IF(_xlfn.MAXIFS(Submissions!$F$2:$F$1000,Submissions!$A$2:$A$1000,$A69)=0,"",_xlfn.MAXIFS(Submissions!$F$2:$F$1000,Submissions!$A$2:$A$1000,$A69)))</f>
        <v/>
      </c>
      <c r="I69" s="29" t="str">
        <f aca="true">IF($F69="Needs resubmission",IF($H69="","",TODAY()-$H69),"")</f>
        <v/>
      </c>
      <c r="J69" s="29" t="str">
        <f aca="false">IF($A69="","",IF(_xlfn.MINIFS(Submissions!$M$2:$M$1000,Submissions!$A$2:$A$1000,$A69)=0,"",INDEX(Submissions!$B$2:$B$1000,_xlfn.MINIFS(Submissions!$M$2:$M$1000,Submissions!$A$2:$A$1000,$A69)-1)))</f>
        <v/>
      </c>
      <c r="K69" s="29" t="str">
        <f aca="false">IF($A69="","",SUMIFS(Submissions!$J$2:$J$1000,Submissions!$A$2:$A$1000,$A69))</f>
        <v/>
      </c>
      <c r="L69" s="29" t="str">
        <f aca="false">IF($A69="","",COUNTIFS(Submissions!$A$2:$A$1000,$A69,Submissions!$D$2:$D$1000,"Rejected")+COUNTIFS(Submissions!$A$2:$A$1000,$A69,Submissions!$D$2:$D$1000,"Returned by office"))</f>
        <v/>
      </c>
      <c r="M69" s="30"/>
      <c r="N69" s="32" t="str">
        <f aca="false">IF(IF($F69="Revision due",3000,IF($F69="Needs resubmission",2000,IF($F69="Not yet submitted",1000,"")))="","",IF($F69="Revision due",3000,IF($F69="Needs resubmission",2000,IF($F69="Not yet submitted",1000,"")))+IF($I69="",0,MIN($I69,999))+(1000-ROW())/100000)</f>
        <v/>
      </c>
      <c r="O69" s="32" t="str">
        <f aca="false">IF($N69="","",RANK($N69,$N$2:$N$81))</f>
        <v/>
      </c>
    </row>
    <row r="70" customFormat="false" ht="15" hidden="false" customHeight="false" outlineLevel="0" collapsed="false">
      <c r="A70" s="29"/>
      <c r="B70" s="30"/>
      <c r="C70" s="29"/>
      <c r="D70" s="29"/>
      <c r="E70" s="29"/>
      <c r="F70" s="29" t="str">
        <f aca="false">IF($A70="","",IF($E70&lt;&gt;"",$E70,IF(COUNTIFS(Submissions!$A$2:$A$1000,$A70,Submissions!$D$2:$D$1000,"Accepted")&gt;0,"Accepted",IF(COUNTIFS(Submissions!$A$2:$A$1000,$A70,Submissions!$D$2:$D$1000,"Revision requested")&gt;0,"Revision due",IF(COUNTIFS(Submissions!$A$2:$A$1000,$A70,Submissions!$D$2:$D$1000,"Under review")&gt;0,"Under review",IF($K70&gt;0,"Needs resubmission","Not yet submitted"))))))</f>
        <v/>
      </c>
      <c r="G70" s="29" t="str">
        <f aca="false">IF($A70="","",IFERROR(INDEX(Submissions!$B$2:$B$1000,MATCH(_xlfn.MAXIFS(Submissions!$L$2:$L$1000,Submissions!$A$2:$A$1000,$A70),Submissions!$L$2:$L$1000,0)),""))</f>
        <v/>
      </c>
      <c r="H70" s="31" t="str">
        <f aca="false">IF($A70="","",IF(_xlfn.MAXIFS(Submissions!$F$2:$F$1000,Submissions!$A$2:$A$1000,$A70)=0,"",_xlfn.MAXIFS(Submissions!$F$2:$F$1000,Submissions!$A$2:$A$1000,$A70)))</f>
        <v/>
      </c>
      <c r="I70" s="29" t="str">
        <f aca="true">IF($F70="Needs resubmission",IF($H70="","",TODAY()-$H70),"")</f>
        <v/>
      </c>
      <c r="J70" s="29" t="str">
        <f aca="false">IF($A70="","",IF(_xlfn.MINIFS(Submissions!$M$2:$M$1000,Submissions!$A$2:$A$1000,$A70)=0,"",INDEX(Submissions!$B$2:$B$1000,_xlfn.MINIFS(Submissions!$M$2:$M$1000,Submissions!$A$2:$A$1000,$A70)-1)))</f>
        <v/>
      </c>
      <c r="K70" s="29" t="str">
        <f aca="false">IF($A70="","",SUMIFS(Submissions!$J$2:$J$1000,Submissions!$A$2:$A$1000,$A70))</f>
        <v/>
      </c>
      <c r="L70" s="29" t="str">
        <f aca="false">IF($A70="","",COUNTIFS(Submissions!$A$2:$A$1000,$A70,Submissions!$D$2:$D$1000,"Rejected")+COUNTIFS(Submissions!$A$2:$A$1000,$A70,Submissions!$D$2:$D$1000,"Returned by office"))</f>
        <v/>
      </c>
      <c r="M70" s="30"/>
      <c r="N70" s="32" t="str">
        <f aca="false">IF(IF($F70="Revision due",3000,IF($F70="Needs resubmission",2000,IF($F70="Not yet submitted",1000,"")))="","",IF($F70="Revision due",3000,IF($F70="Needs resubmission",2000,IF($F70="Not yet submitted",1000,"")))+IF($I70="",0,MIN($I70,999))+(1000-ROW())/100000)</f>
        <v/>
      </c>
      <c r="O70" s="32" t="str">
        <f aca="false">IF($N70="","",RANK($N70,$N$2:$N$81))</f>
        <v/>
      </c>
    </row>
    <row r="71" customFormat="false" ht="15" hidden="false" customHeight="false" outlineLevel="0" collapsed="false">
      <c r="A71" s="29"/>
      <c r="B71" s="30"/>
      <c r="C71" s="29"/>
      <c r="D71" s="29"/>
      <c r="E71" s="29"/>
      <c r="F71" s="29" t="str">
        <f aca="false">IF($A71="","",IF($E71&lt;&gt;"",$E71,IF(COUNTIFS(Submissions!$A$2:$A$1000,$A71,Submissions!$D$2:$D$1000,"Accepted")&gt;0,"Accepted",IF(COUNTIFS(Submissions!$A$2:$A$1000,$A71,Submissions!$D$2:$D$1000,"Revision requested")&gt;0,"Revision due",IF(COUNTIFS(Submissions!$A$2:$A$1000,$A71,Submissions!$D$2:$D$1000,"Under review")&gt;0,"Under review",IF($K71&gt;0,"Needs resubmission","Not yet submitted"))))))</f>
        <v/>
      </c>
      <c r="G71" s="29" t="str">
        <f aca="false">IF($A71="","",IFERROR(INDEX(Submissions!$B$2:$B$1000,MATCH(_xlfn.MAXIFS(Submissions!$L$2:$L$1000,Submissions!$A$2:$A$1000,$A71),Submissions!$L$2:$L$1000,0)),""))</f>
        <v/>
      </c>
      <c r="H71" s="31" t="str">
        <f aca="false">IF($A71="","",IF(_xlfn.MAXIFS(Submissions!$F$2:$F$1000,Submissions!$A$2:$A$1000,$A71)=0,"",_xlfn.MAXIFS(Submissions!$F$2:$F$1000,Submissions!$A$2:$A$1000,$A71)))</f>
        <v/>
      </c>
      <c r="I71" s="29" t="str">
        <f aca="true">IF($F71="Needs resubmission",IF($H71="","",TODAY()-$H71),"")</f>
        <v/>
      </c>
      <c r="J71" s="29" t="str">
        <f aca="false">IF($A71="","",IF(_xlfn.MINIFS(Submissions!$M$2:$M$1000,Submissions!$A$2:$A$1000,$A71)=0,"",INDEX(Submissions!$B$2:$B$1000,_xlfn.MINIFS(Submissions!$M$2:$M$1000,Submissions!$A$2:$A$1000,$A71)-1)))</f>
        <v/>
      </c>
      <c r="K71" s="29" t="str">
        <f aca="false">IF($A71="","",SUMIFS(Submissions!$J$2:$J$1000,Submissions!$A$2:$A$1000,$A71))</f>
        <v/>
      </c>
      <c r="L71" s="29" t="str">
        <f aca="false">IF($A71="","",COUNTIFS(Submissions!$A$2:$A$1000,$A71,Submissions!$D$2:$D$1000,"Rejected")+COUNTIFS(Submissions!$A$2:$A$1000,$A71,Submissions!$D$2:$D$1000,"Returned by office"))</f>
        <v/>
      </c>
      <c r="M71" s="30"/>
      <c r="N71" s="32" t="str">
        <f aca="false">IF(IF($F71="Revision due",3000,IF($F71="Needs resubmission",2000,IF($F71="Not yet submitted",1000,"")))="","",IF($F71="Revision due",3000,IF($F71="Needs resubmission",2000,IF($F71="Not yet submitted",1000,"")))+IF($I71="",0,MIN($I71,999))+(1000-ROW())/100000)</f>
        <v/>
      </c>
      <c r="O71" s="32" t="str">
        <f aca="false">IF($N71="","",RANK($N71,$N$2:$N$81))</f>
        <v/>
      </c>
    </row>
    <row r="72" customFormat="false" ht="15" hidden="false" customHeight="false" outlineLevel="0" collapsed="false">
      <c r="A72" s="29"/>
      <c r="B72" s="30"/>
      <c r="C72" s="29"/>
      <c r="D72" s="29"/>
      <c r="E72" s="29"/>
      <c r="F72" s="29" t="str">
        <f aca="false">IF($A72="","",IF($E72&lt;&gt;"",$E72,IF(COUNTIFS(Submissions!$A$2:$A$1000,$A72,Submissions!$D$2:$D$1000,"Accepted")&gt;0,"Accepted",IF(COUNTIFS(Submissions!$A$2:$A$1000,$A72,Submissions!$D$2:$D$1000,"Revision requested")&gt;0,"Revision due",IF(COUNTIFS(Submissions!$A$2:$A$1000,$A72,Submissions!$D$2:$D$1000,"Under review")&gt;0,"Under review",IF($K72&gt;0,"Needs resubmission","Not yet submitted"))))))</f>
        <v/>
      </c>
      <c r="G72" s="29" t="str">
        <f aca="false">IF($A72="","",IFERROR(INDEX(Submissions!$B$2:$B$1000,MATCH(_xlfn.MAXIFS(Submissions!$L$2:$L$1000,Submissions!$A$2:$A$1000,$A72),Submissions!$L$2:$L$1000,0)),""))</f>
        <v/>
      </c>
      <c r="H72" s="31" t="str">
        <f aca="false">IF($A72="","",IF(_xlfn.MAXIFS(Submissions!$F$2:$F$1000,Submissions!$A$2:$A$1000,$A72)=0,"",_xlfn.MAXIFS(Submissions!$F$2:$F$1000,Submissions!$A$2:$A$1000,$A72)))</f>
        <v/>
      </c>
      <c r="I72" s="29" t="str">
        <f aca="true">IF($F72="Needs resubmission",IF($H72="","",TODAY()-$H72),"")</f>
        <v/>
      </c>
      <c r="J72" s="29" t="str">
        <f aca="false">IF($A72="","",IF(_xlfn.MINIFS(Submissions!$M$2:$M$1000,Submissions!$A$2:$A$1000,$A72)=0,"",INDEX(Submissions!$B$2:$B$1000,_xlfn.MINIFS(Submissions!$M$2:$M$1000,Submissions!$A$2:$A$1000,$A72)-1)))</f>
        <v/>
      </c>
      <c r="K72" s="29" t="str">
        <f aca="false">IF($A72="","",SUMIFS(Submissions!$J$2:$J$1000,Submissions!$A$2:$A$1000,$A72))</f>
        <v/>
      </c>
      <c r="L72" s="29" t="str">
        <f aca="false">IF($A72="","",COUNTIFS(Submissions!$A$2:$A$1000,$A72,Submissions!$D$2:$D$1000,"Rejected")+COUNTIFS(Submissions!$A$2:$A$1000,$A72,Submissions!$D$2:$D$1000,"Returned by office"))</f>
        <v/>
      </c>
      <c r="M72" s="30"/>
      <c r="N72" s="32" t="str">
        <f aca="false">IF(IF($F72="Revision due",3000,IF($F72="Needs resubmission",2000,IF($F72="Not yet submitted",1000,"")))="","",IF($F72="Revision due",3000,IF($F72="Needs resubmission",2000,IF($F72="Not yet submitted",1000,"")))+IF($I72="",0,MIN($I72,999))+(1000-ROW())/100000)</f>
        <v/>
      </c>
      <c r="O72" s="32" t="str">
        <f aca="false">IF($N72="","",RANK($N72,$N$2:$N$81))</f>
        <v/>
      </c>
    </row>
    <row r="73" customFormat="false" ht="15" hidden="false" customHeight="false" outlineLevel="0" collapsed="false">
      <c r="A73" s="29"/>
      <c r="B73" s="30"/>
      <c r="C73" s="29"/>
      <c r="D73" s="29"/>
      <c r="E73" s="29"/>
      <c r="F73" s="29" t="str">
        <f aca="false">IF($A73="","",IF($E73&lt;&gt;"",$E73,IF(COUNTIFS(Submissions!$A$2:$A$1000,$A73,Submissions!$D$2:$D$1000,"Accepted")&gt;0,"Accepted",IF(COUNTIFS(Submissions!$A$2:$A$1000,$A73,Submissions!$D$2:$D$1000,"Revision requested")&gt;0,"Revision due",IF(COUNTIFS(Submissions!$A$2:$A$1000,$A73,Submissions!$D$2:$D$1000,"Under review")&gt;0,"Under review",IF($K73&gt;0,"Needs resubmission","Not yet submitted"))))))</f>
        <v/>
      </c>
      <c r="G73" s="29" t="str">
        <f aca="false">IF($A73="","",IFERROR(INDEX(Submissions!$B$2:$B$1000,MATCH(_xlfn.MAXIFS(Submissions!$L$2:$L$1000,Submissions!$A$2:$A$1000,$A73),Submissions!$L$2:$L$1000,0)),""))</f>
        <v/>
      </c>
      <c r="H73" s="31" t="str">
        <f aca="false">IF($A73="","",IF(_xlfn.MAXIFS(Submissions!$F$2:$F$1000,Submissions!$A$2:$A$1000,$A73)=0,"",_xlfn.MAXIFS(Submissions!$F$2:$F$1000,Submissions!$A$2:$A$1000,$A73)))</f>
        <v/>
      </c>
      <c r="I73" s="29" t="str">
        <f aca="true">IF($F73="Needs resubmission",IF($H73="","",TODAY()-$H73),"")</f>
        <v/>
      </c>
      <c r="J73" s="29" t="str">
        <f aca="false">IF($A73="","",IF(_xlfn.MINIFS(Submissions!$M$2:$M$1000,Submissions!$A$2:$A$1000,$A73)=0,"",INDEX(Submissions!$B$2:$B$1000,_xlfn.MINIFS(Submissions!$M$2:$M$1000,Submissions!$A$2:$A$1000,$A73)-1)))</f>
        <v/>
      </c>
      <c r="K73" s="29" t="str">
        <f aca="false">IF($A73="","",SUMIFS(Submissions!$J$2:$J$1000,Submissions!$A$2:$A$1000,$A73))</f>
        <v/>
      </c>
      <c r="L73" s="29" t="str">
        <f aca="false">IF($A73="","",COUNTIFS(Submissions!$A$2:$A$1000,$A73,Submissions!$D$2:$D$1000,"Rejected")+COUNTIFS(Submissions!$A$2:$A$1000,$A73,Submissions!$D$2:$D$1000,"Returned by office"))</f>
        <v/>
      </c>
      <c r="M73" s="30"/>
      <c r="N73" s="32" t="str">
        <f aca="false">IF(IF($F73="Revision due",3000,IF($F73="Needs resubmission",2000,IF($F73="Not yet submitted",1000,"")))="","",IF($F73="Revision due",3000,IF($F73="Needs resubmission",2000,IF($F73="Not yet submitted",1000,"")))+IF($I73="",0,MIN($I73,999))+(1000-ROW())/100000)</f>
        <v/>
      </c>
      <c r="O73" s="32" t="str">
        <f aca="false">IF($N73="","",RANK($N73,$N$2:$N$81))</f>
        <v/>
      </c>
    </row>
    <row r="74" customFormat="false" ht="15" hidden="false" customHeight="false" outlineLevel="0" collapsed="false">
      <c r="A74" s="29"/>
      <c r="B74" s="30"/>
      <c r="C74" s="29"/>
      <c r="D74" s="29"/>
      <c r="E74" s="29"/>
      <c r="F74" s="29" t="str">
        <f aca="false">IF($A74="","",IF($E74&lt;&gt;"",$E74,IF(COUNTIFS(Submissions!$A$2:$A$1000,$A74,Submissions!$D$2:$D$1000,"Accepted")&gt;0,"Accepted",IF(COUNTIFS(Submissions!$A$2:$A$1000,$A74,Submissions!$D$2:$D$1000,"Revision requested")&gt;0,"Revision due",IF(COUNTIFS(Submissions!$A$2:$A$1000,$A74,Submissions!$D$2:$D$1000,"Under review")&gt;0,"Under review",IF($K74&gt;0,"Needs resubmission","Not yet submitted"))))))</f>
        <v/>
      </c>
      <c r="G74" s="29" t="str">
        <f aca="false">IF($A74="","",IFERROR(INDEX(Submissions!$B$2:$B$1000,MATCH(_xlfn.MAXIFS(Submissions!$L$2:$L$1000,Submissions!$A$2:$A$1000,$A74),Submissions!$L$2:$L$1000,0)),""))</f>
        <v/>
      </c>
      <c r="H74" s="31" t="str">
        <f aca="false">IF($A74="","",IF(_xlfn.MAXIFS(Submissions!$F$2:$F$1000,Submissions!$A$2:$A$1000,$A74)=0,"",_xlfn.MAXIFS(Submissions!$F$2:$F$1000,Submissions!$A$2:$A$1000,$A74)))</f>
        <v/>
      </c>
      <c r="I74" s="29" t="str">
        <f aca="true">IF($F74="Needs resubmission",IF($H74="","",TODAY()-$H74),"")</f>
        <v/>
      </c>
      <c r="J74" s="29" t="str">
        <f aca="false">IF($A74="","",IF(_xlfn.MINIFS(Submissions!$M$2:$M$1000,Submissions!$A$2:$A$1000,$A74)=0,"",INDEX(Submissions!$B$2:$B$1000,_xlfn.MINIFS(Submissions!$M$2:$M$1000,Submissions!$A$2:$A$1000,$A74)-1)))</f>
        <v/>
      </c>
      <c r="K74" s="29" t="str">
        <f aca="false">IF($A74="","",SUMIFS(Submissions!$J$2:$J$1000,Submissions!$A$2:$A$1000,$A74))</f>
        <v/>
      </c>
      <c r="L74" s="29" t="str">
        <f aca="false">IF($A74="","",COUNTIFS(Submissions!$A$2:$A$1000,$A74,Submissions!$D$2:$D$1000,"Rejected")+COUNTIFS(Submissions!$A$2:$A$1000,$A74,Submissions!$D$2:$D$1000,"Returned by office"))</f>
        <v/>
      </c>
      <c r="M74" s="30"/>
      <c r="N74" s="32" t="str">
        <f aca="false">IF(IF($F74="Revision due",3000,IF($F74="Needs resubmission",2000,IF($F74="Not yet submitted",1000,"")))="","",IF($F74="Revision due",3000,IF($F74="Needs resubmission",2000,IF($F74="Not yet submitted",1000,"")))+IF($I74="",0,MIN($I74,999))+(1000-ROW())/100000)</f>
        <v/>
      </c>
      <c r="O74" s="32" t="str">
        <f aca="false">IF($N74="","",RANK($N74,$N$2:$N$81))</f>
        <v/>
      </c>
    </row>
    <row r="75" customFormat="false" ht="15" hidden="false" customHeight="false" outlineLevel="0" collapsed="false">
      <c r="A75" s="29"/>
      <c r="B75" s="30"/>
      <c r="C75" s="29"/>
      <c r="D75" s="29"/>
      <c r="E75" s="29"/>
      <c r="F75" s="29" t="str">
        <f aca="false">IF($A75="","",IF($E75&lt;&gt;"",$E75,IF(COUNTIFS(Submissions!$A$2:$A$1000,$A75,Submissions!$D$2:$D$1000,"Accepted")&gt;0,"Accepted",IF(COUNTIFS(Submissions!$A$2:$A$1000,$A75,Submissions!$D$2:$D$1000,"Revision requested")&gt;0,"Revision due",IF(COUNTIFS(Submissions!$A$2:$A$1000,$A75,Submissions!$D$2:$D$1000,"Under review")&gt;0,"Under review",IF($K75&gt;0,"Needs resubmission","Not yet submitted"))))))</f>
        <v/>
      </c>
      <c r="G75" s="29" t="str">
        <f aca="false">IF($A75="","",IFERROR(INDEX(Submissions!$B$2:$B$1000,MATCH(_xlfn.MAXIFS(Submissions!$L$2:$L$1000,Submissions!$A$2:$A$1000,$A75),Submissions!$L$2:$L$1000,0)),""))</f>
        <v/>
      </c>
      <c r="H75" s="31" t="str">
        <f aca="false">IF($A75="","",IF(_xlfn.MAXIFS(Submissions!$F$2:$F$1000,Submissions!$A$2:$A$1000,$A75)=0,"",_xlfn.MAXIFS(Submissions!$F$2:$F$1000,Submissions!$A$2:$A$1000,$A75)))</f>
        <v/>
      </c>
      <c r="I75" s="29" t="str">
        <f aca="true">IF($F75="Needs resubmission",IF($H75="","",TODAY()-$H75),"")</f>
        <v/>
      </c>
      <c r="J75" s="29" t="str">
        <f aca="false">IF($A75="","",IF(_xlfn.MINIFS(Submissions!$M$2:$M$1000,Submissions!$A$2:$A$1000,$A75)=0,"",INDEX(Submissions!$B$2:$B$1000,_xlfn.MINIFS(Submissions!$M$2:$M$1000,Submissions!$A$2:$A$1000,$A75)-1)))</f>
        <v/>
      </c>
      <c r="K75" s="29" t="str">
        <f aca="false">IF($A75="","",SUMIFS(Submissions!$J$2:$J$1000,Submissions!$A$2:$A$1000,$A75))</f>
        <v/>
      </c>
      <c r="L75" s="29" t="str">
        <f aca="false">IF($A75="","",COUNTIFS(Submissions!$A$2:$A$1000,$A75,Submissions!$D$2:$D$1000,"Rejected")+COUNTIFS(Submissions!$A$2:$A$1000,$A75,Submissions!$D$2:$D$1000,"Returned by office"))</f>
        <v/>
      </c>
      <c r="M75" s="30"/>
      <c r="N75" s="32" t="str">
        <f aca="false">IF(IF($F75="Revision due",3000,IF($F75="Needs resubmission",2000,IF($F75="Not yet submitted",1000,"")))="","",IF($F75="Revision due",3000,IF($F75="Needs resubmission",2000,IF($F75="Not yet submitted",1000,"")))+IF($I75="",0,MIN($I75,999))+(1000-ROW())/100000)</f>
        <v/>
      </c>
      <c r="O75" s="32" t="str">
        <f aca="false">IF($N75="","",RANK($N75,$N$2:$N$81))</f>
        <v/>
      </c>
    </row>
    <row r="76" customFormat="false" ht="15" hidden="false" customHeight="false" outlineLevel="0" collapsed="false">
      <c r="A76" s="29"/>
      <c r="B76" s="30"/>
      <c r="C76" s="29"/>
      <c r="D76" s="29"/>
      <c r="E76" s="29"/>
      <c r="F76" s="29" t="str">
        <f aca="false">IF($A76="","",IF($E76&lt;&gt;"",$E76,IF(COUNTIFS(Submissions!$A$2:$A$1000,$A76,Submissions!$D$2:$D$1000,"Accepted")&gt;0,"Accepted",IF(COUNTIFS(Submissions!$A$2:$A$1000,$A76,Submissions!$D$2:$D$1000,"Revision requested")&gt;0,"Revision due",IF(COUNTIFS(Submissions!$A$2:$A$1000,$A76,Submissions!$D$2:$D$1000,"Under review")&gt;0,"Under review",IF($K76&gt;0,"Needs resubmission","Not yet submitted"))))))</f>
        <v/>
      </c>
      <c r="G76" s="29" t="str">
        <f aca="false">IF($A76="","",IFERROR(INDEX(Submissions!$B$2:$B$1000,MATCH(_xlfn.MAXIFS(Submissions!$L$2:$L$1000,Submissions!$A$2:$A$1000,$A76),Submissions!$L$2:$L$1000,0)),""))</f>
        <v/>
      </c>
      <c r="H76" s="31" t="str">
        <f aca="false">IF($A76="","",IF(_xlfn.MAXIFS(Submissions!$F$2:$F$1000,Submissions!$A$2:$A$1000,$A76)=0,"",_xlfn.MAXIFS(Submissions!$F$2:$F$1000,Submissions!$A$2:$A$1000,$A76)))</f>
        <v/>
      </c>
      <c r="I76" s="29" t="str">
        <f aca="true">IF($F76="Needs resubmission",IF($H76="","",TODAY()-$H76),"")</f>
        <v/>
      </c>
      <c r="J76" s="29" t="str">
        <f aca="false">IF($A76="","",IF(_xlfn.MINIFS(Submissions!$M$2:$M$1000,Submissions!$A$2:$A$1000,$A76)=0,"",INDEX(Submissions!$B$2:$B$1000,_xlfn.MINIFS(Submissions!$M$2:$M$1000,Submissions!$A$2:$A$1000,$A76)-1)))</f>
        <v/>
      </c>
      <c r="K76" s="29" t="str">
        <f aca="false">IF($A76="","",SUMIFS(Submissions!$J$2:$J$1000,Submissions!$A$2:$A$1000,$A76))</f>
        <v/>
      </c>
      <c r="L76" s="29" t="str">
        <f aca="false">IF($A76="","",COUNTIFS(Submissions!$A$2:$A$1000,$A76,Submissions!$D$2:$D$1000,"Rejected")+COUNTIFS(Submissions!$A$2:$A$1000,$A76,Submissions!$D$2:$D$1000,"Returned by office"))</f>
        <v/>
      </c>
      <c r="M76" s="30"/>
      <c r="N76" s="32" t="str">
        <f aca="false">IF(IF($F76="Revision due",3000,IF($F76="Needs resubmission",2000,IF($F76="Not yet submitted",1000,"")))="","",IF($F76="Revision due",3000,IF($F76="Needs resubmission",2000,IF($F76="Not yet submitted",1000,"")))+IF($I76="",0,MIN($I76,999))+(1000-ROW())/100000)</f>
        <v/>
      </c>
      <c r="O76" s="32" t="str">
        <f aca="false">IF($N76="","",RANK($N76,$N$2:$N$81))</f>
        <v/>
      </c>
    </row>
    <row r="77" customFormat="false" ht="15" hidden="false" customHeight="false" outlineLevel="0" collapsed="false">
      <c r="A77" s="29"/>
      <c r="B77" s="30"/>
      <c r="C77" s="29"/>
      <c r="D77" s="29"/>
      <c r="E77" s="29"/>
      <c r="F77" s="29" t="str">
        <f aca="false">IF($A77="","",IF($E77&lt;&gt;"",$E77,IF(COUNTIFS(Submissions!$A$2:$A$1000,$A77,Submissions!$D$2:$D$1000,"Accepted")&gt;0,"Accepted",IF(COUNTIFS(Submissions!$A$2:$A$1000,$A77,Submissions!$D$2:$D$1000,"Revision requested")&gt;0,"Revision due",IF(COUNTIFS(Submissions!$A$2:$A$1000,$A77,Submissions!$D$2:$D$1000,"Under review")&gt;0,"Under review",IF($K77&gt;0,"Needs resubmission","Not yet submitted"))))))</f>
        <v/>
      </c>
      <c r="G77" s="29" t="str">
        <f aca="false">IF($A77="","",IFERROR(INDEX(Submissions!$B$2:$B$1000,MATCH(_xlfn.MAXIFS(Submissions!$L$2:$L$1000,Submissions!$A$2:$A$1000,$A77),Submissions!$L$2:$L$1000,0)),""))</f>
        <v/>
      </c>
      <c r="H77" s="31" t="str">
        <f aca="false">IF($A77="","",IF(_xlfn.MAXIFS(Submissions!$F$2:$F$1000,Submissions!$A$2:$A$1000,$A77)=0,"",_xlfn.MAXIFS(Submissions!$F$2:$F$1000,Submissions!$A$2:$A$1000,$A77)))</f>
        <v/>
      </c>
      <c r="I77" s="29" t="str">
        <f aca="true">IF($F77="Needs resubmission",IF($H77="","",TODAY()-$H77),"")</f>
        <v/>
      </c>
      <c r="J77" s="29" t="str">
        <f aca="false">IF($A77="","",IF(_xlfn.MINIFS(Submissions!$M$2:$M$1000,Submissions!$A$2:$A$1000,$A77)=0,"",INDEX(Submissions!$B$2:$B$1000,_xlfn.MINIFS(Submissions!$M$2:$M$1000,Submissions!$A$2:$A$1000,$A77)-1)))</f>
        <v/>
      </c>
      <c r="K77" s="29" t="str">
        <f aca="false">IF($A77="","",SUMIFS(Submissions!$J$2:$J$1000,Submissions!$A$2:$A$1000,$A77))</f>
        <v/>
      </c>
      <c r="L77" s="29" t="str">
        <f aca="false">IF($A77="","",COUNTIFS(Submissions!$A$2:$A$1000,$A77,Submissions!$D$2:$D$1000,"Rejected")+COUNTIFS(Submissions!$A$2:$A$1000,$A77,Submissions!$D$2:$D$1000,"Returned by office"))</f>
        <v/>
      </c>
      <c r="M77" s="30"/>
      <c r="N77" s="32" t="str">
        <f aca="false">IF(IF($F77="Revision due",3000,IF($F77="Needs resubmission",2000,IF($F77="Not yet submitted",1000,"")))="","",IF($F77="Revision due",3000,IF($F77="Needs resubmission",2000,IF($F77="Not yet submitted",1000,"")))+IF($I77="",0,MIN($I77,999))+(1000-ROW())/100000)</f>
        <v/>
      </c>
      <c r="O77" s="32" t="str">
        <f aca="false">IF($N77="","",RANK($N77,$N$2:$N$81))</f>
        <v/>
      </c>
    </row>
    <row r="78" customFormat="false" ht="15" hidden="false" customHeight="false" outlineLevel="0" collapsed="false">
      <c r="A78" s="29"/>
      <c r="B78" s="30"/>
      <c r="C78" s="29"/>
      <c r="D78" s="29"/>
      <c r="E78" s="29"/>
      <c r="F78" s="29" t="str">
        <f aca="false">IF($A78="","",IF($E78&lt;&gt;"",$E78,IF(COUNTIFS(Submissions!$A$2:$A$1000,$A78,Submissions!$D$2:$D$1000,"Accepted")&gt;0,"Accepted",IF(COUNTIFS(Submissions!$A$2:$A$1000,$A78,Submissions!$D$2:$D$1000,"Revision requested")&gt;0,"Revision due",IF(COUNTIFS(Submissions!$A$2:$A$1000,$A78,Submissions!$D$2:$D$1000,"Under review")&gt;0,"Under review",IF($K78&gt;0,"Needs resubmission","Not yet submitted"))))))</f>
        <v/>
      </c>
      <c r="G78" s="29" t="str">
        <f aca="false">IF($A78="","",IFERROR(INDEX(Submissions!$B$2:$B$1000,MATCH(_xlfn.MAXIFS(Submissions!$L$2:$L$1000,Submissions!$A$2:$A$1000,$A78),Submissions!$L$2:$L$1000,0)),""))</f>
        <v/>
      </c>
      <c r="H78" s="31" t="str">
        <f aca="false">IF($A78="","",IF(_xlfn.MAXIFS(Submissions!$F$2:$F$1000,Submissions!$A$2:$A$1000,$A78)=0,"",_xlfn.MAXIFS(Submissions!$F$2:$F$1000,Submissions!$A$2:$A$1000,$A78)))</f>
        <v/>
      </c>
      <c r="I78" s="29" t="str">
        <f aca="true">IF($F78="Needs resubmission",IF($H78="","",TODAY()-$H78),"")</f>
        <v/>
      </c>
      <c r="J78" s="29" t="str">
        <f aca="false">IF($A78="","",IF(_xlfn.MINIFS(Submissions!$M$2:$M$1000,Submissions!$A$2:$A$1000,$A78)=0,"",INDEX(Submissions!$B$2:$B$1000,_xlfn.MINIFS(Submissions!$M$2:$M$1000,Submissions!$A$2:$A$1000,$A78)-1)))</f>
        <v/>
      </c>
      <c r="K78" s="29" t="str">
        <f aca="false">IF($A78="","",SUMIFS(Submissions!$J$2:$J$1000,Submissions!$A$2:$A$1000,$A78))</f>
        <v/>
      </c>
      <c r="L78" s="29" t="str">
        <f aca="false">IF($A78="","",COUNTIFS(Submissions!$A$2:$A$1000,$A78,Submissions!$D$2:$D$1000,"Rejected")+COUNTIFS(Submissions!$A$2:$A$1000,$A78,Submissions!$D$2:$D$1000,"Returned by office"))</f>
        <v/>
      </c>
      <c r="M78" s="30"/>
      <c r="N78" s="32" t="str">
        <f aca="false">IF(IF($F78="Revision due",3000,IF($F78="Needs resubmission",2000,IF($F78="Not yet submitted",1000,"")))="","",IF($F78="Revision due",3000,IF($F78="Needs resubmission",2000,IF($F78="Not yet submitted",1000,"")))+IF($I78="",0,MIN($I78,999))+(1000-ROW())/100000)</f>
        <v/>
      </c>
      <c r="O78" s="32" t="str">
        <f aca="false">IF($N78="","",RANK($N78,$N$2:$N$81))</f>
        <v/>
      </c>
    </row>
    <row r="79" customFormat="false" ht="15" hidden="false" customHeight="false" outlineLevel="0" collapsed="false">
      <c r="A79" s="29"/>
      <c r="B79" s="30"/>
      <c r="C79" s="29"/>
      <c r="D79" s="29"/>
      <c r="E79" s="29"/>
      <c r="F79" s="29" t="str">
        <f aca="false">IF($A79="","",IF($E79&lt;&gt;"",$E79,IF(COUNTIFS(Submissions!$A$2:$A$1000,$A79,Submissions!$D$2:$D$1000,"Accepted")&gt;0,"Accepted",IF(COUNTIFS(Submissions!$A$2:$A$1000,$A79,Submissions!$D$2:$D$1000,"Revision requested")&gt;0,"Revision due",IF(COUNTIFS(Submissions!$A$2:$A$1000,$A79,Submissions!$D$2:$D$1000,"Under review")&gt;0,"Under review",IF($K79&gt;0,"Needs resubmission","Not yet submitted"))))))</f>
        <v/>
      </c>
      <c r="G79" s="29" t="str">
        <f aca="false">IF($A79="","",IFERROR(INDEX(Submissions!$B$2:$B$1000,MATCH(_xlfn.MAXIFS(Submissions!$L$2:$L$1000,Submissions!$A$2:$A$1000,$A79),Submissions!$L$2:$L$1000,0)),""))</f>
        <v/>
      </c>
      <c r="H79" s="31" t="str">
        <f aca="false">IF($A79="","",IF(_xlfn.MAXIFS(Submissions!$F$2:$F$1000,Submissions!$A$2:$A$1000,$A79)=0,"",_xlfn.MAXIFS(Submissions!$F$2:$F$1000,Submissions!$A$2:$A$1000,$A79)))</f>
        <v/>
      </c>
      <c r="I79" s="29" t="str">
        <f aca="true">IF($F79="Needs resubmission",IF($H79="","",TODAY()-$H79),"")</f>
        <v/>
      </c>
      <c r="J79" s="29" t="str">
        <f aca="false">IF($A79="","",IF(_xlfn.MINIFS(Submissions!$M$2:$M$1000,Submissions!$A$2:$A$1000,$A79)=0,"",INDEX(Submissions!$B$2:$B$1000,_xlfn.MINIFS(Submissions!$M$2:$M$1000,Submissions!$A$2:$A$1000,$A79)-1)))</f>
        <v/>
      </c>
      <c r="K79" s="29" t="str">
        <f aca="false">IF($A79="","",SUMIFS(Submissions!$J$2:$J$1000,Submissions!$A$2:$A$1000,$A79))</f>
        <v/>
      </c>
      <c r="L79" s="29" t="str">
        <f aca="false">IF($A79="","",COUNTIFS(Submissions!$A$2:$A$1000,$A79,Submissions!$D$2:$D$1000,"Rejected")+COUNTIFS(Submissions!$A$2:$A$1000,$A79,Submissions!$D$2:$D$1000,"Returned by office"))</f>
        <v/>
      </c>
      <c r="M79" s="30"/>
      <c r="N79" s="32" t="str">
        <f aca="false">IF(IF($F79="Revision due",3000,IF($F79="Needs resubmission",2000,IF($F79="Not yet submitted",1000,"")))="","",IF($F79="Revision due",3000,IF($F79="Needs resubmission",2000,IF($F79="Not yet submitted",1000,"")))+IF($I79="",0,MIN($I79,999))+(1000-ROW())/100000)</f>
        <v/>
      </c>
      <c r="O79" s="32" t="str">
        <f aca="false">IF($N79="","",RANK($N79,$N$2:$N$81))</f>
        <v/>
      </c>
    </row>
    <row r="80" customFormat="false" ht="15" hidden="false" customHeight="false" outlineLevel="0" collapsed="false">
      <c r="A80" s="29"/>
      <c r="B80" s="30"/>
      <c r="C80" s="29"/>
      <c r="D80" s="29"/>
      <c r="E80" s="29"/>
      <c r="F80" s="29" t="str">
        <f aca="false">IF($A80="","",IF($E80&lt;&gt;"",$E80,IF(COUNTIFS(Submissions!$A$2:$A$1000,$A80,Submissions!$D$2:$D$1000,"Accepted")&gt;0,"Accepted",IF(COUNTIFS(Submissions!$A$2:$A$1000,$A80,Submissions!$D$2:$D$1000,"Revision requested")&gt;0,"Revision due",IF(COUNTIFS(Submissions!$A$2:$A$1000,$A80,Submissions!$D$2:$D$1000,"Under review")&gt;0,"Under review",IF($K80&gt;0,"Needs resubmission","Not yet submitted"))))))</f>
        <v/>
      </c>
      <c r="G80" s="29" t="str">
        <f aca="false">IF($A80="","",IFERROR(INDEX(Submissions!$B$2:$B$1000,MATCH(_xlfn.MAXIFS(Submissions!$L$2:$L$1000,Submissions!$A$2:$A$1000,$A80),Submissions!$L$2:$L$1000,0)),""))</f>
        <v/>
      </c>
      <c r="H80" s="31" t="str">
        <f aca="false">IF($A80="","",IF(_xlfn.MAXIFS(Submissions!$F$2:$F$1000,Submissions!$A$2:$A$1000,$A80)=0,"",_xlfn.MAXIFS(Submissions!$F$2:$F$1000,Submissions!$A$2:$A$1000,$A80)))</f>
        <v/>
      </c>
      <c r="I80" s="29" t="str">
        <f aca="true">IF($F80="Needs resubmission",IF($H80="","",TODAY()-$H80),"")</f>
        <v/>
      </c>
      <c r="J80" s="29" t="str">
        <f aca="false">IF($A80="","",IF(_xlfn.MINIFS(Submissions!$M$2:$M$1000,Submissions!$A$2:$A$1000,$A80)=0,"",INDEX(Submissions!$B$2:$B$1000,_xlfn.MINIFS(Submissions!$M$2:$M$1000,Submissions!$A$2:$A$1000,$A80)-1)))</f>
        <v/>
      </c>
      <c r="K80" s="29" t="str">
        <f aca="false">IF($A80="","",SUMIFS(Submissions!$J$2:$J$1000,Submissions!$A$2:$A$1000,$A80))</f>
        <v/>
      </c>
      <c r="L80" s="29" t="str">
        <f aca="false">IF($A80="","",COUNTIFS(Submissions!$A$2:$A$1000,$A80,Submissions!$D$2:$D$1000,"Rejected")+COUNTIFS(Submissions!$A$2:$A$1000,$A80,Submissions!$D$2:$D$1000,"Returned by office"))</f>
        <v/>
      </c>
      <c r="M80" s="30"/>
      <c r="N80" s="32" t="str">
        <f aca="false">IF(IF($F80="Revision due",3000,IF($F80="Needs resubmission",2000,IF($F80="Not yet submitted",1000,"")))="","",IF($F80="Revision due",3000,IF($F80="Needs resubmission",2000,IF($F80="Not yet submitted",1000,"")))+IF($I80="",0,MIN($I80,999))+(1000-ROW())/100000)</f>
        <v/>
      </c>
      <c r="O80" s="32" t="str">
        <f aca="false">IF($N80="","",RANK($N80,$N$2:$N$81))</f>
        <v/>
      </c>
    </row>
    <row r="81" customFormat="false" ht="15" hidden="false" customHeight="false" outlineLevel="0" collapsed="false">
      <c r="A81" s="29"/>
      <c r="B81" s="30"/>
      <c r="C81" s="29"/>
      <c r="D81" s="29"/>
      <c r="E81" s="29"/>
      <c r="F81" s="29" t="str">
        <f aca="false">IF($A81="","",IF($E81&lt;&gt;"",$E81,IF(COUNTIFS(Submissions!$A$2:$A$1000,$A81,Submissions!$D$2:$D$1000,"Accepted")&gt;0,"Accepted",IF(COUNTIFS(Submissions!$A$2:$A$1000,$A81,Submissions!$D$2:$D$1000,"Revision requested")&gt;0,"Revision due",IF(COUNTIFS(Submissions!$A$2:$A$1000,$A81,Submissions!$D$2:$D$1000,"Under review")&gt;0,"Under review",IF($K81&gt;0,"Needs resubmission","Not yet submitted"))))))</f>
        <v/>
      </c>
      <c r="G81" s="29" t="str">
        <f aca="false">IF($A81="","",IFERROR(INDEX(Submissions!$B$2:$B$1000,MATCH(_xlfn.MAXIFS(Submissions!$L$2:$L$1000,Submissions!$A$2:$A$1000,$A81),Submissions!$L$2:$L$1000,0)),""))</f>
        <v/>
      </c>
      <c r="H81" s="31" t="str">
        <f aca="false">IF($A81="","",IF(_xlfn.MAXIFS(Submissions!$F$2:$F$1000,Submissions!$A$2:$A$1000,$A81)=0,"",_xlfn.MAXIFS(Submissions!$F$2:$F$1000,Submissions!$A$2:$A$1000,$A81)))</f>
        <v/>
      </c>
      <c r="I81" s="29" t="str">
        <f aca="true">IF($F81="Needs resubmission",IF($H81="","",TODAY()-$H81),"")</f>
        <v/>
      </c>
      <c r="J81" s="29" t="str">
        <f aca="false">IF($A81="","",IF(_xlfn.MINIFS(Submissions!$M$2:$M$1000,Submissions!$A$2:$A$1000,$A81)=0,"",INDEX(Submissions!$B$2:$B$1000,_xlfn.MINIFS(Submissions!$M$2:$M$1000,Submissions!$A$2:$A$1000,$A81)-1)))</f>
        <v/>
      </c>
      <c r="K81" s="29" t="str">
        <f aca="false">IF($A81="","",SUMIFS(Submissions!$J$2:$J$1000,Submissions!$A$2:$A$1000,$A81))</f>
        <v/>
      </c>
      <c r="L81" s="29" t="str">
        <f aca="false">IF($A81="","",COUNTIFS(Submissions!$A$2:$A$1000,$A81,Submissions!$D$2:$D$1000,"Rejected")+COUNTIFS(Submissions!$A$2:$A$1000,$A81,Submissions!$D$2:$D$1000,"Returned by office"))</f>
        <v/>
      </c>
      <c r="M81" s="30"/>
      <c r="N81" s="32" t="str">
        <f aca="false">IF(IF($F81="Revision due",3000,IF($F81="Needs resubmission",2000,IF($F81="Not yet submitted",1000,"")))="","",IF($F81="Revision due",3000,IF($F81="Needs resubmission",2000,IF($F81="Not yet submitted",1000,"")))+IF($I81="",0,MIN($I81,999))+(1000-ROW())/100000)</f>
        <v/>
      </c>
      <c r="O81" s="32" t="str">
        <f aca="false">IF($N81="","",RANK($N81,$N$2:$N$81))</f>
        <v/>
      </c>
    </row>
  </sheetData>
  <autoFilter ref="A1:M81"/>
  <conditionalFormatting sqref="F2:F81">
    <cfRule type="cellIs" priority="2" operator="equal" aboveAverage="0" equalAverage="0" bottom="0" percent="0" rank="0" text="" dxfId="0">
      <formula>"Revision due"</formula>
    </cfRule>
    <cfRule type="cellIs" priority="3" operator="equal" aboveAverage="0" equalAverage="0" bottom="0" percent="0" rank="0" text="" dxfId="1">
      <formula>"Needs resubmission"</formula>
    </cfRule>
    <cfRule type="cellIs" priority="4" operator="equal" aboveAverage="0" equalAverage="0" bottom="0" percent="0" rank="0" text="" dxfId="2">
      <formula>"Not yet submitted"</formula>
    </cfRule>
    <cfRule type="cellIs" priority="5" operator="equal" aboveAverage="0" equalAverage="0" bottom="0" percent="0" rank="0" text="" dxfId="3">
      <formula>"Under review"</formula>
    </cfRule>
    <cfRule type="cellIs" priority="6" operator="equal" aboveAverage="0" equalAverage="0" bottom="0" percent="0" rank="0" text="" dxfId="4">
      <formula>"Accepted"</formula>
    </cfRule>
    <cfRule type="cellIs" priority="7" operator="equal" aboveAverage="0" equalAverage="0" bottom="0" percent="0" rank="0" text="" dxfId="5">
      <formula>"Closed – rejected"</formula>
    </cfRule>
    <cfRule type="cellIs" priority="8" operator="equal" aboveAverage="0" equalAverage="0" bottom="0" percent="0" rank="0" text="" dxfId="6">
      <formula>"Parked"</formula>
    </cfRule>
    <cfRule type="cellIs" priority="9" operator="equal" aboveAverage="0" equalAverage="0" bottom="0" percent="0" rank="0" text="" dxfId="4">
      <formula>"Published"</formula>
    </cfRule>
    <cfRule type="cellIs" priority="10" operator="equal" aboveAverage="0" equalAverage="0" bottom="0" percent="0" rank="0" text="" dxfId="6">
      <formula>"Withdrawn"</formula>
    </cfRule>
  </conditionalFormatting>
  <conditionalFormatting sqref="I2:I81">
    <cfRule type="expression" priority="11" aboveAverage="0" equalAverage="0" bottom="0" percent="0" rank="0" text="" dxfId="7">
      <formula>AND(ISNUMBER($I2),$I2&gt;=180)</formula>
    </cfRule>
    <cfRule type="expression" priority="12" aboveAverage="0" equalAverage="0" bottom="0" percent="0" rank="0" text="" dxfId="8">
      <formula>AND(ISNUMBER($I2),$I2&gt;=60)</formula>
    </cfRule>
  </conditionalFormatting>
  <dataValidations count="2">
    <dataValidation allowBlank="true" errorStyle="stop" operator="between" showDropDown="false" showErrorMessage="false" showInputMessage="false" sqref="E2:E81" type="list">
      <formula1>"Closed – rejected,Parked,Published,Withdrawn"</formula1>
      <formula2>0</formula2>
    </dataValidation>
    <dataValidation allowBlank="true" errorStyle="stop" operator="between" showDropDown="false" showErrorMessage="false" showInputMessage="false" sqref="D2:D81" type="list">
      <formula1>"Journal article,EPW / short piece,Book chapter,Other"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7" min="7" style="0" width="8"/>
    <col collapsed="false" customWidth="true" hidden="false" outlineLevel="0" max="8" min="8" style="0" width="56"/>
    <col collapsed="false" customWidth="true" hidden="false" outlineLevel="0" max="9" min="9" style="0" width="40"/>
    <col collapsed="false" customWidth="true" hidden="true" outlineLevel="1" max="15" min="10" style="0" width="6"/>
  </cols>
  <sheetData>
    <row r="1" customFormat="false" ht="27.75" hidden="false" customHeight="true" outlineLevel="0" collapsed="false">
      <c r="A1" s="27" t="s">
        <v>121</v>
      </c>
      <c r="B1" s="27" t="s">
        <v>122</v>
      </c>
      <c r="C1" s="27" t="s">
        <v>123</v>
      </c>
      <c r="D1" s="27" t="s">
        <v>124</v>
      </c>
      <c r="E1" s="27" t="s">
        <v>125</v>
      </c>
      <c r="F1" s="27" t="s">
        <v>126</v>
      </c>
      <c r="G1" s="27" t="s">
        <v>127</v>
      </c>
      <c r="H1" s="27" t="s">
        <v>62</v>
      </c>
      <c r="I1" s="27" t="s">
        <v>128</v>
      </c>
      <c r="J1" s="28" t="s">
        <v>129</v>
      </c>
      <c r="K1" s="28" t="s">
        <v>130</v>
      </c>
      <c r="L1" s="28" t="s">
        <v>131</v>
      </c>
      <c r="M1" s="28" t="s">
        <v>132</v>
      </c>
      <c r="N1" s="28" t="s">
        <v>133</v>
      </c>
      <c r="O1" s="28" t="s">
        <v>134</v>
      </c>
    </row>
    <row r="2" customFormat="false" ht="15" hidden="false" customHeight="false" outlineLevel="0" collapsed="false">
      <c r="A2" s="33" t="s">
        <v>65</v>
      </c>
      <c r="B2" s="33" t="s">
        <v>135</v>
      </c>
      <c r="C2" s="33" t="s">
        <v>136</v>
      </c>
      <c r="D2" s="33" t="s">
        <v>137</v>
      </c>
      <c r="E2" s="34" t="n">
        <v>45463</v>
      </c>
      <c r="F2" s="34" t="n">
        <v>45607</v>
      </c>
      <c r="G2" s="35" t="n">
        <f aca="true">IF(OR(E2="",J2=0),"",IF(F2&lt;&gt;"",F2-E2,TODAY()-E2))</f>
        <v>144</v>
      </c>
      <c r="H2" s="29" t="s">
        <v>138</v>
      </c>
      <c r="I2" s="33" t="s">
        <v>139</v>
      </c>
      <c r="J2" s="32" t="n">
        <f aca="false">IF(OR(D2="",D2="Planned"),0,1)</f>
        <v>1</v>
      </c>
      <c r="K2" s="32" t="n">
        <f aca="false">IF(OR(D2="Under review",D2="Revision requested"),1,0)</f>
        <v>0</v>
      </c>
      <c r="L2" s="36" t="n">
        <f aca="false">IF(AND(J2=1,E2&lt;&gt;""),E2+ROW()/100000,"")</f>
        <v>45463.00002</v>
      </c>
      <c r="M2" s="32" t="str">
        <f aca="false">IF(D2="Planned",ROW(),"")</f>
        <v/>
      </c>
      <c r="N2" s="32" t="str">
        <f aca="true">IF(K2=1,IF(E2="",0,TODAY()-E2)+ROW()/100000,"")</f>
        <v/>
      </c>
      <c r="O2" s="32" t="str">
        <f aca="false">IF(N2="","",RANK(N2,$N$2:$N$1000))</f>
        <v/>
      </c>
    </row>
    <row r="3" customFormat="false" ht="15" hidden="false" customHeight="false" outlineLevel="0" collapsed="false">
      <c r="A3" s="33" t="s">
        <v>65</v>
      </c>
      <c r="B3" s="33" t="s">
        <v>140</v>
      </c>
      <c r="C3" s="33" t="s">
        <v>136</v>
      </c>
      <c r="D3" s="33" t="s">
        <v>137</v>
      </c>
      <c r="E3" s="34" t="n">
        <v>45630</v>
      </c>
      <c r="F3" s="34" t="n">
        <v>45633</v>
      </c>
      <c r="G3" s="35" t="n">
        <f aca="true">IF(OR(E3="",J3=0),"",IF(F3&lt;&gt;"",F3-E3,TODAY()-E3))</f>
        <v>3</v>
      </c>
      <c r="H3" s="29"/>
      <c r="I3" s="33"/>
      <c r="J3" s="32" t="n">
        <f aca="false">IF(OR(D3="",D3="Planned"),0,1)</f>
        <v>1</v>
      </c>
      <c r="K3" s="32" t="n">
        <f aca="false">IF(OR(D3="Under review",D3="Revision requested"),1,0)</f>
        <v>0</v>
      </c>
      <c r="L3" s="36" t="n">
        <f aca="false">IF(AND(J3=1,E3&lt;&gt;""),E3+ROW()/100000,"")</f>
        <v>45630.00003</v>
      </c>
      <c r="M3" s="32" t="str">
        <f aca="false">IF(D3="Planned",ROW(),"")</f>
        <v/>
      </c>
      <c r="N3" s="32" t="str">
        <f aca="true">IF(K3=1,IF(E3="",0,TODAY()-E3)+ROW()/100000,"")</f>
        <v/>
      </c>
      <c r="O3" s="32" t="str">
        <f aca="false">IF(N3="","",RANK(N3,$N$2:$N$1000))</f>
        <v/>
      </c>
    </row>
    <row r="4" customFormat="false" ht="15" hidden="false" customHeight="false" outlineLevel="0" collapsed="false">
      <c r="A4" s="33" t="s">
        <v>65</v>
      </c>
      <c r="B4" s="33" t="s">
        <v>141</v>
      </c>
      <c r="C4" s="33" t="s">
        <v>142</v>
      </c>
      <c r="D4" s="33" t="s">
        <v>137</v>
      </c>
      <c r="E4" s="34" t="n">
        <v>45656</v>
      </c>
      <c r="F4" s="34" t="n">
        <v>45758</v>
      </c>
      <c r="G4" s="35" t="n">
        <f aca="true">IF(OR(E4="",J4=0),"",IF(F4&lt;&gt;"",F4-E4,TODAY()-E4))</f>
        <v>102</v>
      </c>
      <c r="H4" s="29"/>
      <c r="I4" s="33"/>
      <c r="J4" s="32" t="n">
        <f aca="false">IF(OR(D4="",D4="Planned"),0,1)</f>
        <v>1</v>
      </c>
      <c r="K4" s="32" t="n">
        <f aca="false">IF(OR(D4="Under review",D4="Revision requested"),1,0)</f>
        <v>0</v>
      </c>
      <c r="L4" s="36" t="n">
        <f aca="false">IF(AND(J4=1,E4&lt;&gt;""),E4+ROW()/100000,"")</f>
        <v>45656.00004</v>
      </c>
      <c r="M4" s="32" t="str">
        <f aca="false">IF(D4="Planned",ROW(),"")</f>
        <v/>
      </c>
      <c r="N4" s="32" t="str">
        <f aca="true">IF(K4=1,IF(E4="",0,TODAY()-E4)+ROW()/100000,"")</f>
        <v/>
      </c>
      <c r="O4" s="32" t="str">
        <f aca="false">IF(N4="","",RANK(N4,$N$2:$N$1000))</f>
        <v/>
      </c>
    </row>
    <row r="5" customFormat="false" ht="15" hidden="false" customHeight="false" outlineLevel="0" collapsed="false">
      <c r="A5" s="33" t="s">
        <v>65</v>
      </c>
      <c r="B5" s="33" t="s">
        <v>143</v>
      </c>
      <c r="C5" s="33" t="s">
        <v>142</v>
      </c>
      <c r="D5" s="33" t="s">
        <v>137</v>
      </c>
      <c r="E5" s="34" t="n">
        <v>45761</v>
      </c>
      <c r="F5" s="34" t="n">
        <v>45761</v>
      </c>
      <c r="G5" s="35" t="n">
        <f aca="true">IF(OR(E5="",J5=0),"",IF(F5&lt;&gt;"",F5-E5,TODAY()-E5))</f>
        <v>0</v>
      </c>
      <c r="H5" s="29"/>
      <c r="I5" s="33"/>
      <c r="J5" s="32" t="n">
        <f aca="false">IF(OR(D5="",D5="Planned"),0,1)</f>
        <v>1</v>
      </c>
      <c r="K5" s="32" t="n">
        <f aca="false">IF(OR(D5="Under review",D5="Revision requested"),1,0)</f>
        <v>0</v>
      </c>
      <c r="L5" s="36" t="n">
        <f aca="false">IF(AND(J5=1,E5&lt;&gt;""),E5+ROW()/100000,"")</f>
        <v>45761.00005</v>
      </c>
      <c r="M5" s="32" t="str">
        <f aca="false">IF(D5="Planned",ROW(),"")</f>
        <v/>
      </c>
      <c r="N5" s="32" t="str">
        <f aca="true">IF(K5=1,IF(E5="",0,TODAY()-E5)+ROW()/100000,"")</f>
        <v/>
      </c>
      <c r="O5" s="32" t="str">
        <f aca="false">IF(N5="","",RANK(N5,$N$2:$N$1000))</f>
        <v/>
      </c>
    </row>
    <row r="6" customFormat="false" ht="15" hidden="false" customHeight="false" outlineLevel="0" collapsed="false">
      <c r="A6" s="33" t="s">
        <v>65</v>
      </c>
      <c r="B6" s="33" t="s">
        <v>144</v>
      </c>
      <c r="C6" s="33" t="s">
        <v>136</v>
      </c>
      <c r="D6" s="33" t="s">
        <v>137</v>
      </c>
      <c r="E6" s="34" t="n">
        <v>45761</v>
      </c>
      <c r="F6" s="34" t="n">
        <v>45762</v>
      </c>
      <c r="G6" s="35" t="n">
        <f aca="true">IF(OR(E6="",J6=0),"",IF(F6&lt;&gt;"",F6-E6,TODAY()-E6))</f>
        <v>1</v>
      </c>
      <c r="H6" s="29"/>
      <c r="I6" s="33"/>
      <c r="J6" s="32" t="n">
        <f aca="false">IF(OR(D6="",D6="Planned"),0,1)</f>
        <v>1</v>
      </c>
      <c r="K6" s="32" t="n">
        <f aca="false">IF(OR(D6="Under review",D6="Revision requested"),1,0)</f>
        <v>0</v>
      </c>
      <c r="L6" s="36" t="n">
        <f aca="false">IF(AND(J6=1,E6&lt;&gt;""),E6+ROW()/100000,"")</f>
        <v>45761.00006</v>
      </c>
      <c r="M6" s="32" t="str">
        <f aca="false">IF(D6="Planned",ROW(),"")</f>
        <v/>
      </c>
      <c r="N6" s="32" t="str">
        <f aca="true">IF(K6=1,IF(E6="",0,TODAY()-E6)+ROW()/100000,"")</f>
        <v/>
      </c>
      <c r="O6" s="32" t="str">
        <f aca="false">IF(N6="","",RANK(N6,$N$2:$N$1000))</f>
        <v/>
      </c>
    </row>
    <row r="7" customFormat="false" ht="15" hidden="false" customHeight="false" outlineLevel="0" collapsed="false">
      <c r="A7" s="33" t="s">
        <v>65</v>
      </c>
      <c r="B7" s="33" t="s">
        <v>145</v>
      </c>
      <c r="C7" s="33" t="s">
        <v>142</v>
      </c>
      <c r="D7" s="33" t="s">
        <v>137</v>
      </c>
      <c r="E7" s="34" t="n">
        <v>45779</v>
      </c>
      <c r="F7" s="34" t="n">
        <v>45804</v>
      </c>
      <c r="G7" s="35" t="n">
        <f aca="true">IF(OR(E7="",J7=0),"",IF(F7&lt;&gt;"",F7-E7,TODAY()-E7))</f>
        <v>25</v>
      </c>
      <c r="H7" s="29"/>
      <c r="I7" s="33"/>
      <c r="J7" s="32" t="n">
        <f aca="false">IF(OR(D7="",D7="Planned"),0,1)</f>
        <v>1</v>
      </c>
      <c r="K7" s="32" t="n">
        <f aca="false">IF(OR(D7="Under review",D7="Revision requested"),1,0)</f>
        <v>0</v>
      </c>
      <c r="L7" s="36" t="n">
        <f aca="false">IF(AND(J7=1,E7&lt;&gt;""),E7+ROW()/100000,"")</f>
        <v>45779.00007</v>
      </c>
      <c r="M7" s="32" t="str">
        <f aca="false">IF(D7="Planned",ROW(),"")</f>
        <v/>
      </c>
      <c r="N7" s="32" t="str">
        <f aca="true">IF(K7=1,IF(E7="",0,TODAY()-E7)+ROW()/100000,"")</f>
        <v/>
      </c>
      <c r="O7" s="32" t="str">
        <f aca="false">IF(N7="","",RANK(N7,$N$2:$N$1000))</f>
        <v/>
      </c>
    </row>
    <row r="8" customFormat="false" ht="15" hidden="false" customHeight="false" outlineLevel="0" collapsed="false">
      <c r="A8" s="33" t="s">
        <v>65</v>
      </c>
      <c r="B8" s="33" t="s">
        <v>146</v>
      </c>
      <c r="C8" s="33" t="s">
        <v>147</v>
      </c>
      <c r="D8" s="33" t="s">
        <v>148</v>
      </c>
      <c r="E8" s="34" t="n">
        <v>45812</v>
      </c>
      <c r="F8" s="34"/>
      <c r="G8" s="35" t="n">
        <f aca="true">IF(OR(E8="",J8=0),"",IF(F8&lt;&gt;"",F8-E8,TODAY()-E8))</f>
        <v>494</v>
      </c>
      <c r="H8" s="29" t="s">
        <v>149</v>
      </c>
      <c r="I8" s="33"/>
      <c r="J8" s="32" t="n">
        <f aca="false">IF(OR(D8="",D8="Planned"),0,1)</f>
        <v>1</v>
      </c>
      <c r="K8" s="32" t="n">
        <f aca="false">IF(OR(D8="Under review",D8="Revision requested"),1,0)</f>
        <v>1</v>
      </c>
      <c r="L8" s="36" t="n">
        <f aca="false">IF(AND(J8=1,E8&lt;&gt;""),E8+ROW()/100000,"")</f>
        <v>45812.00008</v>
      </c>
      <c r="M8" s="32" t="str">
        <f aca="false">IF(D8="Planned",ROW(),"")</f>
        <v/>
      </c>
      <c r="N8" s="32" t="n">
        <f aca="true">IF(K8=1,IF(E8="",0,TODAY()-E8)+ROW()/100000,"")</f>
        <v>494.00008</v>
      </c>
      <c r="O8" s="32" t="n">
        <f aca="false">IF(N8="","",RANK(N8,$N$2:$N$1000))</f>
        <v>1</v>
      </c>
    </row>
    <row r="9" customFormat="false" ht="15" hidden="false" customHeight="false" outlineLevel="0" collapsed="false">
      <c r="A9" s="33" t="s">
        <v>65</v>
      </c>
      <c r="B9" s="33" t="s">
        <v>150</v>
      </c>
      <c r="C9" s="33" t="s">
        <v>151</v>
      </c>
      <c r="D9" s="33" t="s">
        <v>152</v>
      </c>
      <c r="E9" s="34"/>
      <c r="F9" s="34"/>
      <c r="G9" s="35" t="str">
        <f aca="true">IF(OR(E9="",J9=0),"",IF(F9&lt;&gt;"",F9-E9,TODAY()-E9))</f>
        <v/>
      </c>
      <c r="H9" s="29" t="s">
        <v>153</v>
      </c>
      <c r="I9" s="33"/>
      <c r="J9" s="32" t="n">
        <f aca="false">IF(OR(D9="",D9="Planned"),0,1)</f>
        <v>0</v>
      </c>
      <c r="K9" s="32" t="n">
        <f aca="false">IF(OR(D9="Under review",D9="Revision requested"),1,0)</f>
        <v>0</v>
      </c>
      <c r="L9" s="32" t="str">
        <f aca="false">IF(AND(J9=1,E9&lt;&gt;""),E9+ROW()/100000,"")</f>
        <v/>
      </c>
      <c r="M9" s="32" t="n">
        <f aca="false">IF(D9="Planned",ROW(),"")</f>
        <v>9</v>
      </c>
      <c r="N9" s="32" t="str">
        <f aca="true">IF(K9=1,IF(E9="",0,TODAY()-E9)+ROW()/100000,"")</f>
        <v/>
      </c>
      <c r="O9" s="32" t="str">
        <f aca="false">IF(N9="","",RANK(N9,$N$2:$N$1000))</f>
        <v/>
      </c>
    </row>
    <row r="10" customFormat="false" ht="15" hidden="false" customHeight="false" outlineLevel="0" collapsed="false">
      <c r="A10" s="33" t="s">
        <v>65</v>
      </c>
      <c r="B10" s="33" t="s">
        <v>154</v>
      </c>
      <c r="C10" s="33" t="s">
        <v>155</v>
      </c>
      <c r="D10" s="33" t="s">
        <v>152</v>
      </c>
      <c r="E10" s="34"/>
      <c r="F10" s="34"/>
      <c r="G10" s="35" t="str">
        <f aca="true">IF(OR(E10="",J10=0),"",IF(F10&lt;&gt;"",F10-E10,TODAY()-E10))</f>
        <v/>
      </c>
      <c r="H10" s="29"/>
      <c r="I10" s="33"/>
      <c r="J10" s="32" t="n">
        <f aca="false">IF(OR(D10="",D10="Planned"),0,1)</f>
        <v>0</v>
      </c>
      <c r="K10" s="32" t="n">
        <f aca="false">IF(OR(D10="Under review",D10="Revision requested"),1,0)</f>
        <v>0</v>
      </c>
      <c r="L10" s="32" t="str">
        <f aca="false">IF(AND(J10=1,E10&lt;&gt;""),E10+ROW()/100000,"")</f>
        <v/>
      </c>
      <c r="M10" s="32" t="n">
        <f aca="false">IF(D10="Planned",ROW(),"")</f>
        <v>10</v>
      </c>
      <c r="N10" s="32" t="str">
        <f aca="true">IF(K10=1,IF(E10="",0,TODAY()-E10)+ROW()/100000,"")</f>
        <v/>
      </c>
      <c r="O10" s="32" t="str">
        <f aca="false">IF(N10="","",RANK(N10,$N$2:$N$1000))</f>
        <v/>
      </c>
    </row>
    <row r="11" customFormat="false" ht="15" hidden="false" customHeight="false" outlineLevel="0" collapsed="false">
      <c r="A11" s="33" t="s">
        <v>65</v>
      </c>
      <c r="B11" s="33" t="s">
        <v>156</v>
      </c>
      <c r="C11" s="33" t="s">
        <v>157</v>
      </c>
      <c r="D11" s="33" t="s">
        <v>152</v>
      </c>
      <c r="E11" s="34"/>
      <c r="F11" s="34"/>
      <c r="G11" s="35" t="str">
        <f aca="true">IF(OR(E11="",J11=0),"",IF(F11&lt;&gt;"",F11-E11,TODAY()-E11))</f>
        <v/>
      </c>
      <c r="H11" s="29"/>
      <c r="I11" s="33"/>
      <c r="J11" s="32" t="n">
        <f aca="false">IF(OR(D11="",D11="Planned"),0,1)</f>
        <v>0</v>
      </c>
      <c r="K11" s="32" t="n">
        <f aca="false">IF(OR(D11="Under review",D11="Revision requested"),1,0)</f>
        <v>0</v>
      </c>
      <c r="L11" s="32" t="str">
        <f aca="false">IF(AND(J11=1,E11&lt;&gt;""),E11+ROW()/100000,"")</f>
        <v/>
      </c>
      <c r="M11" s="32" t="n">
        <f aca="false">IF(D11="Planned",ROW(),"")</f>
        <v>11</v>
      </c>
      <c r="N11" s="32" t="str">
        <f aca="true">IF(K11=1,IF(E11="",0,TODAY()-E11)+ROW()/100000,"")</f>
        <v/>
      </c>
      <c r="O11" s="32" t="str">
        <f aca="false">IF(N11="","",RANK(N11,$N$2:$N$1000))</f>
        <v/>
      </c>
    </row>
    <row r="12" customFormat="false" ht="15" hidden="false" customHeight="false" outlineLevel="0" collapsed="false">
      <c r="A12" s="33" t="s">
        <v>65</v>
      </c>
      <c r="B12" s="33" t="s">
        <v>158</v>
      </c>
      <c r="C12" s="33" t="s">
        <v>159</v>
      </c>
      <c r="D12" s="33" t="s">
        <v>152</v>
      </c>
      <c r="E12" s="34"/>
      <c r="F12" s="34"/>
      <c r="G12" s="35" t="str">
        <f aca="true">IF(OR(E12="",J12=0),"",IF(F12&lt;&gt;"",F12-E12,TODAY()-E12))</f>
        <v/>
      </c>
      <c r="H12" s="29"/>
      <c r="I12" s="33"/>
      <c r="J12" s="32" t="n">
        <f aca="false">IF(OR(D12="",D12="Planned"),0,1)</f>
        <v>0</v>
      </c>
      <c r="K12" s="32" t="n">
        <f aca="false">IF(OR(D12="Under review",D12="Revision requested"),1,0)</f>
        <v>0</v>
      </c>
      <c r="L12" s="32" t="str">
        <f aca="false">IF(AND(J12=1,E12&lt;&gt;""),E12+ROW()/100000,"")</f>
        <v/>
      </c>
      <c r="M12" s="32" t="n">
        <f aca="false">IF(D12="Planned",ROW(),"")</f>
        <v>12</v>
      </c>
      <c r="N12" s="32" t="str">
        <f aca="true">IF(K12=1,IF(E12="",0,TODAY()-E12)+ROW()/100000,"")</f>
        <v/>
      </c>
      <c r="O12" s="32" t="str">
        <f aca="false">IF(N12="","",RANK(N12,$N$2:$N$1000))</f>
        <v/>
      </c>
    </row>
    <row r="13" customFormat="false" ht="15" hidden="false" customHeight="false" outlineLevel="0" collapsed="false">
      <c r="A13" s="33" t="s">
        <v>65</v>
      </c>
      <c r="B13" s="33" t="s">
        <v>160</v>
      </c>
      <c r="C13" s="33"/>
      <c r="D13" s="33" t="s">
        <v>152</v>
      </c>
      <c r="E13" s="34"/>
      <c r="F13" s="34"/>
      <c r="G13" s="35" t="str">
        <f aca="true">IF(OR(E13="",J13=0),"",IF(F13&lt;&gt;"",F13-E13,TODAY()-E13))</f>
        <v/>
      </c>
      <c r="H13" s="29"/>
      <c r="I13" s="33"/>
      <c r="J13" s="32" t="n">
        <f aca="false">IF(OR(D13="",D13="Planned"),0,1)</f>
        <v>0</v>
      </c>
      <c r="K13" s="32" t="n">
        <f aca="false">IF(OR(D13="Under review",D13="Revision requested"),1,0)</f>
        <v>0</v>
      </c>
      <c r="L13" s="32" t="str">
        <f aca="false">IF(AND(J13=1,E13&lt;&gt;""),E13+ROW()/100000,"")</f>
        <v/>
      </c>
      <c r="M13" s="32" t="n">
        <f aca="false">IF(D13="Planned",ROW(),"")</f>
        <v>13</v>
      </c>
      <c r="N13" s="32" t="str">
        <f aca="true">IF(K13=1,IF(E13="",0,TODAY()-E13)+ROW()/100000,"")</f>
        <v/>
      </c>
      <c r="O13" s="32" t="str">
        <f aca="false">IF(N13="","",RANK(N13,$N$2:$N$1000))</f>
        <v/>
      </c>
    </row>
    <row r="14" customFormat="false" ht="15" hidden="false" customHeight="false" outlineLevel="0" collapsed="false">
      <c r="A14" s="33" t="s">
        <v>65</v>
      </c>
      <c r="B14" s="33" t="s">
        <v>161</v>
      </c>
      <c r="C14" s="33"/>
      <c r="D14" s="33" t="s">
        <v>152</v>
      </c>
      <c r="E14" s="34"/>
      <c r="F14" s="34"/>
      <c r="G14" s="35" t="str">
        <f aca="true">IF(OR(E14="",J14=0),"",IF(F14&lt;&gt;"",F14-E14,TODAY()-E14))</f>
        <v/>
      </c>
      <c r="H14" s="29"/>
      <c r="I14" s="33"/>
      <c r="J14" s="32" t="n">
        <f aca="false">IF(OR(D14="",D14="Planned"),0,1)</f>
        <v>0</v>
      </c>
      <c r="K14" s="32" t="n">
        <f aca="false">IF(OR(D14="Under review",D14="Revision requested"),1,0)</f>
        <v>0</v>
      </c>
      <c r="L14" s="32" t="str">
        <f aca="false">IF(AND(J14=1,E14&lt;&gt;""),E14+ROW()/100000,"")</f>
        <v/>
      </c>
      <c r="M14" s="32" t="n">
        <f aca="false">IF(D14="Planned",ROW(),"")</f>
        <v>14</v>
      </c>
      <c r="N14" s="32" t="str">
        <f aca="true">IF(K14=1,IF(E14="",0,TODAY()-E14)+ROW()/100000,"")</f>
        <v/>
      </c>
      <c r="O14" s="32" t="str">
        <f aca="false">IF(N14="","",RANK(N14,$N$2:$N$1000))</f>
        <v/>
      </c>
    </row>
    <row r="15" customFormat="false" ht="15" hidden="false" customHeight="false" outlineLevel="0" collapsed="false">
      <c r="A15" s="33" t="s">
        <v>65</v>
      </c>
      <c r="B15" s="33" t="s">
        <v>162</v>
      </c>
      <c r="C15" s="33"/>
      <c r="D15" s="33" t="s">
        <v>152</v>
      </c>
      <c r="E15" s="34"/>
      <c r="F15" s="34"/>
      <c r="G15" s="35" t="str">
        <f aca="true">IF(OR(E15="",J15=0),"",IF(F15&lt;&gt;"",F15-E15,TODAY()-E15))</f>
        <v/>
      </c>
      <c r="H15" s="29"/>
      <c r="I15" s="33"/>
      <c r="J15" s="32" t="n">
        <f aca="false">IF(OR(D15="",D15="Planned"),0,1)</f>
        <v>0</v>
      </c>
      <c r="K15" s="32" t="n">
        <f aca="false">IF(OR(D15="Under review",D15="Revision requested"),1,0)</f>
        <v>0</v>
      </c>
      <c r="L15" s="32" t="str">
        <f aca="false">IF(AND(J15=1,E15&lt;&gt;""),E15+ROW()/100000,"")</f>
        <v/>
      </c>
      <c r="M15" s="32" t="n">
        <f aca="false">IF(D15="Planned",ROW(),"")</f>
        <v>15</v>
      </c>
      <c r="N15" s="32" t="str">
        <f aca="true">IF(K15=1,IF(E15="",0,TODAY()-E15)+ROW()/100000,"")</f>
        <v/>
      </c>
      <c r="O15" s="32" t="str">
        <f aca="false">IF(N15="","",RANK(N15,$N$2:$N$1000))</f>
        <v/>
      </c>
    </row>
    <row r="16" customFormat="false" ht="15" hidden="false" customHeight="false" outlineLevel="0" collapsed="false">
      <c r="A16" s="33" t="s">
        <v>70</v>
      </c>
      <c r="B16" s="33" t="s">
        <v>163</v>
      </c>
      <c r="C16" s="33" t="s">
        <v>136</v>
      </c>
      <c r="D16" s="33" t="s">
        <v>148</v>
      </c>
      <c r="E16" s="34" t="n">
        <v>46296</v>
      </c>
      <c r="F16" s="34"/>
      <c r="G16" s="35" t="n">
        <f aca="true">IF(OR(E16="",J16=0),"",IF(F16&lt;&gt;"",F16-E16,TODAY()-E16))</f>
        <v>10</v>
      </c>
      <c r="H16" s="29"/>
      <c r="I16" s="33"/>
      <c r="J16" s="32" t="n">
        <f aca="false">IF(OR(D16="",D16="Planned"),0,1)</f>
        <v>1</v>
      </c>
      <c r="K16" s="32" t="n">
        <f aca="false">IF(OR(D16="Under review",D16="Revision requested"),1,0)</f>
        <v>1</v>
      </c>
      <c r="L16" s="36" t="n">
        <f aca="false">IF(AND(J16=1,E16&lt;&gt;""),E16+ROW()/100000,"")</f>
        <v>46296.00016</v>
      </c>
      <c r="M16" s="32" t="str">
        <f aca="false">IF(D16="Planned",ROW(),"")</f>
        <v/>
      </c>
      <c r="N16" s="32" t="n">
        <f aca="true">IF(K16=1,IF(E16="",0,TODAY()-E16)+ROW()/100000,"")</f>
        <v>10.00016</v>
      </c>
      <c r="O16" s="32" t="n">
        <f aca="false">IF(N16="","",RANK(N16,$N$2:$N$1000))</f>
        <v>6</v>
      </c>
    </row>
    <row r="17" customFormat="false" ht="15" hidden="false" customHeight="false" outlineLevel="0" collapsed="false">
      <c r="A17" s="33" t="s">
        <v>70</v>
      </c>
      <c r="B17" s="33" t="s">
        <v>164</v>
      </c>
      <c r="C17" s="33" t="s">
        <v>165</v>
      </c>
      <c r="D17" s="33" t="s">
        <v>152</v>
      </c>
      <c r="E17" s="34"/>
      <c r="F17" s="34"/>
      <c r="G17" s="35" t="str">
        <f aca="true">IF(OR(E17="",J17=0),"",IF(F17&lt;&gt;"",F17-E17,TODAY()-E17))</f>
        <v/>
      </c>
      <c r="H17" s="29"/>
      <c r="I17" s="33"/>
      <c r="J17" s="32" t="n">
        <f aca="false">IF(OR(D17="",D17="Planned"),0,1)</f>
        <v>0</v>
      </c>
      <c r="K17" s="32" t="n">
        <f aca="false">IF(OR(D17="Under review",D17="Revision requested"),1,0)</f>
        <v>0</v>
      </c>
      <c r="L17" s="32" t="str">
        <f aca="false">IF(AND(J17=1,E17&lt;&gt;""),E17+ROW()/100000,"")</f>
        <v/>
      </c>
      <c r="M17" s="32" t="n">
        <f aca="false">IF(D17="Planned",ROW(),"")</f>
        <v>17</v>
      </c>
      <c r="N17" s="32" t="str">
        <f aca="true">IF(K17=1,IF(E17="",0,TODAY()-E17)+ROW()/100000,"")</f>
        <v/>
      </c>
      <c r="O17" s="32" t="str">
        <f aca="false">IF(N17="","",RANK(N17,$N$2:$N$1000))</f>
        <v/>
      </c>
    </row>
    <row r="18" customFormat="false" ht="15" hidden="false" customHeight="false" outlineLevel="0" collapsed="false">
      <c r="A18" s="33" t="s">
        <v>70</v>
      </c>
      <c r="B18" s="33" t="s">
        <v>166</v>
      </c>
      <c r="C18" s="33" t="s">
        <v>159</v>
      </c>
      <c r="D18" s="33" t="s">
        <v>152</v>
      </c>
      <c r="E18" s="34"/>
      <c r="F18" s="34"/>
      <c r="G18" s="35" t="str">
        <f aca="true">IF(OR(E18="",J18=0),"",IF(F18&lt;&gt;"",F18-E18,TODAY()-E18))</f>
        <v/>
      </c>
      <c r="H18" s="29"/>
      <c r="I18" s="33"/>
      <c r="J18" s="32" t="n">
        <f aca="false">IF(OR(D18="",D18="Planned"),0,1)</f>
        <v>0</v>
      </c>
      <c r="K18" s="32" t="n">
        <f aca="false">IF(OR(D18="Under review",D18="Revision requested"),1,0)</f>
        <v>0</v>
      </c>
      <c r="L18" s="32" t="str">
        <f aca="false">IF(AND(J18=1,E18&lt;&gt;""),E18+ROW()/100000,"")</f>
        <v/>
      </c>
      <c r="M18" s="32" t="n">
        <f aca="false">IF(D18="Planned",ROW(),"")</f>
        <v>18</v>
      </c>
      <c r="N18" s="32" t="str">
        <f aca="true">IF(K18=1,IF(E18="",0,TODAY()-E18)+ROW()/100000,"")</f>
        <v/>
      </c>
      <c r="O18" s="32" t="str">
        <f aca="false">IF(N18="","",RANK(N18,$N$2:$N$1000))</f>
        <v/>
      </c>
    </row>
    <row r="19" customFormat="false" ht="15" hidden="false" customHeight="false" outlineLevel="0" collapsed="false">
      <c r="A19" s="33" t="s">
        <v>72</v>
      </c>
      <c r="B19" s="33" t="s">
        <v>167</v>
      </c>
      <c r="C19" s="33" t="s">
        <v>142</v>
      </c>
      <c r="D19" s="33" t="s">
        <v>137</v>
      </c>
      <c r="E19" s="34" t="n">
        <v>45457</v>
      </c>
      <c r="F19" s="34" t="n">
        <v>45464</v>
      </c>
      <c r="G19" s="35" t="n">
        <f aca="true">IF(OR(E19="",J19=0),"",IF(F19&lt;&gt;"",F19-E19,TODAY()-E19))</f>
        <v>7</v>
      </c>
      <c r="H19" s="29"/>
      <c r="I19" s="33" t="s">
        <v>168</v>
      </c>
      <c r="J19" s="32" t="n">
        <f aca="false">IF(OR(D19="",D19="Planned"),0,1)</f>
        <v>1</v>
      </c>
      <c r="K19" s="32" t="n">
        <f aca="false">IF(OR(D19="Under review",D19="Revision requested"),1,0)</f>
        <v>0</v>
      </c>
      <c r="L19" s="36" t="n">
        <f aca="false">IF(AND(J19=1,E19&lt;&gt;""),E19+ROW()/100000,"")</f>
        <v>45457.00019</v>
      </c>
      <c r="M19" s="32" t="str">
        <f aca="false">IF(D19="Planned",ROW(),"")</f>
        <v/>
      </c>
      <c r="N19" s="32" t="str">
        <f aca="true">IF(K19=1,IF(E19="",0,TODAY()-E19)+ROW()/100000,"")</f>
        <v/>
      </c>
      <c r="O19" s="32" t="str">
        <f aca="false">IF(N19="","",RANK(N19,$N$2:$N$1000))</f>
        <v/>
      </c>
    </row>
    <row r="20" customFormat="false" ht="15" hidden="false" customHeight="false" outlineLevel="0" collapsed="false">
      <c r="A20" s="33" t="s">
        <v>72</v>
      </c>
      <c r="B20" s="33" t="s">
        <v>169</v>
      </c>
      <c r="C20" s="33" t="s">
        <v>142</v>
      </c>
      <c r="D20" s="33" t="s">
        <v>137</v>
      </c>
      <c r="E20" s="34" t="n">
        <v>45464</v>
      </c>
      <c r="F20" s="34" t="n">
        <v>45464</v>
      </c>
      <c r="G20" s="35" t="n">
        <f aca="true">IF(OR(E20="",J20=0),"",IF(F20&lt;&gt;"",F20-E20,TODAY()-E20))</f>
        <v>0</v>
      </c>
      <c r="H20" s="29" t="s">
        <v>170</v>
      </c>
      <c r="I20" s="33"/>
      <c r="J20" s="32" t="n">
        <f aca="false">IF(OR(D20="",D20="Planned"),0,1)</f>
        <v>1</v>
      </c>
      <c r="K20" s="32" t="n">
        <f aca="false">IF(OR(D20="Under review",D20="Revision requested"),1,0)</f>
        <v>0</v>
      </c>
      <c r="L20" s="36" t="n">
        <f aca="false">IF(AND(J20=1,E20&lt;&gt;""),E20+ROW()/100000,"")</f>
        <v>45464.0002</v>
      </c>
      <c r="M20" s="32" t="str">
        <f aca="false">IF(D20="Planned",ROW(),"")</f>
        <v/>
      </c>
      <c r="N20" s="32" t="str">
        <f aca="true">IF(K20=1,IF(E20="",0,TODAY()-E20)+ROW()/100000,"")</f>
        <v/>
      </c>
      <c r="O20" s="32" t="str">
        <f aca="false">IF(N20="","",RANK(N20,$N$2:$N$1000))</f>
        <v/>
      </c>
    </row>
    <row r="21" customFormat="false" ht="15" hidden="false" customHeight="false" outlineLevel="0" collapsed="false">
      <c r="A21" s="33" t="s">
        <v>72</v>
      </c>
      <c r="B21" s="33" t="s">
        <v>171</v>
      </c>
      <c r="C21" s="33" t="s">
        <v>136</v>
      </c>
      <c r="D21" s="33" t="s">
        <v>137</v>
      </c>
      <c r="E21" s="34" t="n">
        <v>45464</v>
      </c>
      <c r="F21" s="34" t="n">
        <v>45467</v>
      </c>
      <c r="G21" s="35" t="n">
        <f aca="true">IF(OR(E21="",J21=0),"",IF(F21&lt;&gt;"",F21-E21,TODAY()-E21))</f>
        <v>3</v>
      </c>
      <c r="H21" s="29"/>
      <c r="I21" s="33"/>
      <c r="J21" s="32" t="n">
        <f aca="false">IF(OR(D21="",D21="Planned"),0,1)</f>
        <v>1</v>
      </c>
      <c r="K21" s="32" t="n">
        <f aca="false">IF(OR(D21="Under review",D21="Revision requested"),1,0)</f>
        <v>0</v>
      </c>
      <c r="L21" s="36" t="n">
        <f aca="false">IF(AND(J21=1,E21&lt;&gt;""),E21+ROW()/100000,"")</f>
        <v>45464.00021</v>
      </c>
      <c r="M21" s="32" t="str">
        <f aca="false">IF(D21="Planned",ROW(),"")</f>
        <v/>
      </c>
      <c r="N21" s="32" t="str">
        <f aca="true">IF(K21=1,IF(E21="",0,TODAY()-E21)+ROW()/100000,"")</f>
        <v/>
      </c>
      <c r="O21" s="32" t="str">
        <f aca="false">IF(N21="","",RANK(N21,$N$2:$N$1000))</f>
        <v/>
      </c>
    </row>
    <row r="22" customFormat="false" ht="15" hidden="false" customHeight="false" outlineLevel="0" collapsed="false">
      <c r="A22" s="33" t="s">
        <v>72</v>
      </c>
      <c r="B22" s="33" t="s">
        <v>172</v>
      </c>
      <c r="C22" s="33" t="s">
        <v>157</v>
      </c>
      <c r="D22" s="33" t="s">
        <v>137</v>
      </c>
      <c r="E22" s="34" t="n">
        <v>45468</v>
      </c>
      <c r="F22" s="34" t="n">
        <v>45566</v>
      </c>
      <c r="G22" s="35" t="n">
        <f aca="true">IF(OR(E22="",J22=0),"",IF(F22&lt;&gt;"",F22-E22,TODAY()-E22))</f>
        <v>98</v>
      </c>
      <c r="H22" s="29" t="s">
        <v>173</v>
      </c>
      <c r="I22" s="33"/>
      <c r="J22" s="32" t="n">
        <f aca="false">IF(OR(D22="",D22="Planned"),0,1)</f>
        <v>1</v>
      </c>
      <c r="K22" s="32" t="n">
        <f aca="false">IF(OR(D22="Under review",D22="Revision requested"),1,0)</f>
        <v>0</v>
      </c>
      <c r="L22" s="36" t="n">
        <f aca="false">IF(AND(J22=1,E22&lt;&gt;""),E22+ROW()/100000,"")</f>
        <v>45468.00022</v>
      </c>
      <c r="M22" s="32" t="str">
        <f aca="false">IF(D22="Planned",ROW(),"")</f>
        <v/>
      </c>
      <c r="N22" s="32" t="str">
        <f aca="true">IF(K22=1,IF(E22="",0,TODAY()-E22)+ROW()/100000,"")</f>
        <v/>
      </c>
      <c r="O22" s="32" t="str">
        <f aca="false">IF(N22="","",RANK(N22,$N$2:$N$1000))</f>
        <v/>
      </c>
    </row>
    <row r="23" customFormat="false" ht="15" hidden="false" customHeight="false" outlineLevel="0" collapsed="false">
      <c r="A23" s="33" t="s">
        <v>72</v>
      </c>
      <c r="B23" s="33" t="s">
        <v>174</v>
      </c>
      <c r="C23" s="33"/>
      <c r="D23" s="33" t="s">
        <v>137</v>
      </c>
      <c r="E23" s="34" t="n">
        <v>45531</v>
      </c>
      <c r="F23" s="34" t="n">
        <v>45533</v>
      </c>
      <c r="G23" s="35" t="n">
        <f aca="true">IF(OR(E23="",J23=0),"",IF(F23&lt;&gt;"",F23-E23,TODAY()-E23))</f>
        <v>2</v>
      </c>
      <c r="H23" s="29" t="s">
        <v>175</v>
      </c>
      <c r="I23" s="33"/>
      <c r="J23" s="32" t="n">
        <f aca="false">IF(OR(D23="",D23="Planned"),0,1)</f>
        <v>1</v>
      </c>
      <c r="K23" s="32" t="n">
        <f aca="false">IF(OR(D23="Under review",D23="Revision requested"),1,0)</f>
        <v>0</v>
      </c>
      <c r="L23" s="36" t="n">
        <f aca="false">IF(AND(J23=1,E23&lt;&gt;""),E23+ROW()/100000,"")</f>
        <v>45531.00023</v>
      </c>
      <c r="M23" s="32" t="str">
        <f aca="false">IF(D23="Planned",ROW(),"")</f>
        <v/>
      </c>
      <c r="N23" s="32" t="str">
        <f aca="true">IF(K23=1,IF(E23="",0,TODAY()-E23)+ROW()/100000,"")</f>
        <v/>
      </c>
      <c r="O23" s="32" t="str">
        <f aca="false">IF(N23="","",RANK(N23,$N$2:$N$1000))</f>
        <v/>
      </c>
    </row>
    <row r="24" customFormat="false" ht="15" hidden="false" customHeight="false" outlineLevel="0" collapsed="false">
      <c r="A24" s="33" t="s">
        <v>72</v>
      </c>
      <c r="B24" s="33" t="s">
        <v>176</v>
      </c>
      <c r="C24" s="33" t="s">
        <v>177</v>
      </c>
      <c r="D24" s="33" t="s">
        <v>137</v>
      </c>
      <c r="E24" s="34" t="n">
        <v>45566</v>
      </c>
      <c r="F24" s="34" t="n">
        <v>45566</v>
      </c>
      <c r="G24" s="35" t="n">
        <f aca="true">IF(OR(E24="",J24=0),"",IF(F24&lt;&gt;"",F24-E24,TODAY()-E24))</f>
        <v>0</v>
      </c>
      <c r="H24" s="29" t="s">
        <v>178</v>
      </c>
      <c r="I24" s="33" t="s">
        <v>179</v>
      </c>
      <c r="J24" s="32" t="n">
        <f aca="false">IF(OR(D24="",D24="Planned"),0,1)</f>
        <v>1</v>
      </c>
      <c r="K24" s="32" t="n">
        <f aca="false">IF(OR(D24="Under review",D24="Revision requested"),1,0)</f>
        <v>0</v>
      </c>
      <c r="L24" s="36" t="n">
        <f aca="false">IF(AND(J24=1,E24&lt;&gt;""),E24+ROW()/100000,"")</f>
        <v>45566.00024</v>
      </c>
      <c r="M24" s="32" t="str">
        <f aca="false">IF(D24="Planned",ROW(),"")</f>
        <v/>
      </c>
      <c r="N24" s="32" t="str">
        <f aca="true">IF(K24=1,IF(E24="",0,TODAY()-E24)+ROW()/100000,"")</f>
        <v/>
      </c>
      <c r="O24" s="32" t="str">
        <f aca="false">IF(N24="","",RANK(N24,$N$2:$N$1000))</f>
        <v/>
      </c>
    </row>
    <row r="25" customFormat="false" ht="15" hidden="false" customHeight="false" outlineLevel="0" collapsed="false">
      <c r="A25" s="33" t="s">
        <v>72</v>
      </c>
      <c r="B25" s="33" t="s">
        <v>180</v>
      </c>
      <c r="C25" s="33" t="s">
        <v>181</v>
      </c>
      <c r="D25" s="33" t="s">
        <v>137</v>
      </c>
      <c r="E25" s="34" t="n">
        <v>45567</v>
      </c>
      <c r="F25" s="34" t="n">
        <v>45571</v>
      </c>
      <c r="G25" s="35" t="n">
        <f aca="true">IF(OR(E25="",J25=0),"",IF(F25&lt;&gt;"",F25-E25,TODAY()-E25))</f>
        <v>4</v>
      </c>
      <c r="H25" s="29" t="s">
        <v>182</v>
      </c>
      <c r="I25" s="33"/>
      <c r="J25" s="32" t="n">
        <f aca="false">IF(OR(D25="",D25="Planned"),0,1)</f>
        <v>1</v>
      </c>
      <c r="K25" s="32" t="n">
        <f aca="false">IF(OR(D25="Under review",D25="Revision requested"),1,0)</f>
        <v>0</v>
      </c>
      <c r="L25" s="36" t="n">
        <f aca="false">IF(AND(J25=1,E25&lt;&gt;""),E25+ROW()/100000,"")</f>
        <v>45567.00025</v>
      </c>
      <c r="M25" s="32" t="str">
        <f aca="false">IF(D25="Planned",ROW(),"")</f>
        <v/>
      </c>
      <c r="N25" s="32" t="str">
        <f aca="true">IF(K25=1,IF(E25="",0,TODAY()-E25)+ROW()/100000,"")</f>
        <v/>
      </c>
      <c r="O25" s="32" t="str">
        <f aca="false">IF(N25="","",RANK(N25,$N$2:$N$1000))</f>
        <v/>
      </c>
    </row>
    <row r="26" customFormat="false" ht="15" hidden="false" customHeight="false" outlineLevel="0" collapsed="false">
      <c r="A26" s="33" t="s">
        <v>72</v>
      </c>
      <c r="B26" s="33" t="s">
        <v>183</v>
      </c>
      <c r="C26" s="33"/>
      <c r="D26" s="33" t="s">
        <v>137</v>
      </c>
      <c r="E26" s="34" t="n">
        <v>45579</v>
      </c>
      <c r="F26" s="34" t="n">
        <v>45589</v>
      </c>
      <c r="G26" s="35" t="n">
        <f aca="true">IF(OR(E26="",J26=0),"",IF(F26&lt;&gt;"",F26-E26,TODAY()-E26))</f>
        <v>10</v>
      </c>
      <c r="H26" s="29"/>
      <c r="I26" s="33"/>
      <c r="J26" s="32" t="n">
        <f aca="false">IF(OR(D26="",D26="Planned"),0,1)</f>
        <v>1</v>
      </c>
      <c r="K26" s="32" t="n">
        <f aca="false">IF(OR(D26="Under review",D26="Revision requested"),1,0)</f>
        <v>0</v>
      </c>
      <c r="L26" s="36" t="n">
        <f aca="false">IF(AND(J26=1,E26&lt;&gt;""),E26+ROW()/100000,"")</f>
        <v>45579.00026</v>
      </c>
      <c r="M26" s="32" t="str">
        <f aca="false">IF(D26="Planned",ROW(),"")</f>
        <v/>
      </c>
      <c r="N26" s="32" t="str">
        <f aca="true">IF(K26=1,IF(E26="",0,TODAY()-E26)+ROW()/100000,"")</f>
        <v/>
      </c>
      <c r="O26" s="32" t="str">
        <f aca="false">IF(N26="","",RANK(N26,$N$2:$N$1000))</f>
        <v/>
      </c>
    </row>
    <row r="27" customFormat="false" ht="15" hidden="false" customHeight="false" outlineLevel="0" collapsed="false">
      <c r="A27" s="33" t="s">
        <v>72</v>
      </c>
      <c r="B27" s="33" t="s">
        <v>184</v>
      </c>
      <c r="C27" s="33" t="s">
        <v>181</v>
      </c>
      <c r="D27" s="33" t="s">
        <v>137</v>
      </c>
      <c r="E27" s="34" t="n">
        <v>45630</v>
      </c>
      <c r="F27" s="34" t="n">
        <v>45642</v>
      </c>
      <c r="G27" s="35" t="n">
        <f aca="true">IF(OR(E27="",J27=0),"",IF(F27&lt;&gt;"",F27-E27,TODAY()-E27))</f>
        <v>12</v>
      </c>
      <c r="H27" s="29"/>
      <c r="I27" s="33"/>
      <c r="J27" s="32" t="n">
        <f aca="false">IF(OR(D27="",D27="Planned"),0,1)</f>
        <v>1</v>
      </c>
      <c r="K27" s="32" t="n">
        <f aca="false">IF(OR(D27="Under review",D27="Revision requested"),1,0)</f>
        <v>0</v>
      </c>
      <c r="L27" s="36" t="n">
        <f aca="false">IF(AND(J27=1,E27&lt;&gt;""),E27+ROW()/100000,"")</f>
        <v>45630.00027</v>
      </c>
      <c r="M27" s="32" t="str">
        <f aca="false">IF(D27="Planned",ROW(),"")</f>
        <v/>
      </c>
      <c r="N27" s="32" t="str">
        <f aca="true">IF(K27=1,IF(E27="",0,TODAY()-E27)+ROW()/100000,"")</f>
        <v/>
      </c>
      <c r="O27" s="32" t="str">
        <f aca="false">IF(N27="","",RANK(N27,$N$2:$N$1000))</f>
        <v/>
      </c>
    </row>
    <row r="28" customFormat="false" ht="15" hidden="false" customHeight="false" outlineLevel="0" collapsed="false">
      <c r="A28" s="33" t="s">
        <v>72</v>
      </c>
      <c r="B28" s="33" t="s">
        <v>185</v>
      </c>
      <c r="C28" s="33"/>
      <c r="D28" s="33" t="s">
        <v>137</v>
      </c>
      <c r="E28" s="34" t="n">
        <v>45667</v>
      </c>
      <c r="F28" s="34" t="n">
        <v>45746</v>
      </c>
      <c r="G28" s="35" t="n">
        <f aca="true">IF(OR(E28="",J28=0),"",IF(F28&lt;&gt;"",F28-E28,TODAY()-E28))</f>
        <v>79</v>
      </c>
      <c r="H28" s="29"/>
      <c r="I28" s="33"/>
      <c r="J28" s="32" t="n">
        <f aca="false">IF(OR(D28="",D28="Planned"),0,1)</f>
        <v>1</v>
      </c>
      <c r="K28" s="32" t="n">
        <f aca="false">IF(OR(D28="Under review",D28="Revision requested"),1,0)</f>
        <v>0</v>
      </c>
      <c r="L28" s="36" t="n">
        <f aca="false">IF(AND(J28=1,E28&lt;&gt;""),E28+ROW()/100000,"")</f>
        <v>45667.00028</v>
      </c>
      <c r="M28" s="32" t="str">
        <f aca="false">IF(D28="Planned",ROW(),"")</f>
        <v/>
      </c>
      <c r="N28" s="32" t="str">
        <f aca="true">IF(K28=1,IF(E28="",0,TODAY()-E28)+ROW()/100000,"")</f>
        <v/>
      </c>
      <c r="O28" s="32" t="str">
        <f aca="false">IF(N28="","",RANK(N28,$N$2:$N$1000))</f>
        <v/>
      </c>
    </row>
    <row r="29" customFormat="false" ht="15" hidden="false" customHeight="false" outlineLevel="0" collapsed="false">
      <c r="A29" s="33" t="s">
        <v>72</v>
      </c>
      <c r="B29" s="33" t="s">
        <v>186</v>
      </c>
      <c r="C29" s="33"/>
      <c r="D29" s="33" t="s">
        <v>137</v>
      </c>
      <c r="E29" s="34" t="n">
        <v>45747</v>
      </c>
      <c r="F29" s="34" t="n">
        <v>45752</v>
      </c>
      <c r="G29" s="35" t="n">
        <f aca="true">IF(OR(E29="",J29=0),"",IF(F29&lt;&gt;"",F29-E29,TODAY()-E29))</f>
        <v>5</v>
      </c>
      <c r="H29" s="29"/>
      <c r="I29" s="33"/>
      <c r="J29" s="32" t="n">
        <f aca="false">IF(OR(D29="",D29="Planned"),0,1)</f>
        <v>1</v>
      </c>
      <c r="K29" s="32" t="n">
        <f aca="false">IF(OR(D29="Under review",D29="Revision requested"),1,0)</f>
        <v>0</v>
      </c>
      <c r="L29" s="36" t="n">
        <f aca="false">IF(AND(J29=1,E29&lt;&gt;""),E29+ROW()/100000,"")</f>
        <v>45747.00029</v>
      </c>
      <c r="M29" s="32" t="str">
        <f aca="false">IF(D29="Planned",ROW(),"")</f>
        <v/>
      </c>
      <c r="N29" s="32" t="str">
        <f aca="true">IF(K29=1,IF(E29="",0,TODAY()-E29)+ROW()/100000,"")</f>
        <v/>
      </c>
      <c r="O29" s="32" t="str">
        <f aca="false">IF(N29="","",RANK(N29,$N$2:$N$1000))</f>
        <v/>
      </c>
    </row>
    <row r="30" customFormat="false" ht="15" hidden="false" customHeight="false" outlineLevel="0" collapsed="false">
      <c r="A30" s="33" t="s">
        <v>72</v>
      </c>
      <c r="B30" s="33" t="s">
        <v>187</v>
      </c>
      <c r="C30" s="33" t="s">
        <v>159</v>
      </c>
      <c r="D30" s="33" t="s">
        <v>137</v>
      </c>
      <c r="E30" s="34" t="n">
        <v>45754</v>
      </c>
      <c r="F30" s="34" t="n">
        <v>45766</v>
      </c>
      <c r="G30" s="35" t="n">
        <f aca="true">IF(OR(E30="",J30=0),"",IF(F30&lt;&gt;"",F30-E30,TODAY()-E30))</f>
        <v>12</v>
      </c>
      <c r="H30" s="29" t="s">
        <v>188</v>
      </c>
      <c r="I30" s="33" t="s">
        <v>189</v>
      </c>
      <c r="J30" s="32" t="n">
        <f aca="false">IF(OR(D30="",D30="Planned"),0,1)</f>
        <v>1</v>
      </c>
      <c r="K30" s="32" t="n">
        <f aca="false">IF(OR(D30="Under review",D30="Revision requested"),1,0)</f>
        <v>0</v>
      </c>
      <c r="L30" s="36" t="n">
        <f aca="false">IF(AND(J30=1,E30&lt;&gt;""),E30+ROW()/100000,"")</f>
        <v>45754.0003</v>
      </c>
      <c r="M30" s="32" t="str">
        <f aca="false">IF(D30="Planned",ROW(),"")</f>
        <v/>
      </c>
      <c r="N30" s="32" t="str">
        <f aca="true">IF(K30=1,IF(E30="",0,TODAY()-E30)+ROW()/100000,"")</f>
        <v/>
      </c>
      <c r="O30" s="32" t="str">
        <f aca="false">IF(N30="","",RANK(N30,$N$2:$N$1000))</f>
        <v/>
      </c>
    </row>
    <row r="31" customFormat="false" ht="15" hidden="false" customHeight="false" outlineLevel="0" collapsed="false">
      <c r="A31" s="33" t="s">
        <v>72</v>
      </c>
      <c r="B31" s="33" t="s">
        <v>190</v>
      </c>
      <c r="C31" s="33"/>
      <c r="D31" s="33" t="s">
        <v>137</v>
      </c>
      <c r="E31" s="34" t="n">
        <v>45754</v>
      </c>
      <c r="F31" s="34" t="n">
        <v>45797</v>
      </c>
      <c r="G31" s="35" t="n">
        <f aca="true">IF(OR(E31="",J31=0),"",IF(F31&lt;&gt;"",F31-E31,TODAY()-E31))</f>
        <v>43</v>
      </c>
      <c r="H31" s="29"/>
      <c r="I31" s="33"/>
      <c r="J31" s="32" t="n">
        <f aca="false">IF(OR(D31="",D31="Planned"),0,1)</f>
        <v>1</v>
      </c>
      <c r="K31" s="32" t="n">
        <f aca="false">IF(OR(D31="Under review",D31="Revision requested"),1,0)</f>
        <v>0</v>
      </c>
      <c r="L31" s="36" t="n">
        <f aca="false">IF(AND(J31=1,E31&lt;&gt;""),E31+ROW()/100000,"")</f>
        <v>45754.00031</v>
      </c>
      <c r="M31" s="32" t="str">
        <f aca="false">IF(D31="Planned",ROW(),"")</f>
        <v/>
      </c>
      <c r="N31" s="32" t="str">
        <f aca="true">IF(K31=1,IF(E31="",0,TODAY()-E31)+ROW()/100000,"")</f>
        <v/>
      </c>
      <c r="O31" s="32" t="str">
        <f aca="false">IF(N31="","",RANK(N31,$N$2:$N$1000))</f>
        <v/>
      </c>
    </row>
    <row r="32" customFormat="false" ht="15" hidden="false" customHeight="false" outlineLevel="0" collapsed="false">
      <c r="A32" s="33" t="s">
        <v>72</v>
      </c>
      <c r="B32" s="33" t="s">
        <v>191</v>
      </c>
      <c r="C32" s="33" t="s">
        <v>159</v>
      </c>
      <c r="D32" s="33" t="s">
        <v>137</v>
      </c>
      <c r="E32" s="34" t="n">
        <v>45768</v>
      </c>
      <c r="F32" s="34" t="n">
        <v>45867</v>
      </c>
      <c r="G32" s="35" t="n">
        <f aca="true">IF(OR(E32="",J32=0),"",IF(F32&lt;&gt;"",F32-E32,TODAY()-E32))</f>
        <v>99</v>
      </c>
      <c r="H32" s="29" t="s">
        <v>192</v>
      </c>
      <c r="I32" s="33"/>
      <c r="J32" s="32" t="n">
        <f aca="false">IF(OR(D32="",D32="Planned"),0,1)</f>
        <v>1</v>
      </c>
      <c r="K32" s="32" t="n">
        <f aca="false">IF(OR(D32="Under review",D32="Revision requested"),1,0)</f>
        <v>0</v>
      </c>
      <c r="L32" s="36" t="n">
        <f aca="false">IF(AND(J32=1,E32&lt;&gt;""),E32+ROW()/100000,"")</f>
        <v>45768.00032</v>
      </c>
      <c r="M32" s="32" t="str">
        <f aca="false">IF(D32="Planned",ROW(),"")</f>
        <v/>
      </c>
      <c r="N32" s="32" t="str">
        <f aca="true">IF(K32=1,IF(E32="",0,TODAY()-E32)+ROW()/100000,"")</f>
        <v/>
      </c>
      <c r="O32" s="32" t="str">
        <f aca="false">IF(N32="","",RANK(N32,$N$2:$N$1000))</f>
        <v/>
      </c>
    </row>
    <row r="33" customFormat="false" ht="15" hidden="false" customHeight="false" outlineLevel="0" collapsed="false">
      <c r="A33" s="33" t="s">
        <v>72</v>
      </c>
      <c r="B33" s="33" t="s">
        <v>193</v>
      </c>
      <c r="C33" s="33" t="s">
        <v>194</v>
      </c>
      <c r="D33" s="33" t="s">
        <v>137</v>
      </c>
      <c r="E33" s="34" t="n">
        <v>45799</v>
      </c>
      <c r="F33" s="34" t="n">
        <v>45828</v>
      </c>
      <c r="G33" s="35" t="n">
        <f aca="true">IF(OR(E33="",J33=0),"",IF(F33&lt;&gt;"",F33-E33,TODAY()-E33))</f>
        <v>29</v>
      </c>
      <c r="H33" s="29"/>
      <c r="I33" s="33" t="s">
        <v>189</v>
      </c>
      <c r="J33" s="32" t="n">
        <f aca="false">IF(OR(D33="",D33="Planned"),0,1)</f>
        <v>1</v>
      </c>
      <c r="K33" s="32" t="n">
        <f aca="false">IF(OR(D33="Under review",D33="Revision requested"),1,0)</f>
        <v>0</v>
      </c>
      <c r="L33" s="36" t="n">
        <f aca="false">IF(AND(J33=1,E33&lt;&gt;""),E33+ROW()/100000,"")</f>
        <v>45799.00033</v>
      </c>
      <c r="M33" s="32" t="str">
        <f aca="false">IF(D33="Planned",ROW(),"")</f>
        <v/>
      </c>
      <c r="N33" s="32" t="str">
        <f aca="true">IF(K33=1,IF(E33="",0,TODAY()-E33)+ROW()/100000,"")</f>
        <v/>
      </c>
      <c r="O33" s="32" t="str">
        <f aca="false">IF(N33="","",RANK(N33,$N$2:$N$1000))</f>
        <v/>
      </c>
    </row>
    <row r="34" customFormat="false" ht="15" hidden="false" customHeight="false" outlineLevel="0" collapsed="false">
      <c r="A34" s="33" t="s">
        <v>72</v>
      </c>
      <c r="B34" s="33" t="s">
        <v>135</v>
      </c>
      <c r="C34" s="33" t="s">
        <v>136</v>
      </c>
      <c r="D34" s="33" t="s">
        <v>137</v>
      </c>
      <c r="E34" s="34" t="n">
        <v>45830</v>
      </c>
      <c r="F34" s="34" t="n">
        <v>45863</v>
      </c>
      <c r="G34" s="35" t="n">
        <f aca="true">IF(OR(E34="",J34=0),"",IF(F34&lt;&gt;"",F34-E34,TODAY()-E34))</f>
        <v>33</v>
      </c>
      <c r="H34" s="29"/>
      <c r="I34" s="33" t="s">
        <v>195</v>
      </c>
      <c r="J34" s="32" t="n">
        <f aca="false">IF(OR(D34="",D34="Planned"),0,1)</f>
        <v>1</v>
      </c>
      <c r="K34" s="32" t="n">
        <f aca="false">IF(OR(D34="Under review",D34="Revision requested"),1,0)</f>
        <v>0</v>
      </c>
      <c r="L34" s="36" t="n">
        <f aca="false">IF(AND(J34=1,E34&lt;&gt;""),E34+ROW()/100000,"")</f>
        <v>45830.00034</v>
      </c>
      <c r="M34" s="32" t="str">
        <f aca="false">IF(D34="Planned",ROW(),"")</f>
        <v/>
      </c>
      <c r="N34" s="32" t="str">
        <f aca="true">IF(K34=1,IF(E34="",0,TODAY()-E34)+ROW()/100000,"")</f>
        <v/>
      </c>
      <c r="O34" s="32" t="str">
        <f aca="false">IF(N34="","",RANK(N34,$N$2:$N$1000))</f>
        <v/>
      </c>
    </row>
    <row r="35" customFormat="false" ht="15" hidden="false" customHeight="false" outlineLevel="0" collapsed="false">
      <c r="A35" s="33" t="s">
        <v>72</v>
      </c>
      <c r="B35" s="33" t="s">
        <v>167</v>
      </c>
      <c r="C35" s="33" t="s">
        <v>142</v>
      </c>
      <c r="D35" s="33" t="s">
        <v>148</v>
      </c>
      <c r="E35" s="34" t="n">
        <v>46289</v>
      </c>
      <c r="F35" s="34"/>
      <c r="G35" s="35" t="n">
        <f aca="true">IF(OR(E35="",J35=0),"",IF(F35&lt;&gt;"",F35-E35,TODAY()-E35))</f>
        <v>17</v>
      </c>
      <c r="H35" s="29" t="s">
        <v>196</v>
      </c>
      <c r="I35" s="33" t="s">
        <v>73</v>
      </c>
      <c r="J35" s="32" t="n">
        <f aca="false">IF(OR(D35="",D35="Planned"),0,1)</f>
        <v>1</v>
      </c>
      <c r="K35" s="32" t="n">
        <f aca="false">IF(OR(D35="Under review",D35="Revision requested"),1,0)</f>
        <v>1</v>
      </c>
      <c r="L35" s="36" t="n">
        <f aca="false">IF(AND(J35=1,E35&lt;&gt;""),E35+ROW()/100000,"")</f>
        <v>46289.00035</v>
      </c>
      <c r="M35" s="32" t="str">
        <f aca="false">IF(D35="Planned",ROW(),"")</f>
        <v/>
      </c>
      <c r="N35" s="32" t="n">
        <f aca="true">IF(K35=1,IF(E35="",0,TODAY()-E35)+ROW()/100000,"")</f>
        <v>17.00035</v>
      </c>
      <c r="O35" s="32" t="n">
        <f aca="false">IF(N35="","",RANK(N35,$N$2:$N$1000))</f>
        <v>5</v>
      </c>
    </row>
    <row r="36" customFormat="false" ht="15" hidden="false" customHeight="false" outlineLevel="0" collapsed="false">
      <c r="A36" s="33" t="s">
        <v>72</v>
      </c>
      <c r="B36" s="33" t="s">
        <v>197</v>
      </c>
      <c r="C36" s="33" t="s">
        <v>136</v>
      </c>
      <c r="D36" s="33" t="s">
        <v>152</v>
      </c>
      <c r="E36" s="34"/>
      <c r="F36" s="34"/>
      <c r="G36" s="35" t="str">
        <f aca="true">IF(OR(E36="",J36=0),"",IF(F36&lt;&gt;"",F36-E36,TODAY()-E36))</f>
        <v/>
      </c>
      <c r="H36" s="29" t="s">
        <v>198</v>
      </c>
      <c r="I36" s="33"/>
      <c r="J36" s="32" t="n">
        <f aca="false">IF(OR(D36="",D36="Planned"),0,1)</f>
        <v>0</v>
      </c>
      <c r="K36" s="32" t="n">
        <f aca="false">IF(OR(D36="Under review",D36="Revision requested"),1,0)</f>
        <v>0</v>
      </c>
      <c r="L36" s="32" t="str">
        <f aca="false">IF(AND(J36=1,E36&lt;&gt;""),E36+ROW()/100000,"")</f>
        <v/>
      </c>
      <c r="M36" s="32" t="n">
        <f aca="false">IF(D36="Planned",ROW(),"")</f>
        <v>36</v>
      </c>
      <c r="N36" s="32" t="str">
        <f aca="true">IF(K36=1,IF(E36="",0,TODAY()-E36)+ROW()/100000,"")</f>
        <v/>
      </c>
      <c r="O36" s="32" t="str">
        <f aca="false">IF(N36="","",RANK(N36,$N$2:$N$1000))</f>
        <v/>
      </c>
    </row>
    <row r="37" customFormat="false" ht="15" hidden="false" customHeight="false" outlineLevel="0" collapsed="false">
      <c r="A37" s="33" t="s">
        <v>72</v>
      </c>
      <c r="B37" s="33" t="s">
        <v>166</v>
      </c>
      <c r="C37" s="33" t="s">
        <v>159</v>
      </c>
      <c r="D37" s="33" t="s">
        <v>152</v>
      </c>
      <c r="E37" s="34"/>
      <c r="F37" s="34"/>
      <c r="G37" s="35" t="str">
        <f aca="true">IF(OR(E37="",J37=0),"",IF(F37&lt;&gt;"",F37-E37,TODAY()-E37))</f>
        <v/>
      </c>
      <c r="H37" s="29" t="s">
        <v>199</v>
      </c>
      <c r="I37" s="33"/>
      <c r="J37" s="32" t="n">
        <f aca="false">IF(OR(D37="",D37="Planned"),0,1)</f>
        <v>0</v>
      </c>
      <c r="K37" s="32" t="n">
        <f aca="false">IF(OR(D37="Under review",D37="Revision requested"),1,0)</f>
        <v>0</v>
      </c>
      <c r="L37" s="32" t="str">
        <f aca="false">IF(AND(J37=1,E37&lt;&gt;""),E37+ROW()/100000,"")</f>
        <v/>
      </c>
      <c r="M37" s="32" t="n">
        <f aca="false">IF(D37="Planned",ROW(),"")</f>
        <v>37</v>
      </c>
      <c r="N37" s="32" t="str">
        <f aca="true">IF(K37=1,IF(E37="",0,TODAY()-E37)+ROW()/100000,"")</f>
        <v/>
      </c>
      <c r="O37" s="32" t="str">
        <f aca="false">IF(N37="","",RANK(N37,$N$2:$N$1000))</f>
        <v/>
      </c>
    </row>
    <row r="38" customFormat="false" ht="15" hidden="false" customHeight="false" outlineLevel="0" collapsed="false">
      <c r="A38" s="33" t="s">
        <v>72</v>
      </c>
      <c r="B38" s="33" t="s">
        <v>200</v>
      </c>
      <c r="C38" s="33" t="s">
        <v>159</v>
      </c>
      <c r="D38" s="33" t="s">
        <v>152</v>
      </c>
      <c r="E38" s="34"/>
      <c r="F38" s="34"/>
      <c r="G38" s="35" t="str">
        <f aca="true">IF(OR(E38="",J38=0),"",IF(F38&lt;&gt;"",F38-E38,TODAY()-E38))</f>
        <v/>
      </c>
      <c r="H38" s="29" t="s">
        <v>201</v>
      </c>
      <c r="I38" s="33"/>
      <c r="J38" s="32" t="n">
        <f aca="false">IF(OR(D38="",D38="Planned"),0,1)</f>
        <v>0</v>
      </c>
      <c r="K38" s="32" t="n">
        <f aca="false">IF(OR(D38="Under review",D38="Revision requested"),1,0)</f>
        <v>0</v>
      </c>
      <c r="L38" s="32" t="str">
        <f aca="false">IF(AND(J38=1,E38&lt;&gt;""),E38+ROW()/100000,"")</f>
        <v/>
      </c>
      <c r="M38" s="32" t="n">
        <f aca="false">IF(D38="Planned",ROW(),"")</f>
        <v>38</v>
      </c>
      <c r="N38" s="32" t="str">
        <f aca="true">IF(K38=1,IF(E38="",0,TODAY()-E38)+ROW()/100000,"")</f>
        <v/>
      </c>
      <c r="O38" s="32" t="str">
        <f aca="false">IF(N38="","",RANK(N38,$N$2:$N$1000))</f>
        <v/>
      </c>
    </row>
    <row r="39" customFormat="false" ht="15" hidden="false" customHeight="false" outlineLevel="0" collapsed="false">
      <c r="A39" s="33" t="s">
        <v>72</v>
      </c>
      <c r="B39" s="33" t="s">
        <v>202</v>
      </c>
      <c r="C39" s="33"/>
      <c r="D39" s="33" t="s">
        <v>152</v>
      </c>
      <c r="E39" s="34"/>
      <c r="F39" s="34"/>
      <c r="G39" s="35" t="str">
        <f aca="true">IF(OR(E39="",J39=0),"",IF(F39&lt;&gt;"",F39-E39,TODAY()-E39))</f>
        <v/>
      </c>
      <c r="H39" s="29" t="s">
        <v>203</v>
      </c>
      <c r="I39" s="33"/>
      <c r="J39" s="32" t="n">
        <f aca="false">IF(OR(D39="",D39="Planned"),0,1)</f>
        <v>0</v>
      </c>
      <c r="K39" s="32" t="n">
        <f aca="false">IF(OR(D39="Under review",D39="Revision requested"),1,0)</f>
        <v>0</v>
      </c>
      <c r="L39" s="32" t="str">
        <f aca="false">IF(AND(J39=1,E39&lt;&gt;""),E39+ROW()/100000,"")</f>
        <v/>
      </c>
      <c r="M39" s="32" t="n">
        <f aca="false">IF(D39="Planned",ROW(),"")</f>
        <v>39</v>
      </c>
      <c r="N39" s="32" t="str">
        <f aca="true">IF(K39=1,IF(E39="",0,TODAY()-E39)+ROW()/100000,"")</f>
        <v/>
      </c>
      <c r="O39" s="32" t="str">
        <f aca="false">IF(N39="","",RANK(N39,$N$2:$N$1000))</f>
        <v/>
      </c>
    </row>
    <row r="40" customFormat="false" ht="15" hidden="false" customHeight="false" outlineLevel="0" collapsed="false">
      <c r="A40" s="33" t="s">
        <v>72</v>
      </c>
      <c r="B40" s="33" t="s">
        <v>204</v>
      </c>
      <c r="C40" s="33"/>
      <c r="D40" s="33" t="s">
        <v>152</v>
      </c>
      <c r="E40" s="34"/>
      <c r="F40" s="34"/>
      <c r="G40" s="35" t="str">
        <f aca="true">IF(OR(E40="",J40=0),"",IF(F40&lt;&gt;"",F40-E40,TODAY()-E40))</f>
        <v/>
      </c>
      <c r="H40" s="29" t="s">
        <v>182</v>
      </c>
      <c r="I40" s="33"/>
      <c r="J40" s="32" t="n">
        <f aca="false">IF(OR(D40="",D40="Planned"),0,1)</f>
        <v>0</v>
      </c>
      <c r="K40" s="32" t="n">
        <f aca="false">IF(OR(D40="Under review",D40="Revision requested"),1,0)</f>
        <v>0</v>
      </c>
      <c r="L40" s="32" t="str">
        <f aca="false">IF(AND(J40=1,E40&lt;&gt;""),E40+ROW()/100000,"")</f>
        <v/>
      </c>
      <c r="M40" s="32" t="n">
        <f aca="false">IF(D40="Planned",ROW(),"")</f>
        <v>40</v>
      </c>
      <c r="N40" s="32" t="str">
        <f aca="true">IF(K40=1,IF(E40="",0,TODAY()-E40)+ROW()/100000,"")</f>
        <v/>
      </c>
      <c r="O40" s="32" t="str">
        <f aca="false">IF(N40="","",RANK(N40,$N$2:$N$1000))</f>
        <v/>
      </c>
    </row>
    <row r="41" customFormat="false" ht="15" hidden="false" customHeight="false" outlineLevel="0" collapsed="false">
      <c r="A41" s="33" t="s">
        <v>72</v>
      </c>
      <c r="B41" s="33" t="s">
        <v>205</v>
      </c>
      <c r="C41" s="33"/>
      <c r="D41" s="33" t="s">
        <v>152</v>
      </c>
      <c r="E41" s="34"/>
      <c r="F41" s="34"/>
      <c r="G41" s="35" t="str">
        <f aca="true">IF(OR(E41="",J41=0),"",IF(F41&lt;&gt;"",F41-E41,TODAY()-E41))</f>
        <v/>
      </c>
      <c r="H41" s="29" t="s">
        <v>206</v>
      </c>
      <c r="I41" s="33"/>
      <c r="J41" s="32" t="n">
        <f aca="false">IF(OR(D41="",D41="Planned"),0,1)</f>
        <v>0</v>
      </c>
      <c r="K41" s="32" t="n">
        <f aca="false">IF(OR(D41="Under review",D41="Revision requested"),1,0)</f>
        <v>0</v>
      </c>
      <c r="L41" s="32" t="str">
        <f aca="false">IF(AND(J41=1,E41&lt;&gt;""),E41+ROW()/100000,"")</f>
        <v/>
      </c>
      <c r="M41" s="32" t="n">
        <f aca="false">IF(D41="Planned",ROW(),"")</f>
        <v>41</v>
      </c>
      <c r="N41" s="32" t="str">
        <f aca="true">IF(K41=1,IF(E41="",0,TODAY()-E41)+ROW()/100000,"")</f>
        <v/>
      </c>
      <c r="O41" s="32" t="str">
        <f aca="false">IF(N41="","",RANK(N41,$N$2:$N$1000))</f>
        <v/>
      </c>
    </row>
    <row r="42" customFormat="false" ht="15" hidden="false" customHeight="false" outlineLevel="0" collapsed="false">
      <c r="A42" s="33" t="s">
        <v>72</v>
      </c>
      <c r="B42" s="33" t="s">
        <v>207</v>
      </c>
      <c r="C42" s="33" t="s">
        <v>181</v>
      </c>
      <c r="D42" s="33" t="s">
        <v>152</v>
      </c>
      <c r="E42" s="34"/>
      <c r="F42" s="34"/>
      <c r="G42" s="35" t="str">
        <f aca="true">IF(OR(E42="",J42=0),"",IF(F42&lt;&gt;"",F42-E42,TODAY()-E42))</f>
        <v/>
      </c>
      <c r="H42" s="29" t="s">
        <v>208</v>
      </c>
      <c r="I42" s="33"/>
      <c r="J42" s="32" t="n">
        <f aca="false">IF(OR(D42="",D42="Planned"),0,1)</f>
        <v>0</v>
      </c>
      <c r="K42" s="32" t="n">
        <f aca="false">IF(OR(D42="Under review",D42="Revision requested"),1,0)</f>
        <v>0</v>
      </c>
      <c r="L42" s="32" t="str">
        <f aca="false">IF(AND(J42=1,E42&lt;&gt;""),E42+ROW()/100000,"")</f>
        <v/>
      </c>
      <c r="M42" s="32" t="n">
        <f aca="false">IF(D42="Planned",ROW(),"")</f>
        <v>42</v>
      </c>
      <c r="N42" s="32" t="str">
        <f aca="true">IF(K42=1,IF(E42="",0,TODAY()-E42)+ROW()/100000,"")</f>
        <v/>
      </c>
      <c r="O42" s="32" t="str">
        <f aca="false">IF(N42="","",RANK(N42,$N$2:$N$1000))</f>
        <v/>
      </c>
    </row>
    <row r="43" customFormat="false" ht="15" hidden="false" customHeight="false" outlineLevel="0" collapsed="false">
      <c r="A43" s="33" t="s">
        <v>72</v>
      </c>
      <c r="B43" s="33" t="s">
        <v>209</v>
      </c>
      <c r="C43" s="33" t="s">
        <v>157</v>
      </c>
      <c r="D43" s="33" t="s">
        <v>152</v>
      </c>
      <c r="E43" s="34"/>
      <c r="F43" s="34"/>
      <c r="G43" s="35" t="str">
        <f aca="true">IF(OR(E43="",J43=0),"",IF(F43&lt;&gt;"",F43-E43,TODAY()-E43))</f>
        <v/>
      </c>
      <c r="H43" s="29"/>
      <c r="I43" s="33"/>
      <c r="J43" s="32" t="n">
        <f aca="false">IF(OR(D43="",D43="Planned"),0,1)</f>
        <v>0</v>
      </c>
      <c r="K43" s="32" t="n">
        <f aca="false">IF(OR(D43="Under review",D43="Revision requested"),1,0)</f>
        <v>0</v>
      </c>
      <c r="L43" s="32" t="str">
        <f aca="false">IF(AND(J43=1,E43&lt;&gt;""),E43+ROW()/100000,"")</f>
        <v/>
      </c>
      <c r="M43" s="32" t="n">
        <f aca="false">IF(D43="Planned",ROW(),"")</f>
        <v>43</v>
      </c>
      <c r="N43" s="32" t="str">
        <f aca="true">IF(K43=1,IF(E43="",0,TODAY()-E43)+ROW()/100000,"")</f>
        <v/>
      </c>
      <c r="O43" s="32" t="str">
        <f aca="false">IF(N43="","",RANK(N43,$N$2:$N$1000))</f>
        <v/>
      </c>
    </row>
    <row r="44" customFormat="false" ht="15" hidden="false" customHeight="false" outlineLevel="0" collapsed="false">
      <c r="A44" s="33" t="s">
        <v>72</v>
      </c>
      <c r="B44" s="33" t="s">
        <v>210</v>
      </c>
      <c r="C44" s="33" t="s">
        <v>157</v>
      </c>
      <c r="D44" s="33" t="s">
        <v>152</v>
      </c>
      <c r="E44" s="34"/>
      <c r="F44" s="34"/>
      <c r="G44" s="35" t="str">
        <f aca="true">IF(OR(E44="",J44=0),"",IF(F44&lt;&gt;"",F44-E44,TODAY()-E44))</f>
        <v/>
      </c>
      <c r="H44" s="29" t="s">
        <v>211</v>
      </c>
      <c r="I44" s="33"/>
      <c r="J44" s="32" t="n">
        <f aca="false">IF(OR(D44="",D44="Planned"),0,1)</f>
        <v>0</v>
      </c>
      <c r="K44" s="32" t="n">
        <f aca="false">IF(OR(D44="Under review",D44="Revision requested"),1,0)</f>
        <v>0</v>
      </c>
      <c r="L44" s="32" t="str">
        <f aca="false">IF(AND(J44=1,E44&lt;&gt;""),E44+ROW()/100000,"")</f>
        <v/>
      </c>
      <c r="M44" s="32" t="n">
        <f aca="false">IF(D44="Planned",ROW(),"")</f>
        <v>44</v>
      </c>
      <c r="N44" s="32" t="str">
        <f aca="true">IF(K44=1,IF(E44="",0,TODAY()-E44)+ROW()/100000,"")</f>
        <v/>
      </c>
      <c r="O44" s="32" t="str">
        <f aca="false">IF(N44="","",RANK(N44,$N$2:$N$1000))</f>
        <v/>
      </c>
    </row>
    <row r="45" customFormat="false" ht="15" hidden="false" customHeight="false" outlineLevel="0" collapsed="false">
      <c r="A45" s="33" t="s">
        <v>72</v>
      </c>
      <c r="B45" s="33" t="s">
        <v>212</v>
      </c>
      <c r="C45" s="33" t="s">
        <v>147</v>
      </c>
      <c r="D45" s="33" t="s">
        <v>152</v>
      </c>
      <c r="E45" s="34"/>
      <c r="F45" s="34"/>
      <c r="G45" s="35" t="str">
        <f aca="true">IF(OR(E45="",J45=0),"",IF(F45&lt;&gt;"",F45-E45,TODAY()-E45))</f>
        <v/>
      </c>
      <c r="H45" s="29"/>
      <c r="I45" s="33"/>
      <c r="J45" s="32" t="n">
        <f aca="false">IF(OR(D45="",D45="Planned"),0,1)</f>
        <v>0</v>
      </c>
      <c r="K45" s="32" t="n">
        <f aca="false">IF(OR(D45="Under review",D45="Revision requested"),1,0)</f>
        <v>0</v>
      </c>
      <c r="L45" s="32" t="str">
        <f aca="false">IF(AND(J45=1,E45&lt;&gt;""),E45+ROW()/100000,"")</f>
        <v/>
      </c>
      <c r="M45" s="32" t="n">
        <f aca="false">IF(D45="Planned",ROW(),"")</f>
        <v>45</v>
      </c>
      <c r="N45" s="32" t="str">
        <f aca="true">IF(K45=1,IF(E45="",0,TODAY()-E45)+ROW()/100000,"")</f>
        <v/>
      </c>
      <c r="O45" s="32" t="str">
        <f aca="false">IF(N45="","",RANK(N45,$N$2:$N$1000))</f>
        <v/>
      </c>
    </row>
    <row r="46" customFormat="false" ht="15" hidden="false" customHeight="false" outlineLevel="0" collapsed="false">
      <c r="A46" s="33" t="s">
        <v>72</v>
      </c>
      <c r="B46" s="33" t="s">
        <v>213</v>
      </c>
      <c r="C46" s="33" t="s">
        <v>136</v>
      </c>
      <c r="D46" s="33" t="s">
        <v>152</v>
      </c>
      <c r="E46" s="34"/>
      <c r="F46" s="34"/>
      <c r="G46" s="35" t="str">
        <f aca="true">IF(OR(E46="",J46=0),"",IF(F46&lt;&gt;"",F46-E46,TODAY()-E46))</f>
        <v/>
      </c>
      <c r="H46" s="29"/>
      <c r="I46" s="33"/>
      <c r="J46" s="32" t="n">
        <f aca="false">IF(OR(D46="",D46="Planned"),0,1)</f>
        <v>0</v>
      </c>
      <c r="K46" s="32" t="n">
        <f aca="false">IF(OR(D46="Under review",D46="Revision requested"),1,0)</f>
        <v>0</v>
      </c>
      <c r="L46" s="32" t="str">
        <f aca="false">IF(AND(J46=1,E46&lt;&gt;""),E46+ROW()/100000,"")</f>
        <v/>
      </c>
      <c r="M46" s="32" t="n">
        <f aca="false">IF(D46="Planned",ROW(),"")</f>
        <v>46</v>
      </c>
      <c r="N46" s="32" t="str">
        <f aca="true">IF(K46=1,IF(E46="",0,TODAY()-E46)+ROW()/100000,"")</f>
        <v/>
      </c>
      <c r="O46" s="32" t="str">
        <f aca="false">IF(N46="","",RANK(N46,$N$2:$N$1000))</f>
        <v/>
      </c>
    </row>
    <row r="47" customFormat="false" ht="15" hidden="false" customHeight="false" outlineLevel="0" collapsed="false">
      <c r="A47" s="33" t="s">
        <v>72</v>
      </c>
      <c r="B47" s="33" t="s">
        <v>214</v>
      </c>
      <c r="C47" s="33" t="s">
        <v>215</v>
      </c>
      <c r="D47" s="33" t="s">
        <v>152</v>
      </c>
      <c r="E47" s="34"/>
      <c r="F47" s="34"/>
      <c r="G47" s="35" t="str">
        <f aca="true">IF(OR(E47="",J47=0),"",IF(F47&lt;&gt;"",F47-E47,TODAY()-E47))</f>
        <v/>
      </c>
      <c r="H47" s="29"/>
      <c r="I47" s="33"/>
      <c r="J47" s="32" t="n">
        <f aca="false">IF(OR(D47="",D47="Planned"),0,1)</f>
        <v>0</v>
      </c>
      <c r="K47" s="32" t="n">
        <f aca="false">IF(OR(D47="Under review",D47="Revision requested"),1,0)</f>
        <v>0</v>
      </c>
      <c r="L47" s="32" t="str">
        <f aca="false">IF(AND(J47=1,E47&lt;&gt;""),E47+ROW()/100000,"")</f>
        <v/>
      </c>
      <c r="M47" s="32" t="n">
        <f aca="false">IF(D47="Planned",ROW(),"")</f>
        <v>47</v>
      </c>
      <c r="N47" s="32" t="str">
        <f aca="true">IF(K47=1,IF(E47="",0,TODAY()-E47)+ROW()/100000,"")</f>
        <v/>
      </c>
      <c r="O47" s="32" t="str">
        <f aca="false">IF(N47="","",RANK(N47,$N$2:$N$1000))</f>
        <v/>
      </c>
    </row>
    <row r="48" customFormat="false" ht="15" hidden="false" customHeight="false" outlineLevel="0" collapsed="false">
      <c r="A48" s="33" t="s">
        <v>72</v>
      </c>
      <c r="B48" s="33" t="s">
        <v>216</v>
      </c>
      <c r="C48" s="33" t="s">
        <v>215</v>
      </c>
      <c r="D48" s="33" t="s">
        <v>152</v>
      </c>
      <c r="E48" s="34"/>
      <c r="F48" s="34"/>
      <c r="G48" s="35" t="str">
        <f aca="true">IF(OR(E48="",J48=0),"",IF(F48&lt;&gt;"",F48-E48,TODAY()-E48))</f>
        <v/>
      </c>
      <c r="H48" s="29"/>
      <c r="I48" s="33"/>
      <c r="J48" s="32" t="n">
        <f aca="false">IF(OR(D48="",D48="Planned"),0,1)</f>
        <v>0</v>
      </c>
      <c r="K48" s="32" t="n">
        <f aca="false">IF(OR(D48="Under review",D48="Revision requested"),1,0)</f>
        <v>0</v>
      </c>
      <c r="L48" s="32" t="str">
        <f aca="false">IF(AND(J48=1,E48&lt;&gt;""),E48+ROW()/100000,"")</f>
        <v/>
      </c>
      <c r="M48" s="32" t="n">
        <f aca="false">IF(D48="Planned",ROW(),"")</f>
        <v>48</v>
      </c>
      <c r="N48" s="32" t="str">
        <f aca="true">IF(K48=1,IF(E48="",0,TODAY()-E48)+ROW()/100000,"")</f>
        <v/>
      </c>
      <c r="O48" s="32" t="str">
        <f aca="false">IF(N48="","",RANK(N48,$N$2:$N$1000))</f>
        <v/>
      </c>
    </row>
    <row r="49" customFormat="false" ht="15" hidden="false" customHeight="false" outlineLevel="0" collapsed="false">
      <c r="A49" s="33" t="s">
        <v>72</v>
      </c>
      <c r="B49" s="33" t="s">
        <v>217</v>
      </c>
      <c r="C49" s="33" t="s">
        <v>215</v>
      </c>
      <c r="D49" s="33" t="s">
        <v>152</v>
      </c>
      <c r="E49" s="34"/>
      <c r="F49" s="34"/>
      <c r="G49" s="35" t="str">
        <f aca="true">IF(OR(E49="",J49=0),"",IF(F49&lt;&gt;"",F49-E49,TODAY()-E49))</f>
        <v/>
      </c>
      <c r="H49" s="29"/>
      <c r="I49" s="33"/>
      <c r="J49" s="32" t="n">
        <f aca="false">IF(OR(D49="",D49="Planned"),0,1)</f>
        <v>0</v>
      </c>
      <c r="K49" s="32" t="n">
        <f aca="false">IF(OR(D49="Under review",D49="Revision requested"),1,0)</f>
        <v>0</v>
      </c>
      <c r="L49" s="32" t="str">
        <f aca="false">IF(AND(J49=1,E49&lt;&gt;""),E49+ROW()/100000,"")</f>
        <v/>
      </c>
      <c r="M49" s="32" t="n">
        <f aca="false">IF(D49="Planned",ROW(),"")</f>
        <v>49</v>
      </c>
      <c r="N49" s="32" t="str">
        <f aca="true">IF(K49=1,IF(E49="",0,TODAY()-E49)+ROW()/100000,"")</f>
        <v/>
      </c>
      <c r="O49" s="32" t="str">
        <f aca="false">IF(N49="","",RANK(N49,$N$2:$N$1000))</f>
        <v/>
      </c>
    </row>
    <row r="50" customFormat="false" ht="15" hidden="false" customHeight="false" outlineLevel="0" collapsed="false">
      <c r="A50" s="33" t="s">
        <v>72</v>
      </c>
      <c r="B50" s="33" t="s">
        <v>218</v>
      </c>
      <c r="C50" s="33"/>
      <c r="D50" s="33" t="s">
        <v>152</v>
      </c>
      <c r="E50" s="34"/>
      <c r="F50" s="34"/>
      <c r="G50" s="35" t="str">
        <f aca="true">IF(OR(E50="",J50=0),"",IF(F50&lt;&gt;"",F50-E50,TODAY()-E50))</f>
        <v/>
      </c>
      <c r="H50" s="29"/>
      <c r="I50" s="33"/>
      <c r="J50" s="32" t="n">
        <f aca="false">IF(OR(D50="",D50="Planned"),0,1)</f>
        <v>0</v>
      </c>
      <c r="K50" s="32" t="n">
        <f aca="false">IF(OR(D50="Under review",D50="Revision requested"),1,0)</f>
        <v>0</v>
      </c>
      <c r="L50" s="32" t="str">
        <f aca="false">IF(AND(J50=1,E50&lt;&gt;""),E50+ROW()/100000,"")</f>
        <v/>
      </c>
      <c r="M50" s="32" t="n">
        <f aca="false">IF(D50="Planned",ROW(),"")</f>
        <v>50</v>
      </c>
      <c r="N50" s="32" t="str">
        <f aca="true">IF(K50=1,IF(E50="",0,TODAY()-E50)+ROW()/100000,"")</f>
        <v/>
      </c>
      <c r="O50" s="32" t="str">
        <f aca="false">IF(N50="","",RANK(N50,$N$2:$N$1000))</f>
        <v/>
      </c>
    </row>
    <row r="51" customFormat="false" ht="15" hidden="false" customHeight="false" outlineLevel="0" collapsed="false">
      <c r="A51" s="33" t="s">
        <v>72</v>
      </c>
      <c r="B51" s="33" t="s">
        <v>219</v>
      </c>
      <c r="C51" s="33"/>
      <c r="D51" s="33" t="s">
        <v>152</v>
      </c>
      <c r="E51" s="34"/>
      <c r="F51" s="34"/>
      <c r="G51" s="35" t="str">
        <f aca="true">IF(OR(E51="",J51=0),"",IF(F51&lt;&gt;"",F51-E51,TODAY()-E51))</f>
        <v/>
      </c>
      <c r="H51" s="29"/>
      <c r="I51" s="33"/>
      <c r="J51" s="32" t="n">
        <f aca="false">IF(OR(D51="",D51="Planned"),0,1)</f>
        <v>0</v>
      </c>
      <c r="K51" s="32" t="n">
        <f aca="false">IF(OR(D51="Under review",D51="Revision requested"),1,0)</f>
        <v>0</v>
      </c>
      <c r="L51" s="32" t="str">
        <f aca="false">IF(AND(J51=1,E51&lt;&gt;""),E51+ROW()/100000,"")</f>
        <v/>
      </c>
      <c r="M51" s="32" t="n">
        <f aca="false">IF(D51="Planned",ROW(),"")</f>
        <v>51</v>
      </c>
      <c r="N51" s="32" t="str">
        <f aca="true">IF(K51=1,IF(E51="",0,TODAY()-E51)+ROW()/100000,"")</f>
        <v/>
      </c>
      <c r="O51" s="32" t="str">
        <f aca="false">IF(N51="","",RANK(N51,$N$2:$N$1000))</f>
        <v/>
      </c>
    </row>
    <row r="52" customFormat="false" ht="15" hidden="false" customHeight="false" outlineLevel="0" collapsed="false">
      <c r="A52" s="33" t="s">
        <v>72</v>
      </c>
      <c r="B52" s="33" t="s">
        <v>220</v>
      </c>
      <c r="C52" s="33"/>
      <c r="D52" s="33" t="s">
        <v>152</v>
      </c>
      <c r="E52" s="34"/>
      <c r="F52" s="34"/>
      <c r="G52" s="35" t="str">
        <f aca="true">IF(OR(E52="",J52=0),"",IF(F52&lt;&gt;"",F52-E52,TODAY()-E52))</f>
        <v/>
      </c>
      <c r="H52" s="29"/>
      <c r="I52" s="33"/>
      <c r="J52" s="32" t="n">
        <f aca="false">IF(OR(D52="",D52="Planned"),0,1)</f>
        <v>0</v>
      </c>
      <c r="K52" s="32" t="n">
        <f aca="false">IF(OR(D52="Under review",D52="Revision requested"),1,0)</f>
        <v>0</v>
      </c>
      <c r="L52" s="32" t="str">
        <f aca="false">IF(AND(J52=1,E52&lt;&gt;""),E52+ROW()/100000,"")</f>
        <v/>
      </c>
      <c r="M52" s="32" t="n">
        <f aca="false">IF(D52="Planned",ROW(),"")</f>
        <v>52</v>
      </c>
      <c r="N52" s="32" t="str">
        <f aca="true">IF(K52=1,IF(E52="",0,TODAY()-E52)+ROW()/100000,"")</f>
        <v/>
      </c>
      <c r="O52" s="32" t="str">
        <f aca="false">IF(N52="","",RANK(N52,$N$2:$N$1000))</f>
        <v/>
      </c>
    </row>
    <row r="53" customFormat="false" ht="15" hidden="false" customHeight="false" outlineLevel="0" collapsed="false">
      <c r="A53" s="33" t="s">
        <v>72</v>
      </c>
      <c r="B53" s="33" t="s">
        <v>221</v>
      </c>
      <c r="C53" s="33"/>
      <c r="D53" s="33" t="s">
        <v>152</v>
      </c>
      <c r="E53" s="34"/>
      <c r="F53" s="34"/>
      <c r="G53" s="35" t="str">
        <f aca="true">IF(OR(E53="",J53=0),"",IF(F53&lt;&gt;"",F53-E53,TODAY()-E53))</f>
        <v/>
      </c>
      <c r="H53" s="29"/>
      <c r="I53" s="33"/>
      <c r="J53" s="32" t="n">
        <f aca="false">IF(OR(D53="",D53="Planned"),0,1)</f>
        <v>0</v>
      </c>
      <c r="K53" s="32" t="n">
        <f aca="false">IF(OR(D53="Under review",D53="Revision requested"),1,0)</f>
        <v>0</v>
      </c>
      <c r="L53" s="32" t="str">
        <f aca="false">IF(AND(J53=1,E53&lt;&gt;""),E53+ROW()/100000,"")</f>
        <v/>
      </c>
      <c r="M53" s="32" t="n">
        <f aca="false">IF(D53="Planned",ROW(),"")</f>
        <v>53</v>
      </c>
      <c r="N53" s="32" t="str">
        <f aca="true">IF(K53=1,IF(E53="",0,TODAY()-E53)+ROW()/100000,"")</f>
        <v/>
      </c>
      <c r="O53" s="32" t="str">
        <f aca="false">IF(N53="","",RANK(N53,$N$2:$N$1000))</f>
        <v/>
      </c>
    </row>
    <row r="54" customFormat="false" ht="15" hidden="false" customHeight="false" outlineLevel="0" collapsed="false">
      <c r="A54" s="33" t="s">
        <v>72</v>
      </c>
      <c r="B54" s="33" t="s">
        <v>222</v>
      </c>
      <c r="C54" s="33"/>
      <c r="D54" s="33" t="s">
        <v>152</v>
      </c>
      <c r="E54" s="34"/>
      <c r="F54" s="34"/>
      <c r="G54" s="35" t="str">
        <f aca="true">IF(OR(E54="",J54=0),"",IF(F54&lt;&gt;"",F54-E54,TODAY()-E54))</f>
        <v/>
      </c>
      <c r="H54" s="29"/>
      <c r="I54" s="33"/>
      <c r="J54" s="32" t="n">
        <f aca="false">IF(OR(D54="",D54="Planned"),0,1)</f>
        <v>0</v>
      </c>
      <c r="K54" s="32" t="n">
        <f aca="false">IF(OR(D54="Under review",D54="Revision requested"),1,0)</f>
        <v>0</v>
      </c>
      <c r="L54" s="32" t="str">
        <f aca="false">IF(AND(J54=1,E54&lt;&gt;""),E54+ROW()/100000,"")</f>
        <v/>
      </c>
      <c r="M54" s="32" t="n">
        <f aca="false">IF(D54="Planned",ROW(),"")</f>
        <v>54</v>
      </c>
      <c r="N54" s="32" t="str">
        <f aca="true">IF(K54=1,IF(E54="",0,TODAY()-E54)+ROW()/100000,"")</f>
        <v/>
      </c>
      <c r="O54" s="32" t="str">
        <f aca="false">IF(N54="","",RANK(N54,$N$2:$N$1000))</f>
        <v/>
      </c>
    </row>
    <row r="55" customFormat="false" ht="15" hidden="false" customHeight="false" outlineLevel="0" collapsed="false">
      <c r="A55" s="33" t="s">
        <v>72</v>
      </c>
      <c r="B55" s="33" t="s">
        <v>223</v>
      </c>
      <c r="C55" s="33"/>
      <c r="D55" s="33" t="s">
        <v>152</v>
      </c>
      <c r="E55" s="34"/>
      <c r="F55" s="34"/>
      <c r="G55" s="35" t="str">
        <f aca="true">IF(OR(E55="",J55=0),"",IF(F55&lt;&gt;"",F55-E55,TODAY()-E55))</f>
        <v/>
      </c>
      <c r="H55" s="29"/>
      <c r="I55" s="33"/>
      <c r="J55" s="32" t="n">
        <f aca="false">IF(OR(D55="",D55="Planned"),0,1)</f>
        <v>0</v>
      </c>
      <c r="K55" s="32" t="n">
        <f aca="false">IF(OR(D55="Under review",D55="Revision requested"),1,0)</f>
        <v>0</v>
      </c>
      <c r="L55" s="32" t="str">
        <f aca="false">IF(AND(J55=1,E55&lt;&gt;""),E55+ROW()/100000,"")</f>
        <v/>
      </c>
      <c r="M55" s="32" t="n">
        <f aca="false">IF(D55="Planned",ROW(),"")</f>
        <v>55</v>
      </c>
      <c r="N55" s="32" t="str">
        <f aca="true">IF(K55=1,IF(E55="",0,TODAY()-E55)+ROW()/100000,"")</f>
        <v/>
      </c>
      <c r="O55" s="32" t="str">
        <f aca="false">IF(N55="","",RANK(N55,$N$2:$N$1000))</f>
        <v/>
      </c>
    </row>
    <row r="56" customFormat="false" ht="15" hidden="false" customHeight="false" outlineLevel="0" collapsed="false">
      <c r="A56" s="33" t="s">
        <v>72</v>
      </c>
      <c r="B56" s="33" t="s">
        <v>224</v>
      </c>
      <c r="C56" s="33"/>
      <c r="D56" s="33" t="s">
        <v>152</v>
      </c>
      <c r="E56" s="34"/>
      <c r="F56" s="34"/>
      <c r="G56" s="35" t="str">
        <f aca="true">IF(OR(E56="",J56=0),"",IF(F56&lt;&gt;"",F56-E56,TODAY()-E56))</f>
        <v/>
      </c>
      <c r="H56" s="29"/>
      <c r="I56" s="33"/>
      <c r="J56" s="32" t="n">
        <f aca="false">IF(OR(D56="",D56="Planned"),0,1)</f>
        <v>0</v>
      </c>
      <c r="K56" s="32" t="n">
        <f aca="false">IF(OR(D56="Under review",D56="Revision requested"),1,0)</f>
        <v>0</v>
      </c>
      <c r="L56" s="32" t="str">
        <f aca="false">IF(AND(J56=1,E56&lt;&gt;""),E56+ROW()/100000,"")</f>
        <v/>
      </c>
      <c r="M56" s="32" t="n">
        <f aca="false">IF(D56="Planned",ROW(),"")</f>
        <v>56</v>
      </c>
      <c r="N56" s="32" t="str">
        <f aca="true">IF(K56=1,IF(E56="",0,TODAY()-E56)+ROW()/100000,"")</f>
        <v/>
      </c>
      <c r="O56" s="32" t="str">
        <f aca="false">IF(N56="","",RANK(N56,$N$2:$N$1000))</f>
        <v/>
      </c>
    </row>
    <row r="57" customFormat="false" ht="15" hidden="false" customHeight="false" outlineLevel="0" collapsed="false">
      <c r="A57" s="33" t="s">
        <v>72</v>
      </c>
      <c r="B57" s="33" t="s">
        <v>225</v>
      </c>
      <c r="C57" s="33"/>
      <c r="D57" s="33" t="s">
        <v>152</v>
      </c>
      <c r="E57" s="34"/>
      <c r="F57" s="34"/>
      <c r="G57" s="35" t="str">
        <f aca="true">IF(OR(E57="",J57=0),"",IF(F57&lt;&gt;"",F57-E57,TODAY()-E57))</f>
        <v/>
      </c>
      <c r="H57" s="29"/>
      <c r="I57" s="33"/>
      <c r="J57" s="32" t="n">
        <f aca="false">IF(OR(D57="",D57="Planned"),0,1)</f>
        <v>0</v>
      </c>
      <c r="K57" s="32" t="n">
        <f aca="false">IF(OR(D57="Under review",D57="Revision requested"),1,0)</f>
        <v>0</v>
      </c>
      <c r="L57" s="32" t="str">
        <f aca="false">IF(AND(J57=1,E57&lt;&gt;""),E57+ROW()/100000,"")</f>
        <v/>
      </c>
      <c r="M57" s="32" t="n">
        <f aca="false">IF(D57="Planned",ROW(),"")</f>
        <v>57</v>
      </c>
      <c r="N57" s="32" t="str">
        <f aca="true">IF(K57=1,IF(E57="",0,TODAY()-E57)+ROW()/100000,"")</f>
        <v/>
      </c>
      <c r="O57" s="32" t="str">
        <f aca="false">IF(N57="","",RANK(N57,$N$2:$N$1000))</f>
        <v/>
      </c>
    </row>
    <row r="58" customFormat="false" ht="15" hidden="false" customHeight="false" outlineLevel="0" collapsed="false">
      <c r="A58" s="33" t="s">
        <v>72</v>
      </c>
      <c r="B58" s="33" t="s">
        <v>226</v>
      </c>
      <c r="C58" s="33" t="s">
        <v>227</v>
      </c>
      <c r="D58" s="33" t="s">
        <v>152</v>
      </c>
      <c r="E58" s="34"/>
      <c r="F58" s="34"/>
      <c r="G58" s="35" t="str">
        <f aca="true">IF(OR(E58="",J58=0),"",IF(F58&lt;&gt;"",F58-E58,TODAY()-E58))</f>
        <v/>
      </c>
      <c r="H58" s="29"/>
      <c r="I58" s="33"/>
      <c r="J58" s="32" t="n">
        <f aca="false">IF(OR(D58="",D58="Planned"),0,1)</f>
        <v>0</v>
      </c>
      <c r="K58" s="32" t="n">
        <f aca="false">IF(OR(D58="Under review",D58="Revision requested"),1,0)</f>
        <v>0</v>
      </c>
      <c r="L58" s="32" t="str">
        <f aca="false">IF(AND(J58=1,E58&lt;&gt;""),E58+ROW()/100000,"")</f>
        <v/>
      </c>
      <c r="M58" s="32" t="n">
        <f aca="false">IF(D58="Planned",ROW(),"")</f>
        <v>58</v>
      </c>
      <c r="N58" s="32" t="str">
        <f aca="true">IF(K58=1,IF(E58="",0,TODAY()-E58)+ROW()/100000,"")</f>
        <v/>
      </c>
      <c r="O58" s="32" t="str">
        <f aca="false">IF(N58="","",RANK(N58,$N$2:$N$1000))</f>
        <v/>
      </c>
    </row>
    <row r="59" customFormat="false" ht="15" hidden="false" customHeight="false" outlineLevel="0" collapsed="false">
      <c r="A59" s="33" t="s">
        <v>75</v>
      </c>
      <c r="B59" s="33" t="s">
        <v>228</v>
      </c>
      <c r="C59" s="33"/>
      <c r="D59" s="33" t="s">
        <v>137</v>
      </c>
      <c r="E59" s="34" t="n">
        <v>46178</v>
      </c>
      <c r="F59" s="34" t="n">
        <v>46198</v>
      </c>
      <c r="G59" s="35" t="n">
        <f aca="true">IF(OR(E59="",J59=0),"",IF(F59&lt;&gt;"",F59-E59,TODAY()-E59))</f>
        <v>20</v>
      </c>
      <c r="H59" s="29"/>
      <c r="I59" s="33" t="s">
        <v>229</v>
      </c>
      <c r="J59" s="32" t="n">
        <f aca="false">IF(OR(D59="",D59="Planned"),0,1)</f>
        <v>1</v>
      </c>
      <c r="K59" s="32" t="n">
        <f aca="false">IF(OR(D59="Under review",D59="Revision requested"),1,0)</f>
        <v>0</v>
      </c>
      <c r="L59" s="36" t="n">
        <f aca="false">IF(AND(J59=1,E59&lt;&gt;""),E59+ROW()/100000,"")</f>
        <v>46178.00059</v>
      </c>
      <c r="M59" s="32" t="str">
        <f aca="false">IF(D59="Planned",ROW(),"")</f>
        <v/>
      </c>
      <c r="N59" s="32" t="str">
        <f aca="true">IF(K59=1,IF(E59="",0,TODAY()-E59)+ROW()/100000,"")</f>
        <v/>
      </c>
      <c r="O59" s="32" t="str">
        <f aca="false">IF(N59="","",RANK(N59,$N$2:$N$1000))</f>
        <v/>
      </c>
    </row>
    <row r="60" customFormat="false" ht="15" hidden="false" customHeight="false" outlineLevel="0" collapsed="false">
      <c r="A60" s="33" t="s">
        <v>75</v>
      </c>
      <c r="B60" s="33" t="s">
        <v>230</v>
      </c>
      <c r="C60" s="33" t="s">
        <v>142</v>
      </c>
      <c r="D60" s="33" t="s">
        <v>137</v>
      </c>
      <c r="E60" s="34" t="n">
        <v>46200</v>
      </c>
      <c r="F60" s="34" t="n">
        <v>46204</v>
      </c>
      <c r="G60" s="35" t="n">
        <f aca="true">IF(OR(E60="",J60=0),"",IF(F60&lt;&gt;"",F60-E60,TODAY()-E60))</f>
        <v>4</v>
      </c>
      <c r="H60" s="29"/>
      <c r="I60" s="33" t="s">
        <v>76</v>
      </c>
      <c r="J60" s="32" t="n">
        <f aca="false">IF(OR(D60="",D60="Planned"),0,1)</f>
        <v>1</v>
      </c>
      <c r="K60" s="32" t="n">
        <f aca="false">IF(OR(D60="Under review",D60="Revision requested"),1,0)</f>
        <v>0</v>
      </c>
      <c r="L60" s="36" t="n">
        <f aca="false">IF(AND(J60=1,E60&lt;&gt;""),E60+ROW()/100000,"")</f>
        <v>46200.0006</v>
      </c>
      <c r="M60" s="32" t="str">
        <f aca="false">IF(D60="Planned",ROW(),"")</f>
        <v/>
      </c>
      <c r="N60" s="32" t="str">
        <f aca="true">IF(K60=1,IF(E60="",0,TODAY()-E60)+ROW()/100000,"")</f>
        <v/>
      </c>
      <c r="O60" s="32" t="str">
        <f aca="false">IF(N60="","",RANK(N60,$N$2:$N$1000))</f>
        <v/>
      </c>
    </row>
    <row r="61" customFormat="false" ht="15" hidden="false" customHeight="false" outlineLevel="0" collapsed="false">
      <c r="A61" s="33" t="s">
        <v>77</v>
      </c>
      <c r="B61" s="33" t="s">
        <v>231</v>
      </c>
      <c r="C61" s="33" t="s">
        <v>136</v>
      </c>
      <c r="D61" s="33" t="s">
        <v>137</v>
      </c>
      <c r="E61" s="34" t="n">
        <v>46295</v>
      </c>
      <c r="F61" s="34" t="n">
        <v>46295</v>
      </c>
      <c r="G61" s="35" t="n">
        <f aca="true">IF(OR(E61="",J61=0),"",IF(F61&lt;&gt;"",F61-E61,TODAY()-E61))</f>
        <v>0</v>
      </c>
      <c r="H61" s="29"/>
      <c r="I61" s="33"/>
      <c r="J61" s="32" t="n">
        <f aca="false">IF(OR(D61="",D61="Planned"),0,1)</f>
        <v>1</v>
      </c>
      <c r="K61" s="32" t="n">
        <f aca="false">IF(OR(D61="Under review",D61="Revision requested"),1,0)</f>
        <v>0</v>
      </c>
      <c r="L61" s="36" t="n">
        <f aca="false">IF(AND(J61=1,E61&lt;&gt;""),E61+ROW()/100000,"")</f>
        <v>46295.00061</v>
      </c>
      <c r="M61" s="32" t="str">
        <f aca="false">IF(D61="Planned",ROW(),"")</f>
        <v/>
      </c>
      <c r="N61" s="32" t="str">
        <f aca="true">IF(K61=1,IF(E61="",0,TODAY()-E61)+ROW()/100000,"")</f>
        <v/>
      </c>
      <c r="O61" s="32" t="str">
        <f aca="false">IF(N61="","",RANK(N61,$N$2:$N$1000))</f>
        <v/>
      </c>
    </row>
    <row r="62" customFormat="false" ht="15" hidden="false" customHeight="false" outlineLevel="0" collapsed="false">
      <c r="A62" s="33" t="s">
        <v>77</v>
      </c>
      <c r="B62" s="33" t="s">
        <v>232</v>
      </c>
      <c r="C62" s="33" t="s">
        <v>136</v>
      </c>
      <c r="D62" s="33" t="s">
        <v>137</v>
      </c>
      <c r="E62" s="34" t="n">
        <v>46296</v>
      </c>
      <c r="F62" s="34" t="n">
        <v>46299</v>
      </c>
      <c r="G62" s="35" t="n">
        <f aca="true">IF(OR(E62="",J62=0),"",IF(F62&lt;&gt;"",F62-E62,TODAY()-E62))</f>
        <v>3</v>
      </c>
      <c r="H62" s="29"/>
      <c r="I62" s="33"/>
      <c r="J62" s="32" t="n">
        <f aca="false">IF(OR(D62="",D62="Planned"),0,1)</f>
        <v>1</v>
      </c>
      <c r="K62" s="32" t="n">
        <f aca="false">IF(OR(D62="Under review",D62="Revision requested"),1,0)</f>
        <v>0</v>
      </c>
      <c r="L62" s="36" t="n">
        <f aca="false">IF(AND(J62=1,E62&lt;&gt;""),E62+ROW()/100000,"")</f>
        <v>46296.00062</v>
      </c>
      <c r="M62" s="32" t="str">
        <f aca="false">IF(D62="Planned",ROW(),"")</f>
        <v/>
      </c>
      <c r="N62" s="32" t="str">
        <f aca="true">IF(K62=1,IF(E62="",0,TODAY()-E62)+ROW()/100000,"")</f>
        <v/>
      </c>
      <c r="O62" s="32" t="str">
        <f aca="false">IF(N62="","",RANK(N62,$N$2:$N$1000))</f>
        <v/>
      </c>
    </row>
    <row r="63" customFormat="false" ht="15" hidden="false" customHeight="false" outlineLevel="0" collapsed="false">
      <c r="A63" s="33" t="s">
        <v>77</v>
      </c>
      <c r="B63" s="33" t="s">
        <v>233</v>
      </c>
      <c r="C63" s="33" t="s">
        <v>136</v>
      </c>
      <c r="D63" s="33" t="s">
        <v>148</v>
      </c>
      <c r="E63" s="34" t="n">
        <v>46300</v>
      </c>
      <c r="F63" s="34"/>
      <c r="G63" s="35" t="n">
        <f aca="true">IF(OR(E63="",J63=0),"",IF(F63&lt;&gt;"",F63-E63,TODAY()-E63))</f>
        <v>6</v>
      </c>
      <c r="H63" s="29"/>
      <c r="I63" s="33"/>
      <c r="J63" s="32" t="n">
        <f aca="false">IF(OR(D63="",D63="Planned"),0,1)</f>
        <v>1</v>
      </c>
      <c r="K63" s="32" t="n">
        <f aca="false">IF(OR(D63="Under review",D63="Revision requested"),1,0)</f>
        <v>1</v>
      </c>
      <c r="L63" s="36" t="n">
        <f aca="false">IF(AND(J63=1,E63&lt;&gt;""),E63+ROW()/100000,"")</f>
        <v>46300.00063</v>
      </c>
      <c r="M63" s="32" t="str">
        <f aca="false">IF(D63="Planned",ROW(),"")</f>
        <v/>
      </c>
      <c r="N63" s="32" t="n">
        <f aca="true">IF(K63=1,IF(E63="",0,TODAY()-E63)+ROW()/100000,"")</f>
        <v>6.00063</v>
      </c>
      <c r="O63" s="32" t="n">
        <f aca="false">IF(N63="","",RANK(N63,$N$2:$N$1000))</f>
        <v>8</v>
      </c>
    </row>
    <row r="64" customFormat="false" ht="15" hidden="false" customHeight="false" outlineLevel="0" collapsed="false">
      <c r="A64" s="33" t="s">
        <v>77</v>
      </c>
      <c r="B64" s="33" t="s">
        <v>234</v>
      </c>
      <c r="C64" s="33" t="s">
        <v>136</v>
      </c>
      <c r="D64" s="33" t="s">
        <v>152</v>
      </c>
      <c r="E64" s="34"/>
      <c r="F64" s="34"/>
      <c r="G64" s="35" t="str">
        <f aca="true">IF(OR(E64="",J64=0),"",IF(F64&lt;&gt;"",F64-E64,TODAY()-E64))</f>
        <v/>
      </c>
      <c r="H64" s="29"/>
      <c r="I64" s="33"/>
      <c r="J64" s="32" t="n">
        <f aca="false">IF(OR(D64="",D64="Planned"),0,1)</f>
        <v>0</v>
      </c>
      <c r="K64" s="32" t="n">
        <f aca="false">IF(OR(D64="Under review",D64="Revision requested"),1,0)</f>
        <v>0</v>
      </c>
      <c r="L64" s="32" t="str">
        <f aca="false">IF(AND(J64=1,E64&lt;&gt;""),E64+ROW()/100000,"")</f>
        <v/>
      </c>
      <c r="M64" s="32" t="n">
        <f aca="false">IF(D64="Planned",ROW(),"")</f>
        <v>64</v>
      </c>
      <c r="N64" s="32" t="str">
        <f aca="true">IF(K64=1,IF(E64="",0,TODAY()-E64)+ROW()/100000,"")</f>
        <v/>
      </c>
      <c r="O64" s="32" t="str">
        <f aca="false">IF(N64="","",RANK(N64,$N$2:$N$1000))</f>
        <v/>
      </c>
    </row>
    <row r="65" customFormat="false" ht="15" hidden="false" customHeight="false" outlineLevel="0" collapsed="false">
      <c r="A65" s="33" t="s">
        <v>77</v>
      </c>
      <c r="B65" s="33" t="s">
        <v>235</v>
      </c>
      <c r="C65" s="33"/>
      <c r="D65" s="33" t="s">
        <v>152</v>
      </c>
      <c r="E65" s="34"/>
      <c r="F65" s="34"/>
      <c r="G65" s="35" t="str">
        <f aca="true">IF(OR(E65="",J65=0),"",IF(F65&lt;&gt;"",F65-E65,TODAY()-E65))</f>
        <v/>
      </c>
      <c r="H65" s="29"/>
      <c r="I65" s="33"/>
      <c r="J65" s="32" t="n">
        <f aca="false">IF(OR(D65="",D65="Planned"),0,1)</f>
        <v>0</v>
      </c>
      <c r="K65" s="32" t="n">
        <f aca="false">IF(OR(D65="Under review",D65="Revision requested"),1,0)</f>
        <v>0</v>
      </c>
      <c r="L65" s="32" t="str">
        <f aca="false">IF(AND(J65=1,E65&lt;&gt;""),E65+ROW()/100000,"")</f>
        <v/>
      </c>
      <c r="M65" s="32" t="n">
        <f aca="false">IF(D65="Planned",ROW(),"")</f>
        <v>65</v>
      </c>
      <c r="N65" s="32" t="str">
        <f aca="true">IF(K65=1,IF(E65="",0,TODAY()-E65)+ROW()/100000,"")</f>
        <v/>
      </c>
      <c r="O65" s="32" t="str">
        <f aca="false">IF(N65="","",RANK(N65,$N$2:$N$1000))</f>
        <v/>
      </c>
    </row>
    <row r="66" customFormat="false" ht="15" hidden="false" customHeight="false" outlineLevel="0" collapsed="false">
      <c r="A66" s="33" t="s">
        <v>77</v>
      </c>
      <c r="B66" s="33" t="s">
        <v>144</v>
      </c>
      <c r="C66" s="33" t="s">
        <v>136</v>
      </c>
      <c r="D66" s="33" t="s">
        <v>152</v>
      </c>
      <c r="E66" s="34"/>
      <c r="F66" s="34"/>
      <c r="G66" s="35" t="str">
        <f aca="true">IF(OR(E66="",J66=0),"",IF(F66&lt;&gt;"",F66-E66,TODAY()-E66))</f>
        <v/>
      </c>
      <c r="H66" s="29"/>
      <c r="I66" s="33"/>
      <c r="J66" s="32" t="n">
        <f aca="false">IF(OR(D66="",D66="Planned"),0,1)</f>
        <v>0</v>
      </c>
      <c r="K66" s="32" t="n">
        <f aca="false">IF(OR(D66="Under review",D66="Revision requested"),1,0)</f>
        <v>0</v>
      </c>
      <c r="L66" s="32" t="str">
        <f aca="false">IF(AND(J66=1,E66&lt;&gt;""),E66+ROW()/100000,"")</f>
        <v/>
      </c>
      <c r="M66" s="32" t="n">
        <f aca="false">IF(D66="Planned",ROW(),"")</f>
        <v>66</v>
      </c>
      <c r="N66" s="32" t="str">
        <f aca="true">IF(K66=1,IF(E66="",0,TODAY()-E66)+ROW()/100000,"")</f>
        <v/>
      </c>
      <c r="O66" s="32" t="str">
        <f aca="false">IF(N66="","",RANK(N66,$N$2:$N$1000))</f>
        <v/>
      </c>
    </row>
    <row r="67" customFormat="false" ht="15" hidden="false" customHeight="false" outlineLevel="0" collapsed="false">
      <c r="A67" s="33" t="s">
        <v>79</v>
      </c>
      <c r="B67" s="33" t="s">
        <v>236</v>
      </c>
      <c r="C67" s="33" t="s">
        <v>136</v>
      </c>
      <c r="D67" s="33" t="s">
        <v>152</v>
      </c>
      <c r="E67" s="34"/>
      <c r="F67" s="34"/>
      <c r="G67" s="35" t="str">
        <f aca="true">IF(OR(E67="",J67=0),"",IF(F67&lt;&gt;"",F67-E67,TODAY()-E67))</f>
        <v/>
      </c>
      <c r="H67" s="29" t="s">
        <v>237</v>
      </c>
      <c r="I67" s="33"/>
      <c r="J67" s="32" t="n">
        <f aca="false">IF(OR(D67="",D67="Planned"),0,1)</f>
        <v>0</v>
      </c>
      <c r="K67" s="32" t="n">
        <f aca="false">IF(OR(D67="Under review",D67="Revision requested"),1,0)</f>
        <v>0</v>
      </c>
      <c r="L67" s="32" t="str">
        <f aca="false">IF(AND(J67=1,E67&lt;&gt;""),E67+ROW()/100000,"")</f>
        <v/>
      </c>
      <c r="M67" s="32" t="n">
        <f aca="false">IF(D67="Planned",ROW(),"")</f>
        <v>67</v>
      </c>
      <c r="N67" s="32" t="str">
        <f aca="true">IF(K67=1,IF(E67="",0,TODAY()-E67)+ROW()/100000,"")</f>
        <v/>
      </c>
      <c r="O67" s="32" t="str">
        <f aca="false">IF(N67="","",RANK(N67,$N$2:$N$1000))</f>
        <v/>
      </c>
    </row>
    <row r="68" customFormat="false" ht="15" hidden="false" customHeight="false" outlineLevel="0" collapsed="false">
      <c r="A68" s="33" t="s">
        <v>81</v>
      </c>
      <c r="B68" s="33" t="s">
        <v>238</v>
      </c>
      <c r="C68" s="33" t="s">
        <v>239</v>
      </c>
      <c r="D68" s="33" t="s">
        <v>137</v>
      </c>
      <c r="E68" s="34" t="n">
        <v>46300</v>
      </c>
      <c r="F68" s="34" t="n">
        <v>46301</v>
      </c>
      <c r="G68" s="35" t="n">
        <f aca="true">IF(OR(E68="",J68=0),"",IF(F68&lt;&gt;"",F68-E68,TODAY()-E68))</f>
        <v>1</v>
      </c>
      <c r="H68" s="29" t="s">
        <v>240</v>
      </c>
      <c r="I68" s="33"/>
      <c r="J68" s="32" t="n">
        <f aca="false">IF(OR(D68="",D68="Planned"),0,1)</f>
        <v>1</v>
      </c>
      <c r="K68" s="32" t="n">
        <f aca="false">IF(OR(D68="Under review",D68="Revision requested"),1,0)</f>
        <v>0</v>
      </c>
      <c r="L68" s="36" t="n">
        <f aca="false">IF(AND(J68=1,E68&lt;&gt;""),E68+ROW()/100000,"")</f>
        <v>46300.00068</v>
      </c>
      <c r="M68" s="32" t="str">
        <f aca="false">IF(D68="Planned",ROW(),"")</f>
        <v/>
      </c>
      <c r="N68" s="32" t="str">
        <f aca="true">IF(K68=1,IF(E68="",0,TODAY()-E68)+ROW()/100000,"")</f>
        <v/>
      </c>
      <c r="O68" s="32" t="str">
        <f aca="false">IF(N68="","",RANK(N68,$N$2:$N$1000))</f>
        <v/>
      </c>
    </row>
    <row r="69" customFormat="false" ht="15" hidden="false" customHeight="false" outlineLevel="0" collapsed="false">
      <c r="A69" s="33" t="s">
        <v>81</v>
      </c>
      <c r="B69" s="33" t="s">
        <v>241</v>
      </c>
      <c r="C69" s="33" t="s">
        <v>239</v>
      </c>
      <c r="D69" s="33" t="s">
        <v>148</v>
      </c>
      <c r="E69" s="34" t="n">
        <v>46301</v>
      </c>
      <c r="F69" s="34"/>
      <c r="G69" s="35" t="n">
        <f aca="true">IF(OR(E69="",J69=0),"",IF(F69&lt;&gt;"",F69-E69,TODAY()-E69))</f>
        <v>5</v>
      </c>
      <c r="H69" s="29"/>
      <c r="I69" s="33"/>
      <c r="J69" s="32" t="n">
        <f aca="false">IF(OR(D69="",D69="Planned"),0,1)</f>
        <v>1</v>
      </c>
      <c r="K69" s="32" t="n">
        <f aca="false">IF(OR(D69="Under review",D69="Revision requested"),1,0)</f>
        <v>1</v>
      </c>
      <c r="L69" s="36" t="n">
        <f aca="false">IF(AND(J69=1,E69&lt;&gt;""),E69+ROW()/100000,"")</f>
        <v>46301.00069</v>
      </c>
      <c r="M69" s="32" t="str">
        <f aca="false">IF(D69="Planned",ROW(),"")</f>
        <v/>
      </c>
      <c r="N69" s="32" t="n">
        <f aca="true">IF(K69=1,IF(E69="",0,TODAY()-E69)+ROW()/100000,"")</f>
        <v>5.00069</v>
      </c>
      <c r="O69" s="32" t="n">
        <f aca="false">IF(N69="","",RANK(N69,$N$2:$N$1000))</f>
        <v>9</v>
      </c>
    </row>
    <row r="70" customFormat="false" ht="15" hidden="false" customHeight="false" outlineLevel="0" collapsed="false">
      <c r="A70" s="33" t="s">
        <v>81</v>
      </c>
      <c r="B70" s="33" t="s">
        <v>164</v>
      </c>
      <c r="C70" s="33" t="s">
        <v>165</v>
      </c>
      <c r="D70" s="33" t="s">
        <v>152</v>
      </c>
      <c r="E70" s="34"/>
      <c r="F70" s="34"/>
      <c r="G70" s="35" t="str">
        <f aca="true">IF(OR(E70="",J70=0),"",IF(F70&lt;&gt;"",F70-E70,TODAY()-E70))</f>
        <v/>
      </c>
      <c r="H70" s="29"/>
      <c r="I70" s="33"/>
      <c r="J70" s="32" t="n">
        <f aca="false">IF(OR(D70="",D70="Planned"),0,1)</f>
        <v>0</v>
      </c>
      <c r="K70" s="32" t="n">
        <f aca="false">IF(OR(D70="Under review",D70="Revision requested"),1,0)</f>
        <v>0</v>
      </c>
      <c r="L70" s="32" t="str">
        <f aca="false">IF(AND(J70=1,E70&lt;&gt;""),E70+ROW()/100000,"")</f>
        <v/>
      </c>
      <c r="M70" s="32" t="n">
        <f aca="false">IF(D70="Planned",ROW(),"")</f>
        <v>70</v>
      </c>
      <c r="N70" s="32" t="str">
        <f aca="true">IF(K70=1,IF(E70="",0,TODAY()-E70)+ROW()/100000,"")</f>
        <v/>
      </c>
      <c r="O70" s="32" t="str">
        <f aca="false">IF(N70="","",RANK(N70,$N$2:$N$1000))</f>
        <v/>
      </c>
    </row>
    <row r="71" customFormat="false" ht="15" hidden="false" customHeight="false" outlineLevel="0" collapsed="false">
      <c r="A71" s="33" t="s">
        <v>83</v>
      </c>
      <c r="B71" s="33" t="s">
        <v>242</v>
      </c>
      <c r="C71" s="33"/>
      <c r="D71" s="33" t="s">
        <v>137</v>
      </c>
      <c r="E71" s="34" t="n">
        <v>46258</v>
      </c>
      <c r="F71" s="34" t="n">
        <v>46298</v>
      </c>
      <c r="G71" s="35" t="n">
        <f aca="true">IF(OR(E71="",J71=0),"",IF(F71&lt;&gt;"",F71-E71,TODAY()-E71))</f>
        <v>40</v>
      </c>
      <c r="H71" s="29"/>
      <c r="I71" s="33"/>
      <c r="J71" s="32" t="n">
        <f aca="false">IF(OR(D71="",D71="Planned"),0,1)</f>
        <v>1</v>
      </c>
      <c r="K71" s="32" t="n">
        <f aca="false">IF(OR(D71="Under review",D71="Revision requested"),1,0)</f>
        <v>0</v>
      </c>
      <c r="L71" s="36" t="n">
        <f aca="false">IF(AND(J71=1,E71&lt;&gt;""),E71+ROW()/100000,"")</f>
        <v>46258.00071</v>
      </c>
      <c r="M71" s="32" t="str">
        <f aca="false">IF(D71="Planned",ROW(),"")</f>
        <v/>
      </c>
      <c r="N71" s="32" t="str">
        <f aca="true">IF(K71=1,IF(E71="",0,TODAY()-E71)+ROW()/100000,"")</f>
        <v/>
      </c>
      <c r="O71" s="32" t="str">
        <f aca="false">IF(N71="","",RANK(N71,$N$2:$N$1000))</f>
        <v/>
      </c>
    </row>
    <row r="72" customFormat="false" ht="15" hidden="false" customHeight="false" outlineLevel="0" collapsed="false">
      <c r="A72" s="33" t="s">
        <v>87</v>
      </c>
      <c r="B72" s="33" t="s">
        <v>243</v>
      </c>
      <c r="C72" s="33" t="s">
        <v>165</v>
      </c>
      <c r="D72" s="33" t="s">
        <v>137</v>
      </c>
      <c r="E72" s="34" t="n">
        <v>45774</v>
      </c>
      <c r="F72" s="34" t="n">
        <v>45853</v>
      </c>
      <c r="G72" s="35" t="n">
        <f aca="true">IF(OR(E72="",J72=0),"",IF(F72&lt;&gt;"",F72-E72,TODAY()-E72))</f>
        <v>79</v>
      </c>
      <c r="H72" s="29"/>
      <c r="I72" s="33" t="s">
        <v>244</v>
      </c>
      <c r="J72" s="32" t="n">
        <f aca="false">IF(OR(D72="",D72="Planned"),0,1)</f>
        <v>1</v>
      </c>
      <c r="K72" s="32" t="n">
        <f aca="false">IF(OR(D72="Under review",D72="Revision requested"),1,0)</f>
        <v>0</v>
      </c>
      <c r="L72" s="36" t="n">
        <f aca="false">IF(AND(J72=1,E72&lt;&gt;""),E72+ROW()/100000,"")</f>
        <v>45774.00072</v>
      </c>
      <c r="M72" s="32" t="str">
        <f aca="false">IF(D72="Planned",ROW(),"")</f>
        <v/>
      </c>
      <c r="N72" s="32" t="str">
        <f aca="true">IF(K72=1,IF(E72="",0,TODAY()-E72)+ROW()/100000,"")</f>
        <v/>
      </c>
      <c r="O72" s="32" t="str">
        <f aca="false">IF(N72="","",RANK(N72,$N$2:$N$1000))</f>
        <v/>
      </c>
    </row>
    <row r="73" customFormat="false" ht="15" hidden="false" customHeight="false" outlineLevel="0" collapsed="false">
      <c r="A73" s="33" t="s">
        <v>87</v>
      </c>
      <c r="B73" s="33" t="s">
        <v>243</v>
      </c>
      <c r="C73" s="33" t="s">
        <v>165</v>
      </c>
      <c r="D73" s="33" t="s">
        <v>137</v>
      </c>
      <c r="E73" s="34" t="n">
        <v>45842</v>
      </c>
      <c r="F73" s="34" t="n">
        <v>45853</v>
      </c>
      <c r="G73" s="35" t="n">
        <f aca="true">IF(OR(E73="",J73=0),"",IF(F73&lt;&gt;"",F73-E73,TODAY()-E73))</f>
        <v>11</v>
      </c>
      <c r="H73" s="29" t="s">
        <v>245</v>
      </c>
      <c r="I73" s="33"/>
      <c r="J73" s="32" t="n">
        <f aca="false">IF(OR(D73="",D73="Planned"),0,1)</f>
        <v>1</v>
      </c>
      <c r="K73" s="32" t="n">
        <f aca="false">IF(OR(D73="Under review",D73="Revision requested"),1,0)</f>
        <v>0</v>
      </c>
      <c r="L73" s="36" t="n">
        <f aca="false">IF(AND(J73=1,E73&lt;&gt;""),E73+ROW()/100000,"")</f>
        <v>45842.00073</v>
      </c>
      <c r="M73" s="32" t="str">
        <f aca="false">IF(D73="Planned",ROW(),"")</f>
        <v/>
      </c>
      <c r="N73" s="32" t="str">
        <f aca="true">IF(K73=1,IF(E73="",0,TODAY()-E73)+ROW()/100000,"")</f>
        <v/>
      </c>
      <c r="O73" s="32" t="str">
        <f aca="false">IF(N73="","",RANK(N73,$N$2:$N$1000))</f>
        <v/>
      </c>
    </row>
    <row r="74" customFormat="false" ht="15" hidden="false" customHeight="false" outlineLevel="0" collapsed="false">
      <c r="A74" s="33" t="s">
        <v>87</v>
      </c>
      <c r="B74" s="33" t="s">
        <v>135</v>
      </c>
      <c r="C74" s="33" t="s">
        <v>136</v>
      </c>
      <c r="D74" s="33" t="s">
        <v>137</v>
      </c>
      <c r="E74" s="34" t="n">
        <v>45853</v>
      </c>
      <c r="F74" s="34" t="n">
        <v>46036</v>
      </c>
      <c r="G74" s="35" t="n">
        <f aca="true">IF(OR(E74="",J74=0),"",IF(F74&lt;&gt;"",F74-E74,TODAY()-E74))</f>
        <v>183</v>
      </c>
      <c r="H74" s="29" t="s">
        <v>246</v>
      </c>
      <c r="I74" s="33"/>
      <c r="J74" s="32" t="n">
        <f aca="false">IF(OR(D74="",D74="Planned"),0,1)</f>
        <v>1</v>
      </c>
      <c r="K74" s="32" t="n">
        <f aca="false">IF(OR(D74="Under review",D74="Revision requested"),1,0)</f>
        <v>0</v>
      </c>
      <c r="L74" s="36" t="n">
        <f aca="false">IF(AND(J74=1,E74&lt;&gt;""),E74+ROW()/100000,"")</f>
        <v>45853.00074</v>
      </c>
      <c r="M74" s="32" t="str">
        <f aca="false">IF(D74="Planned",ROW(),"")</f>
        <v/>
      </c>
      <c r="N74" s="32" t="str">
        <f aca="true">IF(K74=1,IF(E74="",0,TODAY()-E74)+ROW()/100000,"")</f>
        <v/>
      </c>
      <c r="O74" s="32" t="str">
        <f aca="false">IF(N74="","",RANK(N74,$N$2:$N$1000))</f>
        <v/>
      </c>
    </row>
    <row r="75" customFormat="false" ht="15" hidden="false" customHeight="false" outlineLevel="0" collapsed="false">
      <c r="A75" s="33" t="s">
        <v>87</v>
      </c>
      <c r="B75" s="33" t="s">
        <v>247</v>
      </c>
      <c r="C75" s="33" t="s">
        <v>136</v>
      </c>
      <c r="D75" s="33" t="s">
        <v>248</v>
      </c>
      <c r="E75" s="34" t="n">
        <v>46037</v>
      </c>
      <c r="F75" s="34" t="n">
        <v>46042</v>
      </c>
      <c r="G75" s="35" t="n">
        <f aca="true">IF(OR(E75="",J75=0),"",IF(F75&lt;&gt;"",F75-E75,TODAY()-E75))</f>
        <v>5</v>
      </c>
      <c r="H75" s="29" t="s">
        <v>249</v>
      </c>
      <c r="I75" s="33"/>
      <c r="J75" s="32" t="n">
        <f aca="false">IF(OR(D75="",D75="Planned"),0,1)</f>
        <v>1</v>
      </c>
      <c r="K75" s="32" t="n">
        <f aca="false">IF(OR(D75="Under review",D75="Revision requested"),1,0)</f>
        <v>0</v>
      </c>
      <c r="L75" s="36" t="n">
        <f aca="false">IF(AND(J75=1,E75&lt;&gt;""),E75+ROW()/100000,"")</f>
        <v>46037.00075</v>
      </c>
      <c r="M75" s="32" t="str">
        <f aca="false">IF(D75="Planned",ROW(),"")</f>
        <v/>
      </c>
      <c r="N75" s="32" t="str">
        <f aca="true">IF(K75=1,IF(E75="",0,TODAY()-E75)+ROW()/100000,"")</f>
        <v/>
      </c>
      <c r="O75" s="32" t="str">
        <f aca="false">IF(N75="","",RANK(N75,$N$2:$N$1000))</f>
        <v/>
      </c>
    </row>
    <row r="76" customFormat="false" ht="15" hidden="false" customHeight="false" outlineLevel="0" collapsed="false">
      <c r="A76" s="33" t="s">
        <v>87</v>
      </c>
      <c r="B76" s="33" t="s">
        <v>247</v>
      </c>
      <c r="C76" s="33" t="s">
        <v>136</v>
      </c>
      <c r="D76" s="33" t="s">
        <v>137</v>
      </c>
      <c r="E76" s="34" t="n">
        <v>46042</v>
      </c>
      <c r="F76" s="34" t="n">
        <v>46063</v>
      </c>
      <c r="G76" s="35" t="n">
        <f aca="true">IF(OR(E76="",J76=0),"",IF(F76&lt;&gt;"",F76-E76,TODAY()-E76))</f>
        <v>21</v>
      </c>
      <c r="H76" s="29"/>
      <c r="I76" s="33"/>
      <c r="J76" s="32" t="n">
        <f aca="false">IF(OR(D76="",D76="Planned"),0,1)</f>
        <v>1</v>
      </c>
      <c r="K76" s="32" t="n">
        <f aca="false">IF(OR(D76="Under review",D76="Revision requested"),1,0)</f>
        <v>0</v>
      </c>
      <c r="L76" s="36" t="n">
        <f aca="false">IF(AND(J76=1,E76&lt;&gt;""),E76+ROW()/100000,"")</f>
        <v>46042.00076</v>
      </c>
      <c r="M76" s="32" t="str">
        <f aca="false">IF(D76="Planned",ROW(),"")</f>
        <v/>
      </c>
      <c r="N76" s="32" t="str">
        <f aca="true">IF(K76=1,IF(E76="",0,TODAY()-E76)+ROW()/100000,"")</f>
        <v/>
      </c>
      <c r="O76" s="32" t="str">
        <f aca="false">IF(N76="","",RANK(N76,$N$2:$N$1000))</f>
        <v/>
      </c>
    </row>
    <row r="77" customFormat="false" ht="15" hidden="false" customHeight="false" outlineLevel="0" collapsed="false">
      <c r="A77" s="33" t="s">
        <v>87</v>
      </c>
      <c r="B77" s="33" t="s">
        <v>250</v>
      </c>
      <c r="C77" s="33" t="s">
        <v>136</v>
      </c>
      <c r="D77" s="33" t="s">
        <v>137</v>
      </c>
      <c r="E77" s="34" t="n">
        <v>46063</v>
      </c>
      <c r="F77" s="34" t="n">
        <v>46077</v>
      </c>
      <c r="G77" s="35" t="n">
        <f aca="true">IF(OR(E77="",J77=0),"",IF(F77&lt;&gt;"",F77-E77,TODAY()-E77))</f>
        <v>14</v>
      </c>
      <c r="H77" s="29"/>
      <c r="I77" s="33"/>
      <c r="J77" s="32" t="n">
        <f aca="false">IF(OR(D77="",D77="Planned"),0,1)</f>
        <v>1</v>
      </c>
      <c r="K77" s="32" t="n">
        <f aca="false">IF(OR(D77="Under review",D77="Revision requested"),1,0)</f>
        <v>0</v>
      </c>
      <c r="L77" s="36" t="n">
        <f aca="false">IF(AND(J77=1,E77&lt;&gt;""),E77+ROW()/100000,"")</f>
        <v>46063.00077</v>
      </c>
      <c r="M77" s="32" t="str">
        <f aca="false">IF(D77="Planned",ROW(),"")</f>
        <v/>
      </c>
      <c r="N77" s="32" t="str">
        <f aca="true">IF(K77=1,IF(E77="",0,TODAY()-E77)+ROW()/100000,"")</f>
        <v/>
      </c>
      <c r="O77" s="32" t="str">
        <f aca="false">IF(N77="","",RANK(N77,$N$2:$N$1000))</f>
        <v/>
      </c>
    </row>
    <row r="78" customFormat="false" ht="15" hidden="false" customHeight="false" outlineLevel="0" collapsed="false">
      <c r="A78" s="33" t="s">
        <v>87</v>
      </c>
      <c r="B78" s="33" t="s">
        <v>251</v>
      </c>
      <c r="C78" s="33" t="s">
        <v>142</v>
      </c>
      <c r="D78" s="33" t="s">
        <v>137</v>
      </c>
      <c r="E78" s="34" t="n">
        <v>46063</v>
      </c>
      <c r="F78" s="34" t="n">
        <v>46132</v>
      </c>
      <c r="G78" s="35" t="n">
        <f aca="true">IF(OR(E78="",J78=0),"",IF(F78&lt;&gt;"",F78-E78,TODAY()-E78))</f>
        <v>69</v>
      </c>
      <c r="H78" s="29" t="s">
        <v>252</v>
      </c>
      <c r="I78" s="33"/>
      <c r="J78" s="32" t="n">
        <f aca="false">IF(OR(D78="",D78="Planned"),0,1)</f>
        <v>1</v>
      </c>
      <c r="K78" s="32" t="n">
        <f aca="false">IF(OR(D78="Under review",D78="Revision requested"),1,0)</f>
        <v>0</v>
      </c>
      <c r="L78" s="36" t="n">
        <f aca="false">IF(AND(J78=1,E78&lt;&gt;""),E78+ROW()/100000,"")</f>
        <v>46063.00078</v>
      </c>
      <c r="M78" s="32" t="str">
        <f aca="false">IF(D78="Planned",ROW(),"")</f>
        <v/>
      </c>
      <c r="N78" s="32" t="str">
        <f aca="true">IF(K78=1,IF(E78="",0,TODAY()-E78)+ROW()/100000,"")</f>
        <v/>
      </c>
      <c r="O78" s="32" t="str">
        <f aca="false">IF(N78="","",RANK(N78,$N$2:$N$1000))</f>
        <v/>
      </c>
    </row>
    <row r="79" customFormat="false" ht="15" hidden="false" customHeight="false" outlineLevel="0" collapsed="false">
      <c r="A79" s="33" t="s">
        <v>87</v>
      </c>
      <c r="B79" s="33" t="s">
        <v>253</v>
      </c>
      <c r="C79" s="33" t="s">
        <v>136</v>
      </c>
      <c r="D79" s="33" t="s">
        <v>148</v>
      </c>
      <c r="E79" s="34" t="n">
        <v>46153</v>
      </c>
      <c r="F79" s="34"/>
      <c r="G79" s="35" t="n">
        <f aca="true">IF(OR(E79="",J79=0),"",IF(F79&lt;&gt;"",F79-E79,TODAY()-E79))</f>
        <v>153</v>
      </c>
      <c r="H79" s="29"/>
      <c r="I79" s="33"/>
      <c r="J79" s="32" t="n">
        <f aca="false">IF(OR(D79="",D79="Planned"),0,1)</f>
        <v>1</v>
      </c>
      <c r="K79" s="32" t="n">
        <f aca="false">IF(OR(D79="Under review",D79="Revision requested"),1,0)</f>
        <v>1</v>
      </c>
      <c r="L79" s="36" t="n">
        <f aca="false">IF(AND(J79=1,E79&lt;&gt;""),E79+ROW()/100000,"")</f>
        <v>46153.00079</v>
      </c>
      <c r="M79" s="32" t="str">
        <f aca="false">IF(D79="Planned",ROW(),"")</f>
        <v/>
      </c>
      <c r="N79" s="32" t="n">
        <f aca="true">IF(K79=1,IF(E79="",0,TODAY()-E79)+ROW()/100000,"")</f>
        <v>153.00079</v>
      </c>
      <c r="O79" s="32" t="n">
        <f aca="false">IF(N79="","",RANK(N79,$N$2:$N$1000))</f>
        <v>3</v>
      </c>
    </row>
    <row r="80" customFormat="false" ht="15" hidden="false" customHeight="false" outlineLevel="0" collapsed="false">
      <c r="A80" s="33" t="s">
        <v>87</v>
      </c>
      <c r="B80" s="33" t="s">
        <v>230</v>
      </c>
      <c r="C80" s="33" t="s">
        <v>142</v>
      </c>
      <c r="D80" s="33" t="s">
        <v>152</v>
      </c>
      <c r="E80" s="34"/>
      <c r="F80" s="34"/>
      <c r="G80" s="35" t="str">
        <f aca="true">IF(OR(E80="",J80=0),"",IF(F80&lt;&gt;"",F80-E80,TODAY()-E80))</f>
        <v/>
      </c>
      <c r="H80" s="29"/>
      <c r="I80" s="33"/>
      <c r="J80" s="32" t="n">
        <f aca="false">IF(OR(D80="",D80="Planned"),0,1)</f>
        <v>0</v>
      </c>
      <c r="K80" s="32" t="n">
        <f aca="false">IF(OR(D80="Under review",D80="Revision requested"),1,0)</f>
        <v>0</v>
      </c>
      <c r="L80" s="32" t="str">
        <f aca="false">IF(AND(J80=1,E80&lt;&gt;""),E80+ROW()/100000,"")</f>
        <v/>
      </c>
      <c r="M80" s="32" t="n">
        <f aca="false">IF(D80="Planned",ROW(),"")</f>
        <v>80</v>
      </c>
      <c r="N80" s="32" t="str">
        <f aca="true">IF(K80=1,IF(E80="",0,TODAY()-E80)+ROW()/100000,"")</f>
        <v/>
      </c>
      <c r="O80" s="32" t="str">
        <f aca="false">IF(N80="","",RANK(N80,$N$2:$N$1000))</f>
        <v/>
      </c>
    </row>
    <row r="81" customFormat="false" ht="15" hidden="false" customHeight="false" outlineLevel="0" collapsed="false">
      <c r="A81" s="33" t="s">
        <v>87</v>
      </c>
      <c r="B81" s="33" t="s">
        <v>254</v>
      </c>
      <c r="C81" s="33" t="s">
        <v>142</v>
      </c>
      <c r="D81" s="33" t="s">
        <v>152</v>
      </c>
      <c r="E81" s="34"/>
      <c r="F81" s="34"/>
      <c r="G81" s="35" t="str">
        <f aca="true">IF(OR(E81="",J81=0),"",IF(F81&lt;&gt;"",F81-E81,TODAY()-E81))</f>
        <v/>
      </c>
      <c r="H81" s="29"/>
      <c r="I81" s="33"/>
      <c r="J81" s="32" t="n">
        <f aca="false">IF(OR(D81="",D81="Planned"),0,1)</f>
        <v>0</v>
      </c>
      <c r="K81" s="32" t="n">
        <f aca="false">IF(OR(D81="Under review",D81="Revision requested"),1,0)</f>
        <v>0</v>
      </c>
      <c r="L81" s="32" t="str">
        <f aca="false">IF(AND(J81=1,E81&lt;&gt;""),E81+ROW()/100000,"")</f>
        <v/>
      </c>
      <c r="M81" s="32" t="n">
        <f aca="false">IF(D81="Planned",ROW(),"")</f>
        <v>81</v>
      </c>
      <c r="N81" s="32" t="str">
        <f aca="true">IF(K81=1,IF(E81="",0,TODAY()-E81)+ROW()/100000,"")</f>
        <v/>
      </c>
      <c r="O81" s="32" t="str">
        <f aca="false">IF(N81="","",RANK(N81,$N$2:$N$1000))</f>
        <v/>
      </c>
    </row>
    <row r="82" customFormat="false" ht="15" hidden="false" customHeight="false" outlineLevel="0" collapsed="false">
      <c r="A82" s="33" t="s">
        <v>87</v>
      </c>
      <c r="B82" s="33" t="s">
        <v>255</v>
      </c>
      <c r="C82" s="33" t="s">
        <v>136</v>
      </c>
      <c r="D82" s="33" t="s">
        <v>152</v>
      </c>
      <c r="E82" s="34"/>
      <c r="F82" s="34"/>
      <c r="G82" s="35" t="str">
        <f aca="true">IF(OR(E82="",J82=0),"",IF(F82&lt;&gt;"",F82-E82,TODAY()-E82))</f>
        <v/>
      </c>
      <c r="H82" s="29"/>
      <c r="I82" s="33"/>
      <c r="J82" s="32" t="n">
        <f aca="false">IF(OR(D82="",D82="Planned"),0,1)</f>
        <v>0</v>
      </c>
      <c r="K82" s="32" t="n">
        <f aca="false">IF(OR(D82="Under review",D82="Revision requested"),1,0)</f>
        <v>0</v>
      </c>
      <c r="L82" s="32" t="str">
        <f aca="false">IF(AND(J82=1,E82&lt;&gt;""),E82+ROW()/100000,"")</f>
        <v/>
      </c>
      <c r="M82" s="32" t="n">
        <f aca="false">IF(D82="Planned",ROW(),"")</f>
        <v>82</v>
      </c>
      <c r="N82" s="32" t="str">
        <f aca="true">IF(K82=1,IF(E82="",0,TODAY()-E82)+ROW()/100000,"")</f>
        <v/>
      </c>
      <c r="O82" s="32" t="str">
        <f aca="false">IF(N82="","",RANK(N82,$N$2:$N$1000))</f>
        <v/>
      </c>
    </row>
    <row r="83" customFormat="false" ht="15" hidden="false" customHeight="false" outlineLevel="0" collapsed="false">
      <c r="A83" s="33" t="s">
        <v>87</v>
      </c>
      <c r="B83" s="33" t="s">
        <v>250</v>
      </c>
      <c r="C83" s="33" t="s">
        <v>165</v>
      </c>
      <c r="D83" s="33" t="s">
        <v>152</v>
      </c>
      <c r="E83" s="34"/>
      <c r="F83" s="34"/>
      <c r="G83" s="35" t="str">
        <f aca="true">IF(OR(E83="",J83=0),"",IF(F83&lt;&gt;"",F83-E83,TODAY()-E83))</f>
        <v/>
      </c>
      <c r="H83" s="29" t="s">
        <v>256</v>
      </c>
      <c r="I83" s="33"/>
      <c r="J83" s="32" t="n">
        <f aca="false">IF(OR(D83="",D83="Planned"),0,1)</f>
        <v>0</v>
      </c>
      <c r="K83" s="32" t="n">
        <f aca="false">IF(OR(D83="Under review",D83="Revision requested"),1,0)</f>
        <v>0</v>
      </c>
      <c r="L83" s="32" t="str">
        <f aca="false">IF(AND(J83=1,E83&lt;&gt;""),E83+ROW()/100000,"")</f>
        <v/>
      </c>
      <c r="M83" s="32" t="n">
        <f aca="false">IF(D83="Planned",ROW(),"")</f>
        <v>83</v>
      </c>
      <c r="N83" s="32" t="str">
        <f aca="true">IF(K83=1,IF(E83="",0,TODAY()-E83)+ROW()/100000,"")</f>
        <v/>
      </c>
      <c r="O83" s="32" t="str">
        <f aca="false">IF(N83="","",RANK(N83,$N$2:$N$1000))</f>
        <v/>
      </c>
    </row>
    <row r="84" customFormat="false" ht="15" hidden="false" customHeight="false" outlineLevel="0" collapsed="false">
      <c r="A84" s="33" t="s">
        <v>87</v>
      </c>
      <c r="B84" s="33" t="s">
        <v>257</v>
      </c>
      <c r="C84" s="33" t="s">
        <v>136</v>
      </c>
      <c r="D84" s="33" t="s">
        <v>152</v>
      </c>
      <c r="E84" s="34"/>
      <c r="F84" s="34"/>
      <c r="G84" s="35" t="str">
        <f aca="true">IF(OR(E84="",J84=0),"",IF(F84&lt;&gt;"",F84-E84,TODAY()-E84))</f>
        <v/>
      </c>
      <c r="H84" s="29"/>
      <c r="I84" s="33"/>
      <c r="J84" s="32" t="n">
        <f aca="false">IF(OR(D84="",D84="Planned"),0,1)</f>
        <v>0</v>
      </c>
      <c r="K84" s="32" t="n">
        <f aca="false">IF(OR(D84="Under review",D84="Revision requested"),1,0)</f>
        <v>0</v>
      </c>
      <c r="L84" s="32" t="str">
        <f aca="false">IF(AND(J84=1,E84&lt;&gt;""),E84+ROW()/100000,"")</f>
        <v/>
      </c>
      <c r="M84" s="32" t="n">
        <f aca="false">IF(D84="Planned",ROW(),"")</f>
        <v>84</v>
      </c>
      <c r="N84" s="32" t="str">
        <f aca="true">IF(K84=1,IF(E84="",0,TODAY()-E84)+ROW()/100000,"")</f>
        <v/>
      </c>
      <c r="O84" s="32" t="str">
        <f aca="false">IF(N84="","",RANK(N84,$N$2:$N$1000))</f>
        <v/>
      </c>
    </row>
    <row r="85" customFormat="false" ht="15" hidden="false" customHeight="false" outlineLevel="0" collapsed="false">
      <c r="A85" s="33" t="s">
        <v>87</v>
      </c>
      <c r="B85" s="33" t="s">
        <v>258</v>
      </c>
      <c r="C85" s="33" t="s">
        <v>142</v>
      </c>
      <c r="D85" s="33" t="s">
        <v>152</v>
      </c>
      <c r="E85" s="34"/>
      <c r="F85" s="34"/>
      <c r="G85" s="35" t="str">
        <f aca="true">IF(OR(E85="",J85=0),"",IF(F85&lt;&gt;"",F85-E85,TODAY()-E85))</f>
        <v/>
      </c>
      <c r="H85" s="29"/>
      <c r="I85" s="33"/>
      <c r="J85" s="32" t="n">
        <f aca="false">IF(OR(D85="",D85="Planned"),0,1)</f>
        <v>0</v>
      </c>
      <c r="K85" s="32" t="n">
        <f aca="false">IF(OR(D85="Under review",D85="Revision requested"),1,0)</f>
        <v>0</v>
      </c>
      <c r="L85" s="32" t="str">
        <f aca="false">IF(AND(J85=1,E85&lt;&gt;""),E85+ROW()/100000,"")</f>
        <v/>
      </c>
      <c r="M85" s="32" t="n">
        <f aca="false">IF(D85="Planned",ROW(),"")</f>
        <v>85</v>
      </c>
      <c r="N85" s="32" t="str">
        <f aca="true">IF(K85=1,IF(E85="",0,TODAY()-E85)+ROW()/100000,"")</f>
        <v/>
      </c>
      <c r="O85" s="32" t="str">
        <f aca="false">IF(N85="","",RANK(N85,$N$2:$N$1000))</f>
        <v/>
      </c>
    </row>
    <row r="86" customFormat="false" ht="15" hidden="false" customHeight="false" outlineLevel="0" collapsed="false">
      <c r="A86" s="33" t="s">
        <v>87</v>
      </c>
      <c r="B86" s="33" t="s">
        <v>164</v>
      </c>
      <c r="C86" s="33" t="s">
        <v>165</v>
      </c>
      <c r="D86" s="33" t="s">
        <v>152</v>
      </c>
      <c r="E86" s="34"/>
      <c r="F86" s="34"/>
      <c r="G86" s="35" t="str">
        <f aca="true">IF(OR(E86="",J86=0),"",IF(F86&lt;&gt;"",F86-E86,TODAY()-E86))</f>
        <v/>
      </c>
      <c r="H86" s="29"/>
      <c r="I86" s="33"/>
      <c r="J86" s="32" t="n">
        <f aca="false">IF(OR(D86="",D86="Planned"),0,1)</f>
        <v>0</v>
      </c>
      <c r="K86" s="32" t="n">
        <f aca="false">IF(OR(D86="Under review",D86="Revision requested"),1,0)</f>
        <v>0</v>
      </c>
      <c r="L86" s="32" t="str">
        <f aca="false">IF(AND(J86=1,E86&lt;&gt;""),E86+ROW()/100000,"")</f>
        <v/>
      </c>
      <c r="M86" s="32" t="n">
        <f aca="false">IF(D86="Planned",ROW(),"")</f>
        <v>86</v>
      </c>
      <c r="N86" s="32" t="str">
        <f aca="true">IF(K86=1,IF(E86="",0,TODAY()-E86)+ROW()/100000,"")</f>
        <v/>
      </c>
      <c r="O86" s="32" t="str">
        <f aca="false">IF(N86="","",RANK(N86,$N$2:$N$1000))</f>
        <v/>
      </c>
    </row>
    <row r="87" customFormat="false" ht="15" hidden="false" customHeight="false" outlineLevel="0" collapsed="false">
      <c r="A87" s="33" t="s">
        <v>87</v>
      </c>
      <c r="B87" s="33" t="s">
        <v>241</v>
      </c>
      <c r="C87" s="33" t="s">
        <v>239</v>
      </c>
      <c r="D87" s="33" t="s">
        <v>152</v>
      </c>
      <c r="E87" s="34"/>
      <c r="F87" s="34"/>
      <c r="G87" s="35" t="str">
        <f aca="true">IF(OR(E87="",J87=0),"",IF(F87&lt;&gt;"",F87-E87,TODAY()-E87))</f>
        <v/>
      </c>
      <c r="H87" s="29"/>
      <c r="I87" s="33"/>
      <c r="J87" s="32" t="n">
        <f aca="false">IF(OR(D87="",D87="Planned"),0,1)</f>
        <v>0</v>
      </c>
      <c r="K87" s="32" t="n">
        <f aca="false">IF(OR(D87="Under review",D87="Revision requested"),1,0)</f>
        <v>0</v>
      </c>
      <c r="L87" s="32" t="str">
        <f aca="false">IF(AND(J87=1,E87&lt;&gt;""),E87+ROW()/100000,"")</f>
        <v/>
      </c>
      <c r="M87" s="32" t="n">
        <f aca="false">IF(D87="Planned",ROW(),"")</f>
        <v>87</v>
      </c>
      <c r="N87" s="32" t="str">
        <f aca="true">IF(K87=1,IF(E87="",0,TODAY()-E87)+ROW()/100000,"")</f>
        <v/>
      </c>
      <c r="O87" s="32" t="str">
        <f aca="false">IF(N87="","",RANK(N87,$N$2:$N$1000))</f>
        <v/>
      </c>
    </row>
    <row r="88" customFormat="false" ht="15" hidden="false" customHeight="false" outlineLevel="0" collapsed="false">
      <c r="A88" s="33" t="s">
        <v>87</v>
      </c>
      <c r="B88" s="33" t="s">
        <v>238</v>
      </c>
      <c r="C88" s="33" t="s">
        <v>239</v>
      </c>
      <c r="D88" s="33" t="s">
        <v>152</v>
      </c>
      <c r="E88" s="34"/>
      <c r="F88" s="34"/>
      <c r="G88" s="35" t="str">
        <f aca="true">IF(OR(E88="",J88=0),"",IF(F88&lt;&gt;"",F88-E88,TODAY()-E88))</f>
        <v/>
      </c>
      <c r="H88" s="29"/>
      <c r="I88" s="33"/>
      <c r="J88" s="32" t="n">
        <f aca="false">IF(OR(D88="",D88="Planned"),0,1)</f>
        <v>0</v>
      </c>
      <c r="K88" s="32" t="n">
        <f aca="false">IF(OR(D88="Under review",D88="Revision requested"),1,0)</f>
        <v>0</v>
      </c>
      <c r="L88" s="32" t="str">
        <f aca="false">IF(AND(J88=1,E88&lt;&gt;""),E88+ROW()/100000,"")</f>
        <v/>
      </c>
      <c r="M88" s="32" t="n">
        <f aca="false">IF(D88="Planned",ROW(),"")</f>
        <v>88</v>
      </c>
      <c r="N88" s="32" t="str">
        <f aca="true">IF(K88=1,IF(E88="",0,TODAY()-E88)+ROW()/100000,"")</f>
        <v/>
      </c>
      <c r="O88" s="32" t="str">
        <f aca="false">IF(N88="","",RANK(N88,$N$2:$N$1000))</f>
        <v/>
      </c>
    </row>
    <row r="89" customFormat="false" ht="15" hidden="false" customHeight="false" outlineLevel="0" collapsed="false">
      <c r="A89" s="33" t="s">
        <v>90</v>
      </c>
      <c r="B89" s="33" t="s">
        <v>259</v>
      </c>
      <c r="C89" s="33" t="s">
        <v>136</v>
      </c>
      <c r="D89" s="33" t="s">
        <v>137</v>
      </c>
      <c r="E89" s="34" t="n">
        <v>45419</v>
      </c>
      <c r="F89" s="34" t="n">
        <v>45612</v>
      </c>
      <c r="G89" s="35" t="n">
        <f aca="true">IF(OR(E89="",J89=0),"",IF(F89&lt;&gt;"",F89-E89,TODAY()-E89))</f>
        <v>193</v>
      </c>
      <c r="H89" s="29" t="s">
        <v>260</v>
      </c>
      <c r="I89" s="33"/>
      <c r="J89" s="32" t="n">
        <f aca="false">IF(OR(D89="",D89="Planned"),0,1)</f>
        <v>1</v>
      </c>
      <c r="K89" s="32" t="n">
        <f aca="false">IF(OR(D89="Under review",D89="Revision requested"),1,0)</f>
        <v>0</v>
      </c>
      <c r="L89" s="36" t="n">
        <f aca="false">IF(AND(J89=1,E89&lt;&gt;""),E89+ROW()/100000,"")</f>
        <v>45419.00089</v>
      </c>
      <c r="M89" s="32" t="str">
        <f aca="false">IF(D89="Planned",ROW(),"")</f>
        <v/>
      </c>
      <c r="N89" s="32" t="str">
        <f aca="true">IF(K89=1,IF(E89="",0,TODAY()-E89)+ROW()/100000,"")</f>
        <v/>
      </c>
      <c r="O89" s="32" t="str">
        <f aca="false">IF(N89="","",RANK(N89,$N$2:$N$1000))</f>
        <v/>
      </c>
    </row>
    <row r="90" customFormat="false" ht="15" hidden="false" customHeight="false" outlineLevel="0" collapsed="false">
      <c r="A90" s="33" t="s">
        <v>90</v>
      </c>
      <c r="B90" s="33" t="s">
        <v>261</v>
      </c>
      <c r="C90" s="33" t="s">
        <v>136</v>
      </c>
      <c r="D90" s="33" t="s">
        <v>137</v>
      </c>
      <c r="E90" s="34" t="n">
        <v>45759</v>
      </c>
      <c r="F90" s="34" t="n">
        <v>45759</v>
      </c>
      <c r="G90" s="35" t="n">
        <f aca="true">IF(OR(E90="",J90=0),"",IF(F90&lt;&gt;"",F90-E90,TODAY()-E90))</f>
        <v>0</v>
      </c>
      <c r="H90" s="29"/>
      <c r="I90" s="33"/>
      <c r="J90" s="32" t="n">
        <f aca="false">IF(OR(D90="",D90="Planned"),0,1)</f>
        <v>1</v>
      </c>
      <c r="K90" s="32" t="n">
        <f aca="false">IF(OR(D90="Under review",D90="Revision requested"),1,0)</f>
        <v>0</v>
      </c>
      <c r="L90" s="36" t="n">
        <f aca="false">IF(AND(J90=1,E90&lt;&gt;""),E90+ROW()/100000,"")</f>
        <v>45759.0009</v>
      </c>
      <c r="M90" s="32" t="str">
        <f aca="false">IF(D90="Planned",ROW(),"")</f>
        <v/>
      </c>
      <c r="N90" s="32" t="str">
        <f aca="true">IF(K90=1,IF(E90="",0,TODAY()-E90)+ROW()/100000,"")</f>
        <v/>
      </c>
      <c r="O90" s="32" t="str">
        <f aca="false">IF(N90="","",RANK(N90,$N$2:$N$1000))</f>
        <v/>
      </c>
    </row>
    <row r="91" customFormat="false" ht="15" hidden="false" customHeight="false" outlineLevel="0" collapsed="false">
      <c r="A91" s="33" t="s">
        <v>90</v>
      </c>
      <c r="B91" s="33" t="s">
        <v>262</v>
      </c>
      <c r="C91" s="33"/>
      <c r="D91" s="33" t="s">
        <v>137</v>
      </c>
      <c r="E91" s="34" t="n">
        <v>45759</v>
      </c>
      <c r="F91" s="34" t="n">
        <v>45759</v>
      </c>
      <c r="G91" s="35" t="n">
        <f aca="true">IF(OR(E91="",J91=0),"",IF(F91&lt;&gt;"",F91-E91,TODAY()-E91))</f>
        <v>0</v>
      </c>
      <c r="H91" s="29"/>
      <c r="I91" s="33"/>
      <c r="J91" s="32" t="n">
        <f aca="false">IF(OR(D91="",D91="Planned"),0,1)</f>
        <v>1</v>
      </c>
      <c r="K91" s="32" t="n">
        <f aca="false">IF(OR(D91="Under review",D91="Revision requested"),1,0)</f>
        <v>0</v>
      </c>
      <c r="L91" s="36" t="n">
        <f aca="false">IF(AND(J91=1,E91&lt;&gt;""),E91+ROW()/100000,"")</f>
        <v>45759.00091</v>
      </c>
      <c r="M91" s="32" t="str">
        <f aca="false">IF(D91="Planned",ROW(),"")</f>
        <v/>
      </c>
      <c r="N91" s="32" t="str">
        <f aca="true">IF(K91=1,IF(E91="",0,TODAY()-E91)+ROW()/100000,"")</f>
        <v/>
      </c>
      <c r="O91" s="32" t="str">
        <f aca="false">IF(N91="","",RANK(N91,$N$2:$N$1000))</f>
        <v/>
      </c>
    </row>
    <row r="92" customFormat="false" ht="15" hidden="false" customHeight="false" outlineLevel="0" collapsed="false">
      <c r="A92" s="33" t="s">
        <v>90</v>
      </c>
      <c r="B92" s="33" t="s">
        <v>263</v>
      </c>
      <c r="C92" s="33" t="s">
        <v>142</v>
      </c>
      <c r="D92" s="33" t="s">
        <v>137</v>
      </c>
      <c r="E92" s="34" t="n">
        <v>45761</v>
      </c>
      <c r="F92" s="34" t="n">
        <v>45815</v>
      </c>
      <c r="G92" s="35" t="n">
        <f aca="true">IF(OR(E92="",J92=0),"",IF(F92&lt;&gt;"",F92-E92,TODAY()-E92))</f>
        <v>54</v>
      </c>
      <c r="H92" s="29" t="s">
        <v>264</v>
      </c>
      <c r="I92" s="33"/>
      <c r="J92" s="32" t="n">
        <f aca="false">IF(OR(D92="",D92="Planned"),0,1)</f>
        <v>1</v>
      </c>
      <c r="K92" s="32" t="n">
        <f aca="false">IF(OR(D92="Under review",D92="Revision requested"),1,0)</f>
        <v>0</v>
      </c>
      <c r="L92" s="36" t="n">
        <f aca="false">IF(AND(J92=1,E92&lt;&gt;""),E92+ROW()/100000,"")</f>
        <v>45761.00092</v>
      </c>
      <c r="M92" s="32" t="str">
        <f aca="false">IF(D92="Planned",ROW(),"")</f>
        <v/>
      </c>
      <c r="N92" s="32" t="str">
        <f aca="true">IF(K92=1,IF(E92="",0,TODAY()-E92)+ROW()/100000,"")</f>
        <v/>
      </c>
      <c r="O92" s="32" t="str">
        <f aca="false">IF(N92="","",RANK(N92,$N$2:$N$1000))</f>
        <v/>
      </c>
    </row>
    <row r="93" customFormat="false" ht="15" hidden="false" customHeight="false" outlineLevel="0" collapsed="false">
      <c r="A93" s="33" t="s">
        <v>90</v>
      </c>
      <c r="B93" s="33" t="s">
        <v>265</v>
      </c>
      <c r="C93" s="33" t="s">
        <v>165</v>
      </c>
      <c r="D93" s="33" t="s">
        <v>137</v>
      </c>
      <c r="E93" s="34" t="n">
        <v>45844</v>
      </c>
      <c r="F93" s="34" t="n">
        <v>45844</v>
      </c>
      <c r="G93" s="35" t="n">
        <f aca="true">IF(OR(E93="",J93=0),"",IF(F93&lt;&gt;"",F93-E93,TODAY()-E93))</f>
        <v>0</v>
      </c>
      <c r="H93" s="29"/>
      <c r="I93" s="33" t="s">
        <v>266</v>
      </c>
      <c r="J93" s="32" t="n">
        <f aca="false">IF(OR(D93="",D93="Planned"),0,1)</f>
        <v>1</v>
      </c>
      <c r="K93" s="32" t="n">
        <f aca="false">IF(OR(D93="Under review",D93="Revision requested"),1,0)</f>
        <v>0</v>
      </c>
      <c r="L93" s="36" t="n">
        <f aca="false">IF(AND(J93=1,E93&lt;&gt;""),E93+ROW()/100000,"")</f>
        <v>45844.00093</v>
      </c>
      <c r="M93" s="32" t="str">
        <f aca="false">IF(D93="Planned",ROW(),"")</f>
        <v/>
      </c>
      <c r="N93" s="32" t="str">
        <f aca="true">IF(K93=1,IF(E93="",0,TODAY()-E93)+ROW()/100000,"")</f>
        <v/>
      </c>
      <c r="O93" s="32" t="str">
        <f aca="false">IF(N93="","",RANK(N93,$N$2:$N$1000))</f>
        <v/>
      </c>
    </row>
    <row r="94" customFormat="false" ht="15" hidden="false" customHeight="false" outlineLevel="0" collapsed="false">
      <c r="A94" s="33" t="s">
        <v>90</v>
      </c>
      <c r="B94" s="33" t="s">
        <v>267</v>
      </c>
      <c r="C94" s="33" t="s">
        <v>136</v>
      </c>
      <c r="D94" s="33" t="s">
        <v>137</v>
      </c>
      <c r="E94" s="34" t="n">
        <v>45845</v>
      </c>
      <c r="F94" s="34" t="n">
        <v>45855</v>
      </c>
      <c r="G94" s="35" t="n">
        <f aca="true">IF(OR(E94="",J94=0),"",IF(F94&lt;&gt;"",F94-E94,TODAY()-E94))</f>
        <v>10</v>
      </c>
      <c r="H94" s="29" t="s">
        <v>268</v>
      </c>
      <c r="I94" s="33" t="s">
        <v>269</v>
      </c>
      <c r="J94" s="32" t="n">
        <f aca="false">IF(OR(D94="",D94="Planned"),0,1)</f>
        <v>1</v>
      </c>
      <c r="K94" s="32" t="n">
        <f aca="false">IF(OR(D94="Under review",D94="Revision requested"),1,0)</f>
        <v>0</v>
      </c>
      <c r="L94" s="36" t="n">
        <f aca="false">IF(AND(J94=1,E94&lt;&gt;""),E94+ROW()/100000,"")</f>
        <v>45845.00094</v>
      </c>
      <c r="M94" s="32" t="str">
        <f aca="false">IF(D94="Planned",ROW(),"")</f>
        <v/>
      </c>
      <c r="N94" s="32" t="str">
        <f aca="true">IF(K94=1,IF(E94="",0,TODAY()-E94)+ROW()/100000,"")</f>
        <v/>
      </c>
      <c r="O94" s="32" t="str">
        <f aca="false">IF(N94="","",RANK(N94,$N$2:$N$1000))</f>
        <v/>
      </c>
    </row>
    <row r="95" customFormat="false" ht="15" hidden="false" customHeight="false" outlineLevel="0" collapsed="false">
      <c r="A95" s="33" t="s">
        <v>90</v>
      </c>
      <c r="B95" s="33" t="s">
        <v>270</v>
      </c>
      <c r="C95" s="33" t="s">
        <v>142</v>
      </c>
      <c r="D95" s="33" t="s">
        <v>137</v>
      </c>
      <c r="E95" s="34" t="n">
        <v>45855</v>
      </c>
      <c r="F95" s="34" t="n">
        <v>45862</v>
      </c>
      <c r="G95" s="35" t="n">
        <f aca="true">IF(OR(E95="",J95=0),"",IF(F95&lt;&gt;"",F95-E95,TODAY()-E95))</f>
        <v>7</v>
      </c>
      <c r="H95" s="29"/>
      <c r="I95" s="33"/>
      <c r="J95" s="32" t="n">
        <f aca="false">IF(OR(D95="",D95="Planned"),0,1)</f>
        <v>1</v>
      </c>
      <c r="K95" s="32" t="n">
        <f aca="false">IF(OR(D95="Under review",D95="Revision requested"),1,0)</f>
        <v>0</v>
      </c>
      <c r="L95" s="36" t="n">
        <f aca="false">IF(AND(J95=1,E95&lt;&gt;""),E95+ROW()/100000,"")</f>
        <v>45855.00095</v>
      </c>
      <c r="M95" s="32" t="str">
        <f aca="false">IF(D95="Planned",ROW(),"")</f>
        <v/>
      </c>
      <c r="N95" s="32" t="str">
        <f aca="true">IF(K95=1,IF(E95="",0,TODAY()-E95)+ROW()/100000,"")</f>
        <v/>
      </c>
      <c r="O95" s="32" t="str">
        <f aca="false">IF(N95="","",RANK(N95,$N$2:$N$1000))</f>
        <v/>
      </c>
    </row>
    <row r="96" customFormat="false" ht="15" hidden="false" customHeight="false" outlineLevel="0" collapsed="false">
      <c r="A96" s="33" t="s">
        <v>90</v>
      </c>
      <c r="B96" s="33" t="s">
        <v>271</v>
      </c>
      <c r="C96" s="33" t="s">
        <v>142</v>
      </c>
      <c r="D96" s="33" t="s">
        <v>137</v>
      </c>
      <c r="E96" s="34" t="n">
        <v>45863</v>
      </c>
      <c r="F96" s="34" t="n">
        <v>45869</v>
      </c>
      <c r="G96" s="35" t="n">
        <f aca="true">IF(OR(E96="",J96=0),"",IF(F96&lt;&gt;"",F96-E96,TODAY()-E96))</f>
        <v>6</v>
      </c>
      <c r="H96" s="29"/>
      <c r="I96" s="33"/>
      <c r="J96" s="32" t="n">
        <f aca="false">IF(OR(D96="",D96="Planned"),0,1)</f>
        <v>1</v>
      </c>
      <c r="K96" s="32" t="n">
        <f aca="false">IF(OR(D96="Under review",D96="Revision requested"),1,0)</f>
        <v>0</v>
      </c>
      <c r="L96" s="36" t="n">
        <f aca="false">IF(AND(J96=1,E96&lt;&gt;""),E96+ROW()/100000,"")</f>
        <v>45863.00096</v>
      </c>
      <c r="M96" s="32" t="str">
        <f aca="false">IF(D96="Planned",ROW(),"")</f>
        <v/>
      </c>
      <c r="N96" s="32" t="str">
        <f aca="true">IF(K96=1,IF(E96="",0,TODAY()-E96)+ROW()/100000,"")</f>
        <v/>
      </c>
      <c r="O96" s="32" t="str">
        <f aca="false">IF(N96="","",RANK(N96,$N$2:$N$1000))</f>
        <v/>
      </c>
    </row>
    <row r="97" customFormat="false" ht="15" hidden="false" customHeight="false" outlineLevel="0" collapsed="false">
      <c r="A97" s="33" t="s">
        <v>90</v>
      </c>
      <c r="B97" s="33" t="s">
        <v>272</v>
      </c>
      <c r="C97" s="33" t="s">
        <v>142</v>
      </c>
      <c r="D97" s="33" t="s">
        <v>137</v>
      </c>
      <c r="E97" s="34" t="n">
        <v>45903</v>
      </c>
      <c r="F97" s="34" t="n">
        <v>45905</v>
      </c>
      <c r="G97" s="35" t="n">
        <f aca="true">IF(OR(E97="",J97=0),"",IF(F97&lt;&gt;"",F97-E97,TODAY()-E97))</f>
        <v>2</v>
      </c>
      <c r="H97" s="29"/>
      <c r="I97" s="33"/>
      <c r="J97" s="32" t="n">
        <f aca="false">IF(OR(D97="",D97="Planned"),0,1)</f>
        <v>1</v>
      </c>
      <c r="K97" s="32" t="n">
        <f aca="false">IF(OR(D97="Under review",D97="Revision requested"),1,0)</f>
        <v>0</v>
      </c>
      <c r="L97" s="36" t="n">
        <f aca="false">IF(AND(J97=1,E97&lt;&gt;""),E97+ROW()/100000,"")</f>
        <v>45903.00097</v>
      </c>
      <c r="M97" s="32" t="str">
        <f aca="false">IF(D97="Planned",ROW(),"")</f>
        <v/>
      </c>
      <c r="N97" s="32" t="str">
        <f aca="true">IF(K97=1,IF(E97="",0,TODAY()-E97)+ROW()/100000,"")</f>
        <v/>
      </c>
      <c r="O97" s="32" t="str">
        <f aca="false">IF(N97="","",RANK(N97,$N$2:$N$1000))</f>
        <v/>
      </c>
    </row>
    <row r="98" customFormat="false" ht="15" hidden="false" customHeight="false" outlineLevel="0" collapsed="false">
      <c r="A98" s="33" t="s">
        <v>90</v>
      </c>
      <c r="B98" s="33" t="s">
        <v>273</v>
      </c>
      <c r="C98" s="33" t="s">
        <v>142</v>
      </c>
      <c r="D98" s="33" t="s">
        <v>248</v>
      </c>
      <c r="E98" s="34" t="n">
        <v>46184</v>
      </c>
      <c r="F98" s="34" t="n">
        <v>46229</v>
      </c>
      <c r="G98" s="35" t="n">
        <f aca="true">IF(OR(E98="",J98=0),"",IF(F98&lt;&gt;"",F98-E98,TODAY()-E98))</f>
        <v>45</v>
      </c>
      <c r="H98" s="29" t="s">
        <v>274</v>
      </c>
      <c r="I98" s="33"/>
      <c r="J98" s="32" t="n">
        <f aca="false">IF(OR(D98="",D98="Planned"),0,1)</f>
        <v>1</v>
      </c>
      <c r="K98" s="32" t="n">
        <f aca="false">IF(OR(D98="Under review",D98="Revision requested"),1,0)</f>
        <v>0</v>
      </c>
      <c r="L98" s="36" t="n">
        <f aca="false">IF(AND(J98=1,E98&lt;&gt;""),E98+ROW()/100000,"")</f>
        <v>46184.00098</v>
      </c>
      <c r="M98" s="32" t="str">
        <f aca="false">IF(D98="Planned",ROW(),"")</f>
        <v/>
      </c>
      <c r="N98" s="32" t="str">
        <f aca="true">IF(K98=1,IF(E98="",0,TODAY()-E98)+ROW()/100000,"")</f>
        <v/>
      </c>
      <c r="O98" s="32" t="str">
        <f aca="false">IF(N98="","",RANK(N98,$N$2:$N$1000))</f>
        <v/>
      </c>
    </row>
    <row r="99" customFormat="false" ht="15" hidden="false" customHeight="false" outlineLevel="0" collapsed="false">
      <c r="A99" s="33" t="s">
        <v>90</v>
      </c>
      <c r="B99" s="33" t="s">
        <v>273</v>
      </c>
      <c r="C99" s="33" t="s">
        <v>142</v>
      </c>
      <c r="D99" s="33" t="s">
        <v>148</v>
      </c>
      <c r="E99" s="34" t="n">
        <v>46232</v>
      </c>
      <c r="F99" s="34"/>
      <c r="G99" s="35" t="n">
        <f aca="true">IF(OR(E99="",J99=0),"",IF(F99&lt;&gt;"",F99-E99,TODAY()-E99))</f>
        <v>74</v>
      </c>
      <c r="H99" s="29" t="s">
        <v>275</v>
      </c>
      <c r="I99" s="33"/>
      <c r="J99" s="32" t="n">
        <f aca="false">IF(OR(D99="",D99="Planned"),0,1)</f>
        <v>1</v>
      </c>
      <c r="K99" s="32" t="n">
        <f aca="false">IF(OR(D99="Under review",D99="Revision requested"),1,0)</f>
        <v>1</v>
      </c>
      <c r="L99" s="36" t="n">
        <f aca="false">IF(AND(J99=1,E99&lt;&gt;""),E99+ROW()/100000,"")</f>
        <v>46232.00099</v>
      </c>
      <c r="M99" s="32" t="str">
        <f aca="false">IF(D99="Planned",ROW(),"")</f>
        <v/>
      </c>
      <c r="N99" s="32" t="n">
        <f aca="true">IF(K99=1,IF(E99="",0,TODAY()-E99)+ROW()/100000,"")</f>
        <v>74.00099</v>
      </c>
      <c r="O99" s="32" t="n">
        <f aca="false">IF(N99="","",RANK(N99,$N$2:$N$1000))</f>
        <v>4</v>
      </c>
    </row>
    <row r="100" customFormat="false" ht="15" hidden="false" customHeight="false" outlineLevel="0" collapsed="false">
      <c r="A100" s="33" t="s">
        <v>90</v>
      </c>
      <c r="B100" s="33" t="s">
        <v>276</v>
      </c>
      <c r="C100" s="33" t="s">
        <v>136</v>
      </c>
      <c r="D100" s="33" t="s">
        <v>152</v>
      </c>
      <c r="E100" s="34"/>
      <c r="F100" s="34"/>
      <c r="G100" s="35" t="str">
        <f aca="true">IF(OR(E100="",J100=0),"",IF(F100&lt;&gt;"",F100-E100,TODAY()-E100))</f>
        <v/>
      </c>
      <c r="H100" s="29"/>
      <c r="I100" s="33"/>
      <c r="J100" s="32" t="n">
        <f aca="false">IF(OR(D100="",D100="Planned"),0,1)</f>
        <v>0</v>
      </c>
      <c r="K100" s="32" t="n">
        <f aca="false">IF(OR(D100="Under review",D100="Revision requested"),1,0)</f>
        <v>0</v>
      </c>
      <c r="L100" s="32" t="str">
        <f aca="false">IF(AND(J100=1,E100&lt;&gt;""),E100+ROW()/100000,"")</f>
        <v/>
      </c>
      <c r="M100" s="32" t="n">
        <f aca="false">IF(D100="Planned",ROW(),"")</f>
        <v>100</v>
      </c>
      <c r="N100" s="32" t="str">
        <f aca="true">IF(K100=1,IF(E100="",0,TODAY()-E100)+ROW()/100000,"")</f>
        <v/>
      </c>
      <c r="O100" s="32" t="str">
        <f aca="false">IF(N100="","",RANK(N100,$N$2:$N$1000))</f>
        <v/>
      </c>
    </row>
    <row r="101" customFormat="false" ht="15" hidden="false" customHeight="false" outlineLevel="0" collapsed="false">
      <c r="A101" s="33" t="s">
        <v>90</v>
      </c>
      <c r="B101" s="33" t="s">
        <v>277</v>
      </c>
      <c r="C101" s="33" t="s">
        <v>215</v>
      </c>
      <c r="D101" s="33" t="s">
        <v>152</v>
      </c>
      <c r="E101" s="34"/>
      <c r="F101" s="34"/>
      <c r="G101" s="35" t="str">
        <f aca="true">IF(OR(E101="",J101=0),"",IF(F101&lt;&gt;"",F101-E101,TODAY()-E101))</f>
        <v/>
      </c>
      <c r="H101" s="29"/>
      <c r="I101" s="33"/>
      <c r="J101" s="32" t="n">
        <f aca="false">IF(OR(D101="",D101="Planned"),0,1)</f>
        <v>0</v>
      </c>
      <c r="K101" s="32" t="n">
        <f aca="false">IF(OR(D101="Under review",D101="Revision requested"),1,0)</f>
        <v>0</v>
      </c>
      <c r="L101" s="32" t="str">
        <f aca="false">IF(AND(J101=1,E101&lt;&gt;""),E101+ROW()/100000,"")</f>
        <v/>
      </c>
      <c r="M101" s="32" t="n">
        <f aca="false">IF(D101="Planned",ROW(),"")</f>
        <v>101</v>
      </c>
      <c r="N101" s="32" t="str">
        <f aca="true">IF(K101=1,IF(E101="",0,TODAY()-E101)+ROW()/100000,"")</f>
        <v/>
      </c>
      <c r="O101" s="32" t="str">
        <f aca="false">IF(N101="","",RANK(N101,$N$2:$N$1000))</f>
        <v/>
      </c>
    </row>
    <row r="102" customFormat="false" ht="15" hidden="false" customHeight="false" outlineLevel="0" collapsed="false">
      <c r="A102" s="33" t="s">
        <v>90</v>
      </c>
      <c r="B102" s="33" t="s">
        <v>278</v>
      </c>
      <c r="C102" s="33" t="s">
        <v>136</v>
      </c>
      <c r="D102" s="33" t="s">
        <v>152</v>
      </c>
      <c r="E102" s="34"/>
      <c r="F102" s="34"/>
      <c r="G102" s="35" t="str">
        <f aca="true">IF(OR(E102="",J102=0),"",IF(F102&lt;&gt;"",F102-E102,TODAY()-E102))</f>
        <v/>
      </c>
      <c r="H102" s="29"/>
      <c r="I102" s="33"/>
      <c r="J102" s="32" t="n">
        <f aca="false">IF(OR(D102="",D102="Planned"),0,1)</f>
        <v>0</v>
      </c>
      <c r="K102" s="32" t="n">
        <f aca="false">IF(OR(D102="Under review",D102="Revision requested"),1,0)</f>
        <v>0</v>
      </c>
      <c r="L102" s="32" t="str">
        <f aca="false">IF(AND(J102=1,E102&lt;&gt;""),E102+ROW()/100000,"")</f>
        <v/>
      </c>
      <c r="M102" s="32" t="n">
        <f aca="false">IF(D102="Planned",ROW(),"")</f>
        <v>102</v>
      </c>
      <c r="N102" s="32" t="str">
        <f aca="true">IF(K102=1,IF(E102="",0,TODAY()-E102)+ROW()/100000,"")</f>
        <v/>
      </c>
      <c r="O102" s="32" t="str">
        <f aca="false">IF(N102="","",RANK(N102,$N$2:$N$1000))</f>
        <v/>
      </c>
    </row>
    <row r="103" customFormat="false" ht="15" hidden="false" customHeight="false" outlineLevel="0" collapsed="false">
      <c r="A103" s="33" t="s">
        <v>90</v>
      </c>
      <c r="B103" s="33" t="s">
        <v>279</v>
      </c>
      <c r="C103" s="33" t="s">
        <v>157</v>
      </c>
      <c r="D103" s="33" t="s">
        <v>152</v>
      </c>
      <c r="E103" s="34"/>
      <c r="F103" s="34"/>
      <c r="G103" s="35" t="str">
        <f aca="true">IF(OR(E103="",J103=0),"",IF(F103&lt;&gt;"",F103-E103,TODAY()-E103))</f>
        <v/>
      </c>
      <c r="H103" s="29"/>
      <c r="I103" s="33"/>
      <c r="J103" s="32" t="n">
        <f aca="false">IF(OR(D103="",D103="Planned"),0,1)</f>
        <v>0</v>
      </c>
      <c r="K103" s="32" t="n">
        <f aca="false">IF(OR(D103="Under review",D103="Revision requested"),1,0)</f>
        <v>0</v>
      </c>
      <c r="L103" s="32" t="str">
        <f aca="false">IF(AND(J103=1,E103&lt;&gt;""),E103+ROW()/100000,"")</f>
        <v/>
      </c>
      <c r="M103" s="32" t="n">
        <f aca="false">IF(D103="Planned",ROW(),"")</f>
        <v>103</v>
      </c>
      <c r="N103" s="32" t="str">
        <f aca="true">IF(K103=1,IF(E103="",0,TODAY()-E103)+ROW()/100000,"")</f>
        <v/>
      </c>
      <c r="O103" s="32" t="str">
        <f aca="false">IF(N103="","",RANK(N103,$N$2:$N$1000))</f>
        <v/>
      </c>
    </row>
    <row r="104" customFormat="false" ht="15" hidden="false" customHeight="false" outlineLevel="0" collapsed="false">
      <c r="A104" s="33" t="s">
        <v>94</v>
      </c>
      <c r="B104" s="33" t="s">
        <v>141</v>
      </c>
      <c r="C104" s="33" t="s">
        <v>142</v>
      </c>
      <c r="D104" s="33" t="s">
        <v>137</v>
      </c>
      <c r="E104" s="34" t="n">
        <v>46245</v>
      </c>
      <c r="F104" s="34" t="n">
        <v>46259</v>
      </c>
      <c r="G104" s="35" t="n">
        <f aca="true">IF(OR(E104="",J104=0),"",IF(F104&lt;&gt;"",F104-E104,TODAY()-E104))</f>
        <v>14</v>
      </c>
      <c r="H104" s="29"/>
      <c r="I104" s="33" t="s">
        <v>280</v>
      </c>
      <c r="J104" s="32" t="n">
        <f aca="false">IF(OR(D104="",D104="Planned"),0,1)</f>
        <v>1</v>
      </c>
      <c r="K104" s="32" t="n">
        <f aca="false">IF(OR(D104="Under review",D104="Revision requested"),1,0)</f>
        <v>0</v>
      </c>
      <c r="L104" s="36" t="n">
        <f aca="false">IF(AND(J104=1,E104&lt;&gt;""),E104+ROW()/100000,"")</f>
        <v>46245.00104</v>
      </c>
      <c r="M104" s="32" t="str">
        <f aca="false">IF(D104="Planned",ROW(),"")</f>
        <v/>
      </c>
      <c r="N104" s="32" t="str">
        <f aca="true">IF(K104=1,IF(E104="",0,TODAY()-E104)+ROW()/100000,"")</f>
        <v/>
      </c>
      <c r="O104" s="32" t="str">
        <f aca="false">IF(N104="","",RANK(N104,$N$2:$N$1000))</f>
        <v/>
      </c>
    </row>
    <row r="105" customFormat="false" ht="15" hidden="false" customHeight="false" outlineLevel="0" collapsed="false">
      <c r="A105" s="33" t="s">
        <v>94</v>
      </c>
      <c r="B105" s="33" t="s">
        <v>230</v>
      </c>
      <c r="C105" s="33" t="s">
        <v>142</v>
      </c>
      <c r="D105" s="33" t="s">
        <v>137</v>
      </c>
      <c r="E105" s="34" t="n">
        <v>46246</v>
      </c>
      <c r="F105" s="34" t="n">
        <v>46279</v>
      </c>
      <c r="G105" s="35" t="n">
        <f aca="true">IF(OR(E105="",J105=0),"",IF(F105&lt;&gt;"",F105-E105,TODAY()-E105))</f>
        <v>33</v>
      </c>
      <c r="H105" s="29"/>
      <c r="I105" s="33"/>
      <c r="J105" s="32" t="n">
        <f aca="false">IF(OR(D105="",D105="Planned"),0,1)</f>
        <v>1</v>
      </c>
      <c r="K105" s="32" t="n">
        <f aca="false">IF(OR(D105="Under review",D105="Revision requested"),1,0)</f>
        <v>0</v>
      </c>
      <c r="L105" s="36" t="n">
        <f aca="false">IF(AND(J105=1,E105&lt;&gt;""),E105+ROW()/100000,"")</f>
        <v>46246.00105</v>
      </c>
      <c r="M105" s="32" t="str">
        <f aca="false">IF(D105="Planned",ROW(),"")</f>
        <v/>
      </c>
      <c r="N105" s="32" t="str">
        <f aca="true">IF(K105=1,IF(E105="",0,TODAY()-E105)+ROW()/100000,"")</f>
        <v/>
      </c>
      <c r="O105" s="32" t="str">
        <f aca="false">IF(N105="","",RANK(N105,$N$2:$N$1000))</f>
        <v/>
      </c>
    </row>
    <row r="106" customFormat="false" ht="15" hidden="false" customHeight="false" outlineLevel="0" collapsed="false">
      <c r="A106" s="33" t="s">
        <v>94</v>
      </c>
      <c r="B106" s="33" t="s">
        <v>281</v>
      </c>
      <c r="C106" s="33" t="s">
        <v>136</v>
      </c>
      <c r="D106" s="33" t="s">
        <v>137</v>
      </c>
      <c r="E106" s="34" t="n">
        <v>46280</v>
      </c>
      <c r="F106" s="34" t="n">
        <v>46282</v>
      </c>
      <c r="G106" s="35" t="n">
        <f aca="true">IF(OR(E106="",J106=0),"",IF(F106&lt;&gt;"",F106-E106,TODAY()-E106))</f>
        <v>2</v>
      </c>
      <c r="H106" s="29"/>
      <c r="I106" s="33"/>
      <c r="J106" s="32" t="n">
        <f aca="false">IF(OR(D106="",D106="Planned"),0,1)</f>
        <v>1</v>
      </c>
      <c r="K106" s="32" t="n">
        <f aca="false">IF(OR(D106="Under review",D106="Revision requested"),1,0)</f>
        <v>0</v>
      </c>
      <c r="L106" s="36" t="n">
        <f aca="false">IF(AND(J106=1,E106&lt;&gt;""),E106+ROW()/100000,"")</f>
        <v>46280.00106</v>
      </c>
      <c r="M106" s="32" t="str">
        <f aca="false">IF(D106="Planned",ROW(),"")</f>
        <v/>
      </c>
      <c r="N106" s="32" t="str">
        <f aca="true">IF(K106=1,IF(E106="",0,TODAY()-E106)+ROW()/100000,"")</f>
        <v/>
      </c>
      <c r="O106" s="32" t="str">
        <f aca="false">IF(N106="","",RANK(N106,$N$2:$N$1000))</f>
        <v/>
      </c>
    </row>
    <row r="107" customFormat="false" ht="15" hidden="false" customHeight="false" outlineLevel="0" collapsed="false">
      <c r="A107" s="33" t="s">
        <v>94</v>
      </c>
      <c r="B107" s="33" t="s">
        <v>282</v>
      </c>
      <c r="C107" s="33" t="s">
        <v>142</v>
      </c>
      <c r="D107" s="33" t="s">
        <v>137</v>
      </c>
      <c r="E107" s="34" t="n">
        <v>46283</v>
      </c>
      <c r="F107" s="34" t="n">
        <v>46283</v>
      </c>
      <c r="G107" s="35" t="n">
        <f aca="true">IF(OR(E107="",J107=0),"",IF(F107&lt;&gt;"",F107-E107,TODAY()-E107))</f>
        <v>0</v>
      </c>
      <c r="H107" s="29" t="s">
        <v>283</v>
      </c>
      <c r="I107" s="33"/>
      <c r="J107" s="32" t="n">
        <f aca="false">IF(OR(D107="",D107="Planned"),0,1)</f>
        <v>1</v>
      </c>
      <c r="K107" s="32" t="n">
        <f aca="false">IF(OR(D107="Under review",D107="Revision requested"),1,0)</f>
        <v>0</v>
      </c>
      <c r="L107" s="36" t="n">
        <f aca="false">IF(AND(J107=1,E107&lt;&gt;""),E107+ROW()/100000,"")</f>
        <v>46283.00107</v>
      </c>
      <c r="M107" s="32" t="str">
        <f aca="false">IF(D107="Planned",ROW(),"")</f>
        <v/>
      </c>
      <c r="N107" s="32" t="str">
        <f aca="true">IF(K107=1,IF(E107="",0,TODAY()-E107)+ROW()/100000,"")</f>
        <v/>
      </c>
      <c r="O107" s="32" t="str">
        <f aca="false">IF(N107="","",RANK(N107,$N$2:$N$1000))</f>
        <v/>
      </c>
    </row>
    <row r="108" customFormat="false" ht="15" hidden="false" customHeight="false" outlineLevel="0" collapsed="false">
      <c r="A108" s="33" t="s">
        <v>94</v>
      </c>
      <c r="B108" s="33" t="s">
        <v>232</v>
      </c>
      <c r="C108" s="33" t="s">
        <v>136</v>
      </c>
      <c r="D108" s="33" t="s">
        <v>137</v>
      </c>
      <c r="E108" s="34" t="n">
        <v>46300</v>
      </c>
      <c r="F108" s="34" t="n">
        <v>46305</v>
      </c>
      <c r="G108" s="35" t="n">
        <f aca="true">IF(OR(E108="",J108=0),"",IF(F108&lt;&gt;"",F108-E108,TODAY()-E108))</f>
        <v>5</v>
      </c>
      <c r="H108" s="29"/>
      <c r="I108" s="33"/>
      <c r="J108" s="32" t="n">
        <f aca="false">IF(OR(D108="",D108="Planned"),0,1)</f>
        <v>1</v>
      </c>
      <c r="K108" s="32" t="n">
        <f aca="false">IF(OR(D108="Under review",D108="Revision requested"),1,0)</f>
        <v>0</v>
      </c>
      <c r="L108" s="36" t="n">
        <f aca="false">IF(AND(J108=1,E108&lt;&gt;""),E108+ROW()/100000,"")</f>
        <v>46300.00108</v>
      </c>
      <c r="M108" s="32" t="str">
        <f aca="false">IF(D108="Planned",ROW(),"")</f>
        <v/>
      </c>
      <c r="N108" s="32" t="str">
        <f aca="true">IF(K108=1,IF(E108="",0,TODAY()-E108)+ROW()/100000,"")</f>
        <v/>
      </c>
      <c r="O108" s="32" t="str">
        <f aca="false">IF(N108="","",RANK(N108,$N$2:$N$1000))</f>
        <v/>
      </c>
    </row>
    <row r="109" customFormat="false" ht="15" hidden="false" customHeight="false" outlineLevel="0" collapsed="false">
      <c r="A109" s="33" t="s">
        <v>94</v>
      </c>
      <c r="B109" s="33" t="s">
        <v>284</v>
      </c>
      <c r="C109" s="33" t="s">
        <v>285</v>
      </c>
      <c r="D109" s="33" t="s">
        <v>152</v>
      </c>
      <c r="E109" s="34"/>
      <c r="F109" s="34"/>
      <c r="G109" s="35" t="str">
        <f aca="true">IF(OR(E109="",J109=0),"",IF(F109&lt;&gt;"",F109-E109,TODAY()-E109))</f>
        <v/>
      </c>
      <c r="H109" s="29" t="s">
        <v>286</v>
      </c>
      <c r="I109" s="33"/>
      <c r="J109" s="32" t="n">
        <f aca="false">IF(OR(D109="",D109="Planned"),0,1)</f>
        <v>0</v>
      </c>
      <c r="K109" s="32" t="n">
        <f aca="false">IF(OR(D109="Under review",D109="Revision requested"),1,0)</f>
        <v>0</v>
      </c>
      <c r="L109" s="32" t="str">
        <f aca="false">IF(AND(J109=1,E109&lt;&gt;""),E109+ROW()/100000,"")</f>
        <v/>
      </c>
      <c r="M109" s="32" t="n">
        <f aca="false">IF(D109="Planned",ROW(),"")</f>
        <v>109</v>
      </c>
      <c r="N109" s="32" t="str">
        <f aca="true">IF(K109=1,IF(E109="",0,TODAY()-E109)+ROW()/100000,"")</f>
        <v/>
      </c>
      <c r="O109" s="32" t="str">
        <f aca="false">IF(N109="","",RANK(N109,$N$2:$N$1000))</f>
        <v/>
      </c>
    </row>
    <row r="110" customFormat="false" ht="15" hidden="false" customHeight="false" outlineLevel="0" collapsed="false">
      <c r="A110" s="33" t="s">
        <v>94</v>
      </c>
      <c r="B110" s="33" t="s">
        <v>145</v>
      </c>
      <c r="C110" s="33" t="s">
        <v>142</v>
      </c>
      <c r="D110" s="33" t="s">
        <v>152</v>
      </c>
      <c r="E110" s="34"/>
      <c r="F110" s="34"/>
      <c r="G110" s="35" t="str">
        <f aca="true">IF(OR(E110="",J110=0),"",IF(F110&lt;&gt;"",F110-E110,TODAY()-E110))</f>
        <v/>
      </c>
      <c r="H110" s="29"/>
      <c r="I110" s="33"/>
      <c r="J110" s="32" t="n">
        <f aca="false">IF(OR(D110="",D110="Planned"),0,1)</f>
        <v>0</v>
      </c>
      <c r="K110" s="32" t="n">
        <f aca="false">IF(OR(D110="Under review",D110="Revision requested"),1,0)</f>
        <v>0</v>
      </c>
      <c r="L110" s="32" t="str">
        <f aca="false">IF(AND(J110=1,E110&lt;&gt;""),E110+ROW()/100000,"")</f>
        <v/>
      </c>
      <c r="M110" s="32" t="n">
        <f aca="false">IF(D110="Planned",ROW(),"")</f>
        <v>110</v>
      </c>
      <c r="N110" s="32" t="str">
        <f aca="true">IF(K110=1,IF(E110="",0,TODAY()-E110)+ROW()/100000,"")</f>
        <v/>
      </c>
      <c r="O110" s="32" t="str">
        <f aca="false">IF(N110="","",RANK(N110,$N$2:$N$1000))</f>
        <v/>
      </c>
    </row>
    <row r="111" customFormat="false" ht="15" hidden="false" customHeight="false" outlineLevel="0" collapsed="false">
      <c r="A111" s="33" t="s">
        <v>94</v>
      </c>
      <c r="B111" s="33" t="s">
        <v>144</v>
      </c>
      <c r="C111" s="33" t="s">
        <v>136</v>
      </c>
      <c r="D111" s="33" t="s">
        <v>152</v>
      </c>
      <c r="E111" s="34"/>
      <c r="F111" s="34"/>
      <c r="G111" s="35" t="str">
        <f aca="true">IF(OR(E111="",J111=0),"",IF(F111&lt;&gt;"",F111-E111,TODAY()-E111))</f>
        <v/>
      </c>
      <c r="H111" s="29"/>
      <c r="I111" s="33"/>
      <c r="J111" s="32" t="n">
        <f aca="false">IF(OR(D111="",D111="Planned"),0,1)</f>
        <v>0</v>
      </c>
      <c r="K111" s="32" t="n">
        <f aca="false">IF(OR(D111="Under review",D111="Revision requested"),1,0)</f>
        <v>0</v>
      </c>
      <c r="L111" s="32" t="str">
        <f aca="false">IF(AND(J111=1,E111&lt;&gt;""),E111+ROW()/100000,"")</f>
        <v/>
      </c>
      <c r="M111" s="32" t="n">
        <f aca="false">IF(D111="Planned",ROW(),"")</f>
        <v>111</v>
      </c>
      <c r="N111" s="32" t="str">
        <f aca="true">IF(K111=1,IF(E111="",0,TODAY()-E111)+ROW()/100000,"")</f>
        <v/>
      </c>
      <c r="O111" s="32" t="str">
        <f aca="false">IF(N111="","",RANK(N111,$N$2:$N$1000))</f>
        <v/>
      </c>
    </row>
    <row r="112" customFormat="false" ht="15" hidden="false" customHeight="false" outlineLevel="0" collapsed="false">
      <c r="A112" s="33" t="s">
        <v>94</v>
      </c>
      <c r="B112" s="33" t="s">
        <v>287</v>
      </c>
      <c r="C112" s="33" t="s">
        <v>136</v>
      </c>
      <c r="D112" s="33" t="s">
        <v>152</v>
      </c>
      <c r="E112" s="34"/>
      <c r="F112" s="34"/>
      <c r="G112" s="35" t="str">
        <f aca="true">IF(OR(E112="",J112=0),"",IF(F112&lt;&gt;"",F112-E112,TODAY()-E112))</f>
        <v/>
      </c>
      <c r="H112" s="29"/>
      <c r="I112" s="33"/>
      <c r="J112" s="32" t="n">
        <f aca="false">IF(OR(D112="",D112="Planned"),0,1)</f>
        <v>0</v>
      </c>
      <c r="K112" s="32" t="n">
        <f aca="false">IF(OR(D112="Under review",D112="Revision requested"),1,0)</f>
        <v>0</v>
      </c>
      <c r="L112" s="32" t="str">
        <f aca="false">IF(AND(J112=1,E112&lt;&gt;""),E112+ROW()/100000,"")</f>
        <v/>
      </c>
      <c r="M112" s="32" t="n">
        <f aca="false">IF(D112="Planned",ROW(),"")</f>
        <v>112</v>
      </c>
      <c r="N112" s="32" t="str">
        <f aca="true">IF(K112=1,IF(E112="",0,TODAY()-E112)+ROW()/100000,"")</f>
        <v/>
      </c>
      <c r="O112" s="32" t="str">
        <f aca="false">IF(N112="","",RANK(N112,$N$2:$N$1000))</f>
        <v/>
      </c>
    </row>
    <row r="113" customFormat="false" ht="15" hidden="false" customHeight="false" outlineLevel="0" collapsed="false">
      <c r="A113" s="33" t="s">
        <v>94</v>
      </c>
      <c r="B113" s="33" t="s">
        <v>288</v>
      </c>
      <c r="C113" s="33" t="s">
        <v>142</v>
      </c>
      <c r="D113" s="33" t="s">
        <v>152</v>
      </c>
      <c r="E113" s="34"/>
      <c r="F113" s="34"/>
      <c r="G113" s="35" t="str">
        <f aca="true">IF(OR(E113="",J113=0),"",IF(F113&lt;&gt;"",F113-E113,TODAY()-E113))</f>
        <v/>
      </c>
      <c r="H113" s="29"/>
      <c r="I113" s="33"/>
      <c r="J113" s="32" t="n">
        <f aca="false">IF(OR(D113="",D113="Planned"),0,1)</f>
        <v>0</v>
      </c>
      <c r="K113" s="32" t="n">
        <f aca="false">IF(OR(D113="Under review",D113="Revision requested"),1,0)</f>
        <v>0</v>
      </c>
      <c r="L113" s="32" t="str">
        <f aca="false">IF(AND(J113=1,E113&lt;&gt;""),E113+ROW()/100000,"")</f>
        <v/>
      </c>
      <c r="M113" s="32" t="n">
        <f aca="false">IF(D113="Planned",ROW(),"")</f>
        <v>113</v>
      </c>
      <c r="N113" s="32" t="str">
        <f aca="true">IF(K113=1,IF(E113="",0,TODAY()-E113)+ROW()/100000,"")</f>
        <v/>
      </c>
      <c r="O113" s="32" t="str">
        <f aca="false">IF(N113="","",RANK(N113,$N$2:$N$1000))</f>
        <v/>
      </c>
    </row>
    <row r="114" customFormat="false" ht="15" hidden="false" customHeight="false" outlineLevel="0" collapsed="false">
      <c r="A114" s="33" t="s">
        <v>98</v>
      </c>
      <c r="B114" s="33" t="s">
        <v>289</v>
      </c>
      <c r="C114" s="33" t="s">
        <v>142</v>
      </c>
      <c r="D114" s="33" t="s">
        <v>152</v>
      </c>
      <c r="E114" s="34"/>
      <c r="F114" s="34"/>
      <c r="G114" s="35" t="str">
        <f aca="true">IF(OR(E114="",J114=0),"",IF(F114&lt;&gt;"",F114-E114,TODAY()-E114))</f>
        <v/>
      </c>
      <c r="H114" s="29"/>
      <c r="I114" s="33"/>
      <c r="J114" s="32" t="n">
        <f aca="false">IF(OR(D114="",D114="Planned"),0,1)</f>
        <v>0</v>
      </c>
      <c r="K114" s="32" t="n">
        <f aca="false">IF(OR(D114="Under review",D114="Revision requested"),1,0)</f>
        <v>0</v>
      </c>
      <c r="L114" s="32" t="str">
        <f aca="false">IF(AND(J114=1,E114&lt;&gt;""),E114+ROW()/100000,"")</f>
        <v/>
      </c>
      <c r="M114" s="32" t="n">
        <f aca="false">IF(D114="Planned",ROW(),"")</f>
        <v>114</v>
      </c>
      <c r="N114" s="32" t="str">
        <f aca="true">IF(K114=1,IF(E114="",0,TODAY()-E114)+ROW()/100000,"")</f>
        <v/>
      </c>
      <c r="O114" s="32" t="str">
        <f aca="false">IF(N114="","",RANK(N114,$N$2:$N$1000))</f>
        <v/>
      </c>
    </row>
    <row r="115" customFormat="false" ht="15" hidden="false" customHeight="false" outlineLevel="0" collapsed="false">
      <c r="A115" s="33" t="s">
        <v>100</v>
      </c>
      <c r="B115" s="33" t="s">
        <v>282</v>
      </c>
      <c r="C115" s="33" t="s">
        <v>142</v>
      </c>
      <c r="D115" s="33" t="s">
        <v>152</v>
      </c>
      <c r="E115" s="34"/>
      <c r="F115" s="34"/>
      <c r="G115" s="35" t="str">
        <f aca="true">IF(OR(E115="",J115=0),"",IF(F115&lt;&gt;"",F115-E115,TODAY()-E115))</f>
        <v/>
      </c>
      <c r="H115" s="29"/>
      <c r="I115" s="33"/>
      <c r="J115" s="32" t="n">
        <f aca="false">IF(OR(D115="",D115="Planned"),0,1)</f>
        <v>0</v>
      </c>
      <c r="K115" s="32" t="n">
        <f aca="false">IF(OR(D115="Under review",D115="Revision requested"),1,0)</f>
        <v>0</v>
      </c>
      <c r="L115" s="32" t="str">
        <f aca="false">IF(AND(J115=1,E115&lt;&gt;""),E115+ROW()/100000,"")</f>
        <v/>
      </c>
      <c r="M115" s="32" t="n">
        <f aca="false">IF(D115="Planned",ROW(),"")</f>
        <v>115</v>
      </c>
      <c r="N115" s="32" t="str">
        <f aca="true">IF(K115=1,IF(E115="",0,TODAY()-E115)+ROW()/100000,"")</f>
        <v/>
      </c>
      <c r="O115" s="32" t="str">
        <f aca="false">IF(N115="","",RANK(N115,$N$2:$N$1000))</f>
        <v/>
      </c>
    </row>
    <row r="116" customFormat="false" ht="15" hidden="false" customHeight="false" outlineLevel="0" collapsed="false">
      <c r="A116" s="33" t="s">
        <v>100</v>
      </c>
      <c r="B116" s="33" t="s">
        <v>288</v>
      </c>
      <c r="C116" s="33" t="s">
        <v>142</v>
      </c>
      <c r="D116" s="33" t="s">
        <v>152</v>
      </c>
      <c r="E116" s="34"/>
      <c r="F116" s="34"/>
      <c r="G116" s="35" t="str">
        <f aca="true">IF(OR(E116="",J116=0),"",IF(F116&lt;&gt;"",F116-E116,TODAY()-E116))</f>
        <v/>
      </c>
      <c r="H116" s="29"/>
      <c r="I116" s="33"/>
      <c r="J116" s="32" t="n">
        <f aca="false">IF(OR(D116="",D116="Planned"),0,1)</f>
        <v>0</v>
      </c>
      <c r="K116" s="32" t="n">
        <f aca="false">IF(OR(D116="Under review",D116="Revision requested"),1,0)</f>
        <v>0</v>
      </c>
      <c r="L116" s="32" t="str">
        <f aca="false">IF(AND(J116=1,E116&lt;&gt;""),E116+ROW()/100000,"")</f>
        <v/>
      </c>
      <c r="M116" s="32" t="n">
        <f aca="false">IF(D116="Planned",ROW(),"")</f>
        <v>116</v>
      </c>
      <c r="N116" s="32" t="str">
        <f aca="true">IF(K116=1,IF(E116="",0,TODAY()-E116)+ROW()/100000,"")</f>
        <v/>
      </c>
      <c r="O116" s="32" t="str">
        <f aca="false">IF(N116="","",RANK(N116,$N$2:$N$1000))</f>
        <v/>
      </c>
    </row>
    <row r="117" customFormat="false" ht="15" hidden="false" customHeight="false" outlineLevel="0" collapsed="false">
      <c r="A117" s="33" t="s">
        <v>100</v>
      </c>
      <c r="B117" s="33" t="s">
        <v>290</v>
      </c>
      <c r="C117" s="33" t="s">
        <v>136</v>
      </c>
      <c r="D117" s="33" t="s">
        <v>152</v>
      </c>
      <c r="E117" s="34"/>
      <c r="F117" s="34"/>
      <c r="G117" s="35" t="str">
        <f aca="true">IF(OR(E117="",J117=0),"",IF(F117&lt;&gt;"",F117-E117,TODAY()-E117))</f>
        <v/>
      </c>
      <c r="H117" s="29"/>
      <c r="I117" s="33"/>
      <c r="J117" s="32" t="n">
        <f aca="false">IF(OR(D117="",D117="Planned"),0,1)</f>
        <v>0</v>
      </c>
      <c r="K117" s="32" t="n">
        <f aca="false">IF(OR(D117="Under review",D117="Revision requested"),1,0)</f>
        <v>0</v>
      </c>
      <c r="L117" s="32" t="str">
        <f aca="false">IF(AND(J117=1,E117&lt;&gt;""),E117+ROW()/100000,"")</f>
        <v/>
      </c>
      <c r="M117" s="32" t="n">
        <f aca="false">IF(D117="Planned",ROW(),"")</f>
        <v>117</v>
      </c>
      <c r="N117" s="32" t="str">
        <f aca="true">IF(K117=1,IF(E117="",0,TODAY()-E117)+ROW()/100000,"")</f>
        <v/>
      </c>
      <c r="O117" s="32" t="str">
        <f aca="false">IF(N117="","",RANK(N117,$N$2:$N$1000))</f>
        <v/>
      </c>
    </row>
    <row r="118" customFormat="false" ht="15" hidden="false" customHeight="false" outlineLevel="0" collapsed="false">
      <c r="A118" s="33" t="s">
        <v>100</v>
      </c>
      <c r="B118" s="33" t="s">
        <v>291</v>
      </c>
      <c r="C118" s="33" t="s">
        <v>136</v>
      </c>
      <c r="D118" s="33" t="s">
        <v>152</v>
      </c>
      <c r="E118" s="34"/>
      <c r="F118" s="34"/>
      <c r="G118" s="35" t="str">
        <f aca="true">IF(OR(E118="",J118=0),"",IF(F118&lt;&gt;"",F118-E118,TODAY()-E118))</f>
        <v/>
      </c>
      <c r="H118" s="29"/>
      <c r="I118" s="33"/>
      <c r="J118" s="32" t="n">
        <f aca="false">IF(OR(D118="",D118="Planned"),0,1)</f>
        <v>0</v>
      </c>
      <c r="K118" s="32" t="n">
        <f aca="false">IF(OR(D118="Under review",D118="Revision requested"),1,0)</f>
        <v>0</v>
      </c>
      <c r="L118" s="32" t="str">
        <f aca="false">IF(AND(J118=1,E118&lt;&gt;""),E118+ROW()/100000,"")</f>
        <v/>
      </c>
      <c r="M118" s="32" t="n">
        <f aca="false">IF(D118="Planned",ROW(),"")</f>
        <v>118</v>
      </c>
      <c r="N118" s="32" t="str">
        <f aca="true">IF(K118=1,IF(E118="",0,TODAY()-E118)+ROW()/100000,"")</f>
        <v/>
      </c>
      <c r="O118" s="32" t="str">
        <f aca="false">IF(N118="","",RANK(N118,$N$2:$N$1000))</f>
        <v/>
      </c>
    </row>
    <row r="119" customFormat="false" ht="15" hidden="false" customHeight="false" outlineLevel="0" collapsed="false">
      <c r="A119" s="33" t="s">
        <v>100</v>
      </c>
      <c r="B119" s="33" t="s">
        <v>278</v>
      </c>
      <c r="C119" s="33" t="s">
        <v>136</v>
      </c>
      <c r="D119" s="33" t="s">
        <v>152</v>
      </c>
      <c r="E119" s="34"/>
      <c r="F119" s="34"/>
      <c r="G119" s="35" t="str">
        <f aca="true">IF(OR(E119="",J119=0),"",IF(F119&lt;&gt;"",F119-E119,TODAY()-E119))</f>
        <v/>
      </c>
      <c r="H119" s="29"/>
      <c r="I119" s="33"/>
      <c r="J119" s="32" t="n">
        <f aca="false">IF(OR(D119="",D119="Planned"),0,1)</f>
        <v>0</v>
      </c>
      <c r="K119" s="32" t="n">
        <f aca="false">IF(OR(D119="Under review",D119="Revision requested"),1,0)</f>
        <v>0</v>
      </c>
      <c r="L119" s="32" t="str">
        <f aca="false">IF(AND(J119=1,E119&lt;&gt;""),E119+ROW()/100000,"")</f>
        <v/>
      </c>
      <c r="M119" s="32" t="n">
        <f aca="false">IF(D119="Planned",ROW(),"")</f>
        <v>119</v>
      </c>
      <c r="N119" s="32" t="str">
        <f aca="true">IF(K119=1,IF(E119="",0,TODAY()-E119)+ROW()/100000,"")</f>
        <v/>
      </c>
      <c r="O119" s="32" t="str">
        <f aca="false">IF(N119="","",RANK(N119,$N$2:$N$1000))</f>
        <v/>
      </c>
    </row>
    <row r="120" customFormat="false" ht="15" hidden="false" customHeight="false" outlineLevel="0" collapsed="false">
      <c r="A120" s="33" t="s">
        <v>100</v>
      </c>
      <c r="B120" s="33" t="s">
        <v>292</v>
      </c>
      <c r="C120" s="33" t="s">
        <v>136</v>
      </c>
      <c r="D120" s="33" t="s">
        <v>152</v>
      </c>
      <c r="E120" s="34"/>
      <c r="F120" s="34"/>
      <c r="G120" s="35" t="str">
        <f aca="true">IF(OR(E120="",J120=0),"",IF(F120&lt;&gt;"",F120-E120,TODAY()-E120))</f>
        <v/>
      </c>
      <c r="H120" s="29"/>
      <c r="I120" s="33"/>
      <c r="J120" s="32" t="n">
        <f aca="false">IF(OR(D120="",D120="Planned"),0,1)</f>
        <v>0</v>
      </c>
      <c r="K120" s="32" t="n">
        <f aca="false">IF(OR(D120="Under review",D120="Revision requested"),1,0)</f>
        <v>0</v>
      </c>
      <c r="L120" s="32" t="str">
        <f aca="false">IF(AND(J120=1,E120&lt;&gt;""),E120+ROW()/100000,"")</f>
        <v/>
      </c>
      <c r="M120" s="32" t="n">
        <f aca="false">IF(D120="Planned",ROW(),"")</f>
        <v>120</v>
      </c>
      <c r="N120" s="32" t="str">
        <f aca="true">IF(K120=1,IF(E120="",0,TODAY()-E120)+ROW()/100000,"")</f>
        <v/>
      </c>
      <c r="O120" s="32" t="str">
        <f aca="false">IF(N120="","",RANK(N120,$N$2:$N$1000))</f>
        <v/>
      </c>
    </row>
    <row r="121" customFormat="false" ht="15" hidden="false" customHeight="false" outlineLevel="0" collapsed="false">
      <c r="A121" s="33" t="s">
        <v>100</v>
      </c>
      <c r="B121" s="33" t="s">
        <v>258</v>
      </c>
      <c r="C121" s="33" t="s">
        <v>142</v>
      </c>
      <c r="D121" s="33" t="s">
        <v>152</v>
      </c>
      <c r="E121" s="34"/>
      <c r="F121" s="34"/>
      <c r="G121" s="35" t="str">
        <f aca="true">IF(OR(E121="",J121=0),"",IF(F121&lt;&gt;"",F121-E121,TODAY()-E121))</f>
        <v/>
      </c>
      <c r="H121" s="29"/>
      <c r="I121" s="33"/>
      <c r="J121" s="32" t="n">
        <f aca="false">IF(OR(D121="",D121="Planned"),0,1)</f>
        <v>0</v>
      </c>
      <c r="K121" s="32" t="n">
        <f aca="false">IF(OR(D121="Under review",D121="Revision requested"),1,0)</f>
        <v>0</v>
      </c>
      <c r="L121" s="32" t="str">
        <f aca="false">IF(AND(J121=1,E121&lt;&gt;""),E121+ROW()/100000,"")</f>
        <v/>
      </c>
      <c r="M121" s="32" t="n">
        <f aca="false">IF(D121="Planned",ROW(),"")</f>
        <v>121</v>
      </c>
      <c r="N121" s="32" t="str">
        <f aca="true">IF(K121=1,IF(E121="",0,TODAY()-E121)+ROW()/100000,"")</f>
        <v/>
      </c>
      <c r="O121" s="32" t="str">
        <f aca="false">IF(N121="","",RANK(N121,$N$2:$N$1000))</f>
        <v/>
      </c>
    </row>
    <row r="122" customFormat="false" ht="15" hidden="false" customHeight="false" outlineLevel="0" collapsed="false">
      <c r="A122" s="33" t="s">
        <v>100</v>
      </c>
      <c r="B122" s="33" t="s">
        <v>293</v>
      </c>
      <c r="C122" s="33" t="s">
        <v>142</v>
      </c>
      <c r="D122" s="33" t="s">
        <v>152</v>
      </c>
      <c r="E122" s="34"/>
      <c r="F122" s="34"/>
      <c r="G122" s="35" t="str">
        <f aca="true">IF(OR(E122="",J122=0),"",IF(F122&lt;&gt;"",F122-E122,TODAY()-E122))</f>
        <v/>
      </c>
      <c r="H122" s="29"/>
      <c r="I122" s="33"/>
      <c r="J122" s="32" t="n">
        <f aca="false">IF(OR(D122="",D122="Planned"),0,1)</f>
        <v>0</v>
      </c>
      <c r="K122" s="32" t="n">
        <f aca="false">IF(OR(D122="Under review",D122="Revision requested"),1,0)</f>
        <v>0</v>
      </c>
      <c r="L122" s="32" t="str">
        <f aca="false">IF(AND(J122=1,E122&lt;&gt;""),E122+ROW()/100000,"")</f>
        <v/>
      </c>
      <c r="M122" s="32" t="n">
        <f aca="false">IF(D122="Planned",ROW(),"")</f>
        <v>122</v>
      </c>
      <c r="N122" s="32" t="str">
        <f aca="true">IF(K122=1,IF(E122="",0,TODAY()-E122)+ROW()/100000,"")</f>
        <v/>
      </c>
      <c r="O122" s="32" t="str">
        <f aca="false">IF(N122="","",RANK(N122,$N$2:$N$1000))</f>
        <v/>
      </c>
    </row>
    <row r="123" customFormat="false" ht="15" hidden="false" customHeight="false" outlineLevel="0" collapsed="false">
      <c r="A123" s="33" t="s">
        <v>103</v>
      </c>
      <c r="B123" s="33" t="s">
        <v>294</v>
      </c>
      <c r="C123" s="33" t="s">
        <v>136</v>
      </c>
      <c r="D123" s="33" t="s">
        <v>137</v>
      </c>
      <c r="E123" s="34" t="n">
        <v>45474</v>
      </c>
      <c r="F123" s="34" t="n">
        <v>45499</v>
      </c>
      <c r="G123" s="35" t="n">
        <f aca="true">IF(OR(E123="",J123=0),"",IF(F123&lt;&gt;"",F123-E123,TODAY()-E123))</f>
        <v>25</v>
      </c>
      <c r="H123" s="29"/>
      <c r="I123" s="33"/>
      <c r="J123" s="32" t="n">
        <f aca="false">IF(OR(D123="",D123="Planned"),0,1)</f>
        <v>1</v>
      </c>
      <c r="K123" s="32" t="n">
        <f aca="false">IF(OR(D123="Under review",D123="Revision requested"),1,0)</f>
        <v>0</v>
      </c>
      <c r="L123" s="36" t="n">
        <f aca="false">IF(AND(J123=1,E123&lt;&gt;""),E123+ROW()/100000,"")</f>
        <v>45474.00123</v>
      </c>
      <c r="M123" s="32" t="str">
        <f aca="false">IF(D123="Planned",ROW(),"")</f>
        <v/>
      </c>
      <c r="N123" s="32" t="str">
        <f aca="true">IF(K123=1,IF(E123="",0,TODAY()-E123)+ROW()/100000,"")</f>
        <v/>
      </c>
      <c r="O123" s="32" t="str">
        <f aca="false">IF(N123="","",RANK(N123,$N$2:$N$1000))</f>
        <v/>
      </c>
    </row>
    <row r="124" customFormat="false" ht="15" hidden="false" customHeight="false" outlineLevel="0" collapsed="false">
      <c r="A124" s="33" t="s">
        <v>103</v>
      </c>
      <c r="B124" s="33" t="s">
        <v>287</v>
      </c>
      <c r="C124" s="33" t="s">
        <v>136</v>
      </c>
      <c r="D124" s="33" t="s">
        <v>137</v>
      </c>
      <c r="E124" s="34" t="n">
        <v>45500</v>
      </c>
      <c r="F124" s="34" t="n">
        <v>45511</v>
      </c>
      <c r="G124" s="35" t="n">
        <f aca="true">IF(OR(E124="",J124=0),"",IF(F124&lt;&gt;"",F124-E124,TODAY()-E124))</f>
        <v>11</v>
      </c>
      <c r="H124" s="29" t="s">
        <v>295</v>
      </c>
      <c r="I124" s="33"/>
      <c r="J124" s="32" t="n">
        <f aca="false">IF(OR(D124="",D124="Planned"),0,1)</f>
        <v>1</v>
      </c>
      <c r="K124" s="32" t="n">
        <f aca="false">IF(OR(D124="Under review",D124="Revision requested"),1,0)</f>
        <v>0</v>
      </c>
      <c r="L124" s="36" t="n">
        <f aca="false">IF(AND(J124=1,E124&lt;&gt;""),E124+ROW()/100000,"")</f>
        <v>45500.00124</v>
      </c>
      <c r="M124" s="32" t="str">
        <f aca="false">IF(D124="Planned",ROW(),"")</f>
        <v/>
      </c>
      <c r="N124" s="32" t="str">
        <f aca="true">IF(K124=1,IF(E124="",0,TODAY()-E124)+ROW()/100000,"")</f>
        <v/>
      </c>
      <c r="O124" s="32" t="str">
        <f aca="false">IF(N124="","",RANK(N124,$N$2:$N$1000))</f>
        <v/>
      </c>
    </row>
    <row r="125" customFormat="false" ht="15" hidden="false" customHeight="false" outlineLevel="0" collapsed="false">
      <c r="A125" s="33" t="s">
        <v>103</v>
      </c>
      <c r="B125" s="33" t="s">
        <v>171</v>
      </c>
      <c r="C125" s="33" t="s">
        <v>136</v>
      </c>
      <c r="D125" s="33" t="s">
        <v>137</v>
      </c>
      <c r="E125" s="34" t="n">
        <v>45501</v>
      </c>
      <c r="F125" s="34" t="n">
        <v>45503</v>
      </c>
      <c r="G125" s="35" t="n">
        <f aca="true">IF(OR(E125="",J125=0),"",IF(F125&lt;&gt;"",F125-E125,TODAY()-E125))</f>
        <v>2</v>
      </c>
      <c r="H125" s="29" t="s">
        <v>296</v>
      </c>
      <c r="I125" s="33"/>
      <c r="J125" s="32" t="n">
        <f aca="false">IF(OR(D125="",D125="Planned"),0,1)</f>
        <v>1</v>
      </c>
      <c r="K125" s="32" t="n">
        <f aca="false">IF(OR(D125="Under review",D125="Revision requested"),1,0)</f>
        <v>0</v>
      </c>
      <c r="L125" s="36" t="n">
        <f aca="false">IF(AND(J125=1,E125&lt;&gt;""),E125+ROW()/100000,"")</f>
        <v>45501.00125</v>
      </c>
      <c r="M125" s="32" t="str">
        <f aca="false">IF(D125="Planned",ROW(),"")</f>
        <v/>
      </c>
      <c r="N125" s="32" t="str">
        <f aca="true">IF(K125=1,IF(E125="",0,TODAY()-E125)+ROW()/100000,"")</f>
        <v/>
      </c>
      <c r="O125" s="32" t="str">
        <f aca="false">IF(N125="","",RANK(N125,$N$2:$N$1000))</f>
        <v/>
      </c>
    </row>
    <row r="126" customFormat="false" ht="15" hidden="false" customHeight="false" outlineLevel="0" collapsed="false">
      <c r="A126" s="33" t="s">
        <v>103</v>
      </c>
      <c r="B126" s="33" t="s">
        <v>144</v>
      </c>
      <c r="C126" s="33" t="s">
        <v>136</v>
      </c>
      <c r="D126" s="33" t="s">
        <v>137</v>
      </c>
      <c r="E126" s="34" t="n">
        <v>45509</v>
      </c>
      <c r="F126" s="34" t="n">
        <v>45520</v>
      </c>
      <c r="G126" s="35" t="n">
        <f aca="true">IF(OR(E126="",J126=0),"",IF(F126&lt;&gt;"",F126-E126,TODAY()-E126))</f>
        <v>11</v>
      </c>
      <c r="H126" s="29" t="s">
        <v>297</v>
      </c>
      <c r="I126" s="33"/>
      <c r="J126" s="32" t="n">
        <f aca="false">IF(OR(D126="",D126="Planned"),0,1)</f>
        <v>1</v>
      </c>
      <c r="K126" s="32" t="n">
        <f aca="false">IF(OR(D126="Under review",D126="Revision requested"),1,0)</f>
        <v>0</v>
      </c>
      <c r="L126" s="36" t="n">
        <f aca="false">IF(AND(J126=1,E126&lt;&gt;""),E126+ROW()/100000,"")</f>
        <v>45509.00126</v>
      </c>
      <c r="M126" s="32" t="str">
        <f aca="false">IF(D126="Planned",ROW(),"")</f>
        <v/>
      </c>
      <c r="N126" s="32" t="str">
        <f aca="true">IF(K126=1,IF(E126="",0,TODAY()-E126)+ROW()/100000,"")</f>
        <v/>
      </c>
      <c r="O126" s="32" t="str">
        <f aca="false">IF(N126="","",RANK(N126,$N$2:$N$1000))</f>
        <v/>
      </c>
    </row>
    <row r="127" customFormat="false" ht="15" hidden="false" customHeight="false" outlineLevel="0" collapsed="false">
      <c r="A127" s="33" t="s">
        <v>103</v>
      </c>
      <c r="B127" s="33" t="s">
        <v>140</v>
      </c>
      <c r="C127" s="33" t="s">
        <v>136</v>
      </c>
      <c r="D127" s="33" t="s">
        <v>137</v>
      </c>
      <c r="E127" s="34" t="n">
        <v>45512</v>
      </c>
      <c r="F127" s="34" t="n">
        <v>45518</v>
      </c>
      <c r="G127" s="35" t="n">
        <f aca="true">IF(OR(E127="",J127=0),"",IF(F127&lt;&gt;"",F127-E127,TODAY()-E127))</f>
        <v>6</v>
      </c>
      <c r="H127" s="29"/>
      <c r="I127" s="33"/>
      <c r="J127" s="32" t="n">
        <f aca="false">IF(OR(D127="",D127="Planned"),0,1)</f>
        <v>1</v>
      </c>
      <c r="K127" s="32" t="n">
        <f aca="false">IF(OR(D127="Under review",D127="Revision requested"),1,0)</f>
        <v>0</v>
      </c>
      <c r="L127" s="36" t="n">
        <f aca="false">IF(AND(J127=1,E127&lt;&gt;""),E127+ROW()/100000,"")</f>
        <v>45512.00127</v>
      </c>
      <c r="M127" s="32" t="str">
        <f aca="false">IF(D127="Planned",ROW(),"")</f>
        <v/>
      </c>
      <c r="N127" s="32" t="str">
        <f aca="true">IF(K127=1,IF(E127="",0,TODAY()-E127)+ROW()/100000,"")</f>
        <v/>
      </c>
      <c r="O127" s="32" t="str">
        <f aca="false">IF(N127="","",RANK(N127,$N$2:$N$1000))</f>
        <v/>
      </c>
    </row>
    <row r="128" customFormat="false" ht="15" hidden="false" customHeight="false" outlineLevel="0" collapsed="false">
      <c r="A128" s="33" t="s">
        <v>103</v>
      </c>
      <c r="B128" s="33" t="s">
        <v>298</v>
      </c>
      <c r="C128" s="33" t="s">
        <v>136</v>
      </c>
      <c r="D128" s="33" t="s">
        <v>137</v>
      </c>
      <c r="E128" s="34" t="n">
        <v>45518</v>
      </c>
      <c r="F128" s="34" t="n">
        <v>45524</v>
      </c>
      <c r="G128" s="35" t="n">
        <f aca="true">IF(OR(E128="",J128=0),"",IF(F128&lt;&gt;"",F128-E128,TODAY()-E128))</f>
        <v>6</v>
      </c>
      <c r="H128" s="29" t="s">
        <v>299</v>
      </c>
      <c r="I128" s="33"/>
      <c r="J128" s="32" t="n">
        <f aca="false">IF(OR(D128="",D128="Planned"),0,1)</f>
        <v>1</v>
      </c>
      <c r="K128" s="32" t="n">
        <f aca="false">IF(OR(D128="Under review",D128="Revision requested"),1,0)</f>
        <v>0</v>
      </c>
      <c r="L128" s="36" t="n">
        <f aca="false">IF(AND(J128=1,E128&lt;&gt;""),E128+ROW()/100000,"")</f>
        <v>45518.00128</v>
      </c>
      <c r="M128" s="32" t="str">
        <f aca="false">IF(D128="Planned",ROW(),"")</f>
        <v/>
      </c>
      <c r="N128" s="32" t="str">
        <f aca="true">IF(K128=1,IF(E128="",0,TODAY()-E128)+ROW()/100000,"")</f>
        <v/>
      </c>
      <c r="O128" s="32" t="str">
        <f aca="false">IF(N128="","",RANK(N128,$N$2:$N$1000))</f>
        <v/>
      </c>
    </row>
    <row r="129" customFormat="false" ht="15" hidden="false" customHeight="false" outlineLevel="0" collapsed="false">
      <c r="A129" s="33" t="s">
        <v>103</v>
      </c>
      <c r="B129" s="33" t="s">
        <v>143</v>
      </c>
      <c r="C129" s="33" t="s">
        <v>142</v>
      </c>
      <c r="D129" s="33" t="s">
        <v>137</v>
      </c>
      <c r="E129" s="34" t="n">
        <v>45525</v>
      </c>
      <c r="F129" s="34" t="n">
        <v>45525</v>
      </c>
      <c r="G129" s="35" t="n">
        <f aca="true">IF(OR(E129="",J129=0),"",IF(F129&lt;&gt;"",F129-E129,TODAY()-E129))</f>
        <v>0</v>
      </c>
      <c r="H129" s="29"/>
      <c r="I129" s="33"/>
      <c r="J129" s="32" t="n">
        <f aca="false">IF(OR(D129="",D129="Planned"),0,1)</f>
        <v>1</v>
      </c>
      <c r="K129" s="32" t="n">
        <f aca="false">IF(OR(D129="Under review",D129="Revision requested"),1,0)</f>
        <v>0</v>
      </c>
      <c r="L129" s="36" t="n">
        <f aca="false">IF(AND(J129=1,E129&lt;&gt;""),E129+ROW()/100000,"")</f>
        <v>45525.00129</v>
      </c>
      <c r="M129" s="32" t="str">
        <f aca="false">IF(D129="Planned",ROW(),"")</f>
        <v/>
      </c>
      <c r="N129" s="32" t="str">
        <f aca="true">IF(K129=1,IF(E129="",0,TODAY()-E129)+ROW()/100000,"")</f>
        <v/>
      </c>
      <c r="O129" s="32" t="str">
        <f aca="false">IF(N129="","",RANK(N129,$N$2:$N$1000))</f>
        <v/>
      </c>
    </row>
    <row r="130" customFormat="false" ht="15" hidden="false" customHeight="false" outlineLevel="0" collapsed="false">
      <c r="A130" s="33" t="s">
        <v>103</v>
      </c>
      <c r="B130" s="33" t="s">
        <v>300</v>
      </c>
      <c r="C130" s="33" t="s">
        <v>301</v>
      </c>
      <c r="D130" s="33" t="s">
        <v>137</v>
      </c>
      <c r="E130" s="34" t="n">
        <v>45525</v>
      </c>
      <c r="F130" s="34" t="n">
        <v>45532</v>
      </c>
      <c r="G130" s="35" t="n">
        <f aca="true">IF(OR(E130="",J130=0),"",IF(F130&lt;&gt;"",F130-E130,TODAY()-E130))</f>
        <v>7</v>
      </c>
      <c r="H130" s="29" t="s">
        <v>302</v>
      </c>
      <c r="I130" s="33"/>
      <c r="J130" s="32" t="n">
        <f aca="false">IF(OR(D130="",D130="Planned"),0,1)</f>
        <v>1</v>
      </c>
      <c r="K130" s="32" t="n">
        <f aca="false">IF(OR(D130="Under review",D130="Revision requested"),1,0)</f>
        <v>0</v>
      </c>
      <c r="L130" s="36" t="n">
        <f aca="false">IF(AND(J130=1,E130&lt;&gt;""),E130+ROW()/100000,"")</f>
        <v>45525.0013</v>
      </c>
      <c r="M130" s="32" t="str">
        <f aca="false">IF(D130="Planned",ROW(),"")</f>
        <v/>
      </c>
      <c r="N130" s="32" t="str">
        <f aca="true">IF(K130=1,IF(E130="",0,TODAY()-E130)+ROW()/100000,"")</f>
        <v/>
      </c>
      <c r="O130" s="32" t="str">
        <f aca="false">IF(N130="","",RANK(N130,$N$2:$N$1000))</f>
        <v/>
      </c>
    </row>
    <row r="131" customFormat="false" ht="15" hidden="false" customHeight="false" outlineLevel="0" collapsed="false">
      <c r="A131" s="33" t="s">
        <v>103</v>
      </c>
      <c r="B131" s="33" t="s">
        <v>303</v>
      </c>
      <c r="C131" s="33" t="s">
        <v>136</v>
      </c>
      <c r="D131" s="33" t="s">
        <v>137</v>
      </c>
      <c r="E131" s="34" t="n">
        <v>45525</v>
      </c>
      <c r="F131" s="34" t="n">
        <v>45577</v>
      </c>
      <c r="G131" s="35" t="n">
        <f aca="true">IF(OR(E131="",J131=0),"",IF(F131&lt;&gt;"",F131-E131,TODAY()-E131))</f>
        <v>52</v>
      </c>
      <c r="H131" s="29"/>
      <c r="I131" s="33"/>
      <c r="J131" s="32" t="n">
        <f aca="false">IF(OR(D131="",D131="Planned"),0,1)</f>
        <v>1</v>
      </c>
      <c r="K131" s="32" t="n">
        <f aca="false">IF(OR(D131="Under review",D131="Revision requested"),1,0)</f>
        <v>0</v>
      </c>
      <c r="L131" s="36" t="n">
        <f aca="false">IF(AND(J131=1,E131&lt;&gt;""),E131+ROW()/100000,"")</f>
        <v>45525.00131</v>
      </c>
      <c r="M131" s="32" t="str">
        <f aca="false">IF(D131="Planned",ROW(),"")</f>
        <v/>
      </c>
      <c r="N131" s="32" t="str">
        <f aca="true">IF(K131=1,IF(E131="",0,TODAY()-E131)+ROW()/100000,"")</f>
        <v/>
      </c>
      <c r="O131" s="32" t="str">
        <f aca="false">IF(N131="","",RANK(N131,$N$2:$N$1000))</f>
        <v/>
      </c>
    </row>
    <row r="132" customFormat="false" ht="15" hidden="false" customHeight="false" outlineLevel="0" collapsed="false">
      <c r="A132" s="33" t="s">
        <v>103</v>
      </c>
      <c r="B132" s="33" t="s">
        <v>304</v>
      </c>
      <c r="C132" s="33" t="s">
        <v>136</v>
      </c>
      <c r="D132" s="33" t="s">
        <v>137</v>
      </c>
      <c r="E132" s="34" t="n">
        <v>45525</v>
      </c>
      <c r="F132" s="34" t="n">
        <v>45555</v>
      </c>
      <c r="G132" s="35" t="n">
        <f aca="true">IF(OR(E132="",J132=0),"",IF(F132&lt;&gt;"",F132-E132,TODAY()-E132))</f>
        <v>30</v>
      </c>
      <c r="H132" s="29" t="s">
        <v>305</v>
      </c>
      <c r="I132" s="33"/>
      <c r="J132" s="32" t="n">
        <f aca="false">IF(OR(D132="",D132="Planned"),0,1)</f>
        <v>1</v>
      </c>
      <c r="K132" s="32" t="n">
        <f aca="false">IF(OR(D132="Under review",D132="Revision requested"),1,0)</f>
        <v>0</v>
      </c>
      <c r="L132" s="36" t="n">
        <f aca="false">IF(AND(J132=1,E132&lt;&gt;""),E132+ROW()/100000,"")</f>
        <v>45525.00132</v>
      </c>
      <c r="M132" s="32" t="str">
        <f aca="false">IF(D132="Planned",ROW(),"")</f>
        <v/>
      </c>
      <c r="N132" s="32" t="str">
        <f aca="true">IF(K132=1,IF(E132="",0,TODAY()-E132)+ROW()/100000,"")</f>
        <v/>
      </c>
      <c r="O132" s="32" t="str">
        <f aca="false">IF(N132="","",RANK(N132,$N$2:$N$1000))</f>
        <v/>
      </c>
    </row>
    <row r="133" customFormat="false" ht="15" hidden="false" customHeight="false" outlineLevel="0" collapsed="false">
      <c r="A133" s="33" t="s">
        <v>103</v>
      </c>
      <c r="B133" s="33" t="s">
        <v>306</v>
      </c>
      <c r="C133" s="33" t="s">
        <v>307</v>
      </c>
      <c r="D133" s="33" t="s">
        <v>308</v>
      </c>
      <c r="E133" s="34" t="n">
        <v>45630</v>
      </c>
      <c r="F133" s="34" t="n">
        <v>45868</v>
      </c>
      <c r="G133" s="35" t="n">
        <f aca="true">IF(OR(E133="",J133=0),"",IF(F133&lt;&gt;"",F133-E133,TODAY()-E133))</f>
        <v>238</v>
      </c>
      <c r="H133" s="29" t="s">
        <v>309</v>
      </c>
      <c r="I133" s="33"/>
      <c r="J133" s="32" t="n">
        <f aca="false">IF(OR(D133="",D133="Planned"),0,1)</f>
        <v>1</v>
      </c>
      <c r="K133" s="32" t="n">
        <f aca="false">IF(OR(D133="Under review",D133="Revision requested"),1,0)</f>
        <v>0</v>
      </c>
      <c r="L133" s="36" t="n">
        <f aca="false">IF(AND(J133=1,E133&lt;&gt;""),E133+ROW()/100000,"")</f>
        <v>45630.00133</v>
      </c>
      <c r="M133" s="32" t="str">
        <f aca="false">IF(D133="Planned",ROW(),"")</f>
        <v/>
      </c>
      <c r="N133" s="32" t="str">
        <f aca="true">IF(K133=1,IF(E133="",0,TODAY()-E133)+ROW()/100000,"")</f>
        <v/>
      </c>
      <c r="O133" s="32" t="str">
        <f aca="false">IF(N133="","",RANK(N133,$N$2:$N$1000))</f>
        <v/>
      </c>
    </row>
    <row r="134" customFormat="false" ht="15" hidden="false" customHeight="false" outlineLevel="0" collapsed="false">
      <c r="A134" s="33" t="s">
        <v>103</v>
      </c>
      <c r="B134" s="33" t="s">
        <v>310</v>
      </c>
      <c r="C134" s="33" t="s">
        <v>311</v>
      </c>
      <c r="D134" s="33" t="s">
        <v>137</v>
      </c>
      <c r="E134" s="34" t="n">
        <v>45782</v>
      </c>
      <c r="F134" s="34" t="n">
        <v>45782</v>
      </c>
      <c r="G134" s="35" t="n">
        <f aca="true">IF(OR(E134="",J134=0),"",IF(F134&lt;&gt;"",F134-E134,TODAY()-E134))</f>
        <v>0</v>
      </c>
      <c r="H134" s="29"/>
      <c r="I134" s="33"/>
      <c r="J134" s="32" t="n">
        <f aca="false">IF(OR(D134="",D134="Planned"),0,1)</f>
        <v>1</v>
      </c>
      <c r="K134" s="32" t="n">
        <f aca="false">IF(OR(D134="Under review",D134="Revision requested"),1,0)</f>
        <v>0</v>
      </c>
      <c r="L134" s="36" t="n">
        <f aca="false">IF(AND(J134=1,E134&lt;&gt;""),E134+ROW()/100000,"")</f>
        <v>45782.00134</v>
      </c>
      <c r="M134" s="32" t="str">
        <f aca="false">IF(D134="Planned",ROW(),"")</f>
        <v/>
      </c>
      <c r="N134" s="32" t="str">
        <f aca="true">IF(K134=1,IF(E134="",0,TODAY()-E134)+ROW()/100000,"")</f>
        <v/>
      </c>
      <c r="O134" s="32" t="str">
        <f aca="false">IF(N134="","",RANK(N134,$N$2:$N$1000))</f>
        <v/>
      </c>
    </row>
    <row r="135" customFormat="false" ht="15" hidden="false" customHeight="false" outlineLevel="0" collapsed="false">
      <c r="A135" s="33" t="s">
        <v>103</v>
      </c>
      <c r="B135" s="33" t="s">
        <v>312</v>
      </c>
      <c r="C135" s="33" t="s">
        <v>142</v>
      </c>
      <c r="D135" s="33" t="s">
        <v>137</v>
      </c>
      <c r="E135" s="34" t="n">
        <v>45784</v>
      </c>
      <c r="F135" s="34" t="n">
        <v>45796</v>
      </c>
      <c r="G135" s="35" t="n">
        <f aca="true">IF(OR(E135="",J135=0),"",IF(F135&lt;&gt;"",F135-E135,TODAY()-E135))</f>
        <v>12</v>
      </c>
      <c r="H135" s="29"/>
      <c r="I135" s="33"/>
      <c r="J135" s="32" t="n">
        <f aca="false">IF(OR(D135="",D135="Planned"),0,1)</f>
        <v>1</v>
      </c>
      <c r="K135" s="32" t="n">
        <f aca="false">IF(OR(D135="Under review",D135="Revision requested"),1,0)</f>
        <v>0</v>
      </c>
      <c r="L135" s="36" t="n">
        <f aca="false">IF(AND(J135=1,E135&lt;&gt;""),E135+ROW()/100000,"")</f>
        <v>45784.00135</v>
      </c>
      <c r="M135" s="32" t="str">
        <f aca="false">IF(D135="Planned",ROW(),"")</f>
        <v/>
      </c>
      <c r="N135" s="32" t="str">
        <f aca="true">IF(K135=1,IF(E135="",0,TODAY()-E135)+ROW()/100000,"")</f>
        <v/>
      </c>
      <c r="O135" s="32" t="str">
        <f aca="false">IF(N135="","",RANK(N135,$N$2:$N$1000))</f>
        <v/>
      </c>
    </row>
    <row r="136" customFormat="false" ht="15" hidden="false" customHeight="false" outlineLevel="0" collapsed="false">
      <c r="A136" s="33" t="s">
        <v>103</v>
      </c>
      <c r="B136" s="33" t="s">
        <v>306</v>
      </c>
      <c r="C136" s="33" t="s">
        <v>307</v>
      </c>
      <c r="D136" s="33" t="s">
        <v>148</v>
      </c>
      <c r="E136" s="34" t="n">
        <v>46045</v>
      </c>
      <c r="F136" s="34"/>
      <c r="G136" s="35" t="n">
        <f aca="true">IF(OR(E136="",J136=0),"",IF(F136&lt;&gt;"",F136-E136,TODAY()-E136))</f>
        <v>261</v>
      </c>
      <c r="H136" s="29" t="s">
        <v>313</v>
      </c>
      <c r="I136" s="33"/>
      <c r="J136" s="32" t="n">
        <f aca="false">IF(OR(D136="",D136="Planned"),0,1)</f>
        <v>1</v>
      </c>
      <c r="K136" s="32" t="n">
        <f aca="false">IF(OR(D136="Under review",D136="Revision requested"),1,0)</f>
        <v>1</v>
      </c>
      <c r="L136" s="36" t="n">
        <f aca="false">IF(AND(J136=1,E136&lt;&gt;""),E136+ROW()/100000,"")</f>
        <v>46045.00136</v>
      </c>
      <c r="M136" s="32" t="str">
        <f aca="false">IF(D136="Planned",ROW(),"")</f>
        <v/>
      </c>
      <c r="N136" s="32" t="n">
        <f aca="true">IF(K136=1,IF(E136="",0,TODAY()-E136)+ROW()/100000,"")</f>
        <v>261.00136</v>
      </c>
      <c r="O136" s="32" t="n">
        <f aca="false">IF(N136="","",RANK(N136,$N$2:$N$1000))</f>
        <v>2</v>
      </c>
    </row>
    <row r="137" customFormat="false" ht="15" hidden="false" customHeight="false" outlineLevel="0" collapsed="false">
      <c r="A137" s="33" t="s">
        <v>103</v>
      </c>
      <c r="B137" s="33" t="s">
        <v>233</v>
      </c>
      <c r="C137" s="33" t="s">
        <v>136</v>
      </c>
      <c r="D137" s="33" t="s">
        <v>137</v>
      </c>
      <c r="E137" s="34" t="n">
        <v>46273</v>
      </c>
      <c r="F137" s="34" t="n">
        <v>46279</v>
      </c>
      <c r="G137" s="35" t="n">
        <f aca="true">IF(OR(E137="",J137=0),"",IF(F137&lt;&gt;"",F137-E137,TODAY()-E137))</f>
        <v>6</v>
      </c>
      <c r="H137" s="29"/>
      <c r="I137" s="33"/>
      <c r="J137" s="32" t="n">
        <f aca="false">IF(OR(D137="",D137="Planned"),0,1)</f>
        <v>1</v>
      </c>
      <c r="K137" s="32" t="n">
        <f aca="false">IF(OR(D137="Under review",D137="Revision requested"),1,0)</f>
        <v>0</v>
      </c>
      <c r="L137" s="36" t="n">
        <f aca="false">IF(AND(J137=1,E137&lt;&gt;""),E137+ROW()/100000,"")</f>
        <v>46273.00137</v>
      </c>
      <c r="M137" s="32" t="str">
        <f aca="false">IF(D137="Planned",ROW(),"")</f>
        <v/>
      </c>
      <c r="N137" s="32" t="str">
        <f aca="true">IF(K137=1,IF(E137="",0,TODAY()-E137)+ROW()/100000,"")</f>
        <v/>
      </c>
      <c r="O137" s="32" t="str">
        <f aca="false">IF(N137="","",RANK(N137,$N$2:$N$1000))</f>
        <v/>
      </c>
    </row>
    <row r="138" customFormat="false" ht="15" hidden="false" customHeight="false" outlineLevel="0" collapsed="false">
      <c r="A138" s="33" t="s">
        <v>103</v>
      </c>
      <c r="B138" s="33" t="s">
        <v>314</v>
      </c>
      <c r="C138" s="33" t="s">
        <v>142</v>
      </c>
      <c r="D138" s="33" t="s">
        <v>137</v>
      </c>
      <c r="E138" s="34" t="n">
        <v>46280</v>
      </c>
      <c r="F138" s="34" t="n">
        <v>46281</v>
      </c>
      <c r="G138" s="35" t="n">
        <f aca="true">IF(OR(E138="",J138=0),"",IF(F138&lt;&gt;"",F138-E138,TODAY()-E138))</f>
        <v>1</v>
      </c>
      <c r="H138" s="29"/>
      <c r="I138" s="33"/>
      <c r="J138" s="32" t="n">
        <f aca="false">IF(OR(D138="",D138="Planned"),0,1)</f>
        <v>1</v>
      </c>
      <c r="K138" s="32" t="n">
        <f aca="false">IF(OR(D138="Under review",D138="Revision requested"),1,0)</f>
        <v>0</v>
      </c>
      <c r="L138" s="36" t="n">
        <f aca="false">IF(AND(J138=1,E138&lt;&gt;""),E138+ROW()/100000,"")</f>
        <v>46280.00138</v>
      </c>
      <c r="M138" s="32" t="str">
        <f aca="false">IF(D138="Planned",ROW(),"")</f>
        <v/>
      </c>
      <c r="N138" s="32" t="str">
        <f aca="true">IF(K138=1,IF(E138="",0,TODAY()-E138)+ROW()/100000,"")</f>
        <v/>
      </c>
      <c r="O138" s="32" t="str">
        <f aca="false">IF(N138="","",RANK(N138,$N$2:$N$1000))</f>
        <v/>
      </c>
    </row>
    <row r="139" customFormat="false" ht="15" hidden="false" customHeight="false" outlineLevel="0" collapsed="false">
      <c r="A139" s="33" t="s">
        <v>103</v>
      </c>
      <c r="B139" s="33" t="s">
        <v>281</v>
      </c>
      <c r="C139" s="33" t="s">
        <v>136</v>
      </c>
      <c r="D139" s="33" t="s">
        <v>152</v>
      </c>
      <c r="E139" s="34"/>
      <c r="F139" s="34"/>
      <c r="G139" s="35" t="str">
        <f aca="true">IF(OR(E139="",J139=0),"",IF(F139&lt;&gt;"",F139-E139,TODAY()-E139))</f>
        <v/>
      </c>
      <c r="H139" s="29" t="s">
        <v>315</v>
      </c>
      <c r="I139" s="33"/>
      <c r="J139" s="32" t="n">
        <f aca="false">IF(OR(D139="",D139="Planned"),0,1)</f>
        <v>0</v>
      </c>
      <c r="K139" s="32" t="n">
        <f aca="false">IF(OR(D139="Under review",D139="Revision requested"),1,0)</f>
        <v>0</v>
      </c>
      <c r="L139" s="32" t="str">
        <f aca="false">IF(AND(J139=1,E139&lt;&gt;""),E139+ROW()/100000,"")</f>
        <v/>
      </c>
      <c r="M139" s="32" t="n">
        <f aca="false">IF(D139="Planned",ROW(),"")</f>
        <v>139</v>
      </c>
      <c r="N139" s="32" t="str">
        <f aca="true">IF(K139=1,IF(E139="",0,TODAY()-E139)+ROW()/100000,"")</f>
        <v/>
      </c>
      <c r="O139" s="32" t="str">
        <f aca="false">IF(N139="","",RANK(N139,$N$2:$N$1000))</f>
        <v/>
      </c>
    </row>
    <row r="140" customFormat="false" ht="15" hidden="false" customHeight="false" outlineLevel="0" collapsed="false">
      <c r="A140" s="33" t="s">
        <v>103</v>
      </c>
      <c r="B140" s="33" t="s">
        <v>316</v>
      </c>
      <c r="C140" s="33" t="s">
        <v>136</v>
      </c>
      <c r="D140" s="33" t="s">
        <v>152</v>
      </c>
      <c r="E140" s="34"/>
      <c r="F140" s="34"/>
      <c r="G140" s="35" t="str">
        <f aca="true">IF(OR(E140="",J140=0),"",IF(F140&lt;&gt;"",F140-E140,TODAY()-E140))</f>
        <v/>
      </c>
      <c r="H140" s="29" t="s">
        <v>317</v>
      </c>
      <c r="I140" s="33"/>
      <c r="J140" s="32" t="n">
        <f aca="false">IF(OR(D140="",D140="Planned"),0,1)</f>
        <v>0</v>
      </c>
      <c r="K140" s="32" t="n">
        <f aca="false">IF(OR(D140="Under review",D140="Revision requested"),1,0)</f>
        <v>0</v>
      </c>
      <c r="L140" s="32" t="str">
        <f aca="false">IF(AND(J140=1,E140&lt;&gt;""),E140+ROW()/100000,"")</f>
        <v/>
      </c>
      <c r="M140" s="32" t="n">
        <f aca="false">IF(D140="Planned",ROW(),"")</f>
        <v>140</v>
      </c>
      <c r="N140" s="32" t="str">
        <f aca="true">IF(K140=1,IF(E140="",0,TODAY()-E140)+ROW()/100000,"")</f>
        <v/>
      </c>
      <c r="O140" s="32" t="str">
        <f aca="false">IF(N140="","",RANK(N140,$N$2:$N$1000))</f>
        <v/>
      </c>
    </row>
    <row r="141" customFormat="false" ht="15" hidden="false" customHeight="false" outlineLevel="0" collapsed="false">
      <c r="A141" s="33" t="s">
        <v>103</v>
      </c>
      <c r="B141" s="33" t="s">
        <v>230</v>
      </c>
      <c r="C141" s="33" t="s">
        <v>142</v>
      </c>
      <c r="D141" s="33" t="s">
        <v>152</v>
      </c>
      <c r="E141" s="34"/>
      <c r="F141" s="34"/>
      <c r="G141" s="35" t="str">
        <f aca="true">IF(OR(E141="",J141=0),"",IF(F141&lt;&gt;"",F141-E141,TODAY()-E141))</f>
        <v/>
      </c>
      <c r="H141" s="29"/>
      <c r="I141" s="33"/>
      <c r="J141" s="32" t="n">
        <f aca="false">IF(OR(D141="",D141="Planned"),0,1)</f>
        <v>0</v>
      </c>
      <c r="K141" s="32" t="n">
        <f aca="false">IF(OR(D141="Under review",D141="Revision requested"),1,0)</f>
        <v>0</v>
      </c>
      <c r="L141" s="32" t="str">
        <f aca="false">IF(AND(J141=1,E141&lt;&gt;""),E141+ROW()/100000,"")</f>
        <v/>
      </c>
      <c r="M141" s="32" t="n">
        <f aca="false">IF(D141="Planned",ROW(),"")</f>
        <v>141</v>
      </c>
      <c r="N141" s="32" t="str">
        <f aca="true">IF(K141=1,IF(E141="",0,TODAY()-E141)+ROW()/100000,"")</f>
        <v/>
      </c>
      <c r="O141" s="32" t="str">
        <f aca="false">IF(N141="","",RANK(N141,$N$2:$N$1000))</f>
        <v/>
      </c>
    </row>
    <row r="142" customFormat="false" ht="15" hidden="false" customHeight="false" outlineLevel="0" collapsed="false">
      <c r="A142" s="33" t="s">
        <v>103</v>
      </c>
      <c r="B142" s="33" t="s">
        <v>318</v>
      </c>
      <c r="C142" s="33" t="s">
        <v>142</v>
      </c>
      <c r="D142" s="33" t="s">
        <v>152</v>
      </c>
      <c r="E142" s="34"/>
      <c r="F142" s="34"/>
      <c r="G142" s="35" t="str">
        <f aca="true">IF(OR(E142="",J142=0),"",IF(F142&lt;&gt;"",F142-E142,TODAY()-E142))</f>
        <v/>
      </c>
      <c r="H142" s="29" t="s">
        <v>319</v>
      </c>
      <c r="I142" s="33"/>
      <c r="J142" s="32" t="n">
        <f aca="false">IF(OR(D142="",D142="Planned"),0,1)</f>
        <v>0</v>
      </c>
      <c r="K142" s="32" t="n">
        <f aca="false">IF(OR(D142="Under review",D142="Revision requested"),1,0)</f>
        <v>0</v>
      </c>
      <c r="L142" s="32" t="str">
        <f aca="false">IF(AND(J142=1,E142&lt;&gt;""),E142+ROW()/100000,"")</f>
        <v/>
      </c>
      <c r="M142" s="32" t="n">
        <f aca="false">IF(D142="Planned",ROW(),"")</f>
        <v>142</v>
      </c>
      <c r="N142" s="32" t="str">
        <f aca="true">IF(K142=1,IF(E142="",0,TODAY()-E142)+ROW()/100000,"")</f>
        <v/>
      </c>
      <c r="O142" s="32" t="str">
        <f aca="false">IF(N142="","",RANK(N142,$N$2:$N$1000))</f>
        <v/>
      </c>
    </row>
    <row r="143" customFormat="false" ht="15" hidden="false" customHeight="false" outlineLevel="0" collapsed="false">
      <c r="A143" s="33" t="s">
        <v>103</v>
      </c>
      <c r="B143" s="33" t="s">
        <v>320</v>
      </c>
      <c r="C143" s="33" t="s">
        <v>321</v>
      </c>
      <c r="D143" s="33" t="s">
        <v>152</v>
      </c>
      <c r="E143" s="34"/>
      <c r="F143" s="34"/>
      <c r="G143" s="35" t="str">
        <f aca="true">IF(OR(E143="",J143=0),"",IF(F143&lt;&gt;"",F143-E143,TODAY()-E143))</f>
        <v/>
      </c>
      <c r="H143" s="29" t="s">
        <v>322</v>
      </c>
      <c r="I143" s="33"/>
      <c r="J143" s="32" t="n">
        <f aca="false">IF(OR(D143="",D143="Planned"),0,1)</f>
        <v>0</v>
      </c>
      <c r="K143" s="32" t="n">
        <f aca="false">IF(OR(D143="Under review",D143="Revision requested"),1,0)</f>
        <v>0</v>
      </c>
      <c r="L143" s="32" t="str">
        <f aca="false">IF(AND(J143=1,E143&lt;&gt;""),E143+ROW()/100000,"")</f>
        <v/>
      </c>
      <c r="M143" s="32" t="n">
        <f aca="false">IF(D143="Planned",ROW(),"")</f>
        <v>143</v>
      </c>
      <c r="N143" s="32" t="str">
        <f aca="true">IF(K143=1,IF(E143="",0,TODAY()-E143)+ROW()/100000,"")</f>
        <v/>
      </c>
      <c r="O143" s="32" t="str">
        <f aca="false">IF(N143="","",RANK(N143,$N$2:$N$1000))</f>
        <v/>
      </c>
    </row>
    <row r="144" customFormat="false" ht="15" hidden="false" customHeight="false" outlineLevel="0" collapsed="false">
      <c r="A144" s="33" t="s">
        <v>103</v>
      </c>
      <c r="B144" s="33" t="s">
        <v>323</v>
      </c>
      <c r="C144" s="33" t="s">
        <v>142</v>
      </c>
      <c r="D144" s="33" t="s">
        <v>152</v>
      </c>
      <c r="E144" s="34"/>
      <c r="F144" s="34"/>
      <c r="G144" s="35" t="str">
        <f aca="true">IF(OR(E144="",J144=0),"",IF(F144&lt;&gt;"",F144-E144,TODAY()-E144))</f>
        <v/>
      </c>
      <c r="H144" s="29"/>
      <c r="I144" s="33"/>
      <c r="J144" s="32" t="n">
        <f aca="false">IF(OR(D144="",D144="Planned"),0,1)</f>
        <v>0</v>
      </c>
      <c r="K144" s="32" t="n">
        <f aca="false">IF(OR(D144="Under review",D144="Revision requested"),1,0)</f>
        <v>0</v>
      </c>
      <c r="L144" s="32" t="str">
        <f aca="false">IF(AND(J144=1,E144&lt;&gt;""),E144+ROW()/100000,"")</f>
        <v/>
      </c>
      <c r="M144" s="32" t="n">
        <f aca="false">IF(D144="Planned",ROW(),"")</f>
        <v>144</v>
      </c>
      <c r="N144" s="32" t="str">
        <f aca="true">IF(K144=1,IF(E144="",0,TODAY()-E144)+ROW()/100000,"")</f>
        <v/>
      </c>
      <c r="O144" s="32" t="str">
        <f aca="false">IF(N144="","",RANK(N144,$N$2:$N$1000))</f>
        <v/>
      </c>
    </row>
    <row r="145" customFormat="false" ht="15" hidden="false" customHeight="false" outlineLevel="0" collapsed="false">
      <c r="A145" s="33" t="s">
        <v>103</v>
      </c>
      <c r="B145" s="33" t="s">
        <v>324</v>
      </c>
      <c r="C145" s="33"/>
      <c r="D145" s="33" t="s">
        <v>152</v>
      </c>
      <c r="E145" s="34"/>
      <c r="F145" s="34"/>
      <c r="G145" s="35" t="str">
        <f aca="true">IF(OR(E145="",J145=0),"",IF(F145&lt;&gt;"",F145-E145,TODAY()-E145))</f>
        <v/>
      </c>
      <c r="H145" s="29"/>
      <c r="I145" s="33"/>
      <c r="J145" s="32" t="n">
        <f aca="false">IF(OR(D145="",D145="Planned"),0,1)</f>
        <v>0</v>
      </c>
      <c r="K145" s="32" t="n">
        <f aca="false">IF(OR(D145="Under review",D145="Revision requested"),1,0)</f>
        <v>0</v>
      </c>
      <c r="L145" s="32" t="str">
        <f aca="false">IF(AND(J145=1,E145&lt;&gt;""),E145+ROW()/100000,"")</f>
        <v/>
      </c>
      <c r="M145" s="32" t="n">
        <f aca="false">IF(D145="Planned",ROW(),"")</f>
        <v>145</v>
      </c>
      <c r="N145" s="32" t="str">
        <f aca="true">IF(K145=1,IF(E145="",0,TODAY()-E145)+ROW()/100000,"")</f>
        <v/>
      </c>
      <c r="O145" s="32" t="str">
        <f aca="false">IF(N145="","",RANK(N145,$N$2:$N$1000))</f>
        <v/>
      </c>
    </row>
    <row r="146" customFormat="false" ht="15" hidden="false" customHeight="false" outlineLevel="0" collapsed="false">
      <c r="A146" s="33" t="s">
        <v>103</v>
      </c>
      <c r="B146" s="33" t="s">
        <v>141</v>
      </c>
      <c r="C146" s="33" t="s">
        <v>142</v>
      </c>
      <c r="D146" s="33" t="s">
        <v>152</v>
      </c>
      <c r="E146" s="34"/>
      <c r="F146" s="34"/>
      <c r="G146" s="35" t="str">
        <f aca="true">IF(OR(E146="",J146=0),"",IF(F146&lt;&gt;"",F146-E146,TODAY()-E146))</f>
        <v/>
      </c>
      <c r="H146" s="29" t="s">
        <v>325</v>
      </c>
      <c r="I146" s="33"/>
      <c r="J146" s="32" t="n">
        <f aca="false">IF(OR(D146="",D146="Planned"),0,1)</f>
        <v>0</v>
      </c>
      <c r="K146" s="32" t="n">
        <f aca="false">IF(OR(D146="Under review",D146="Revision requested"),1,0)</f>
        <v>0</v>
      </c>
      <c r="L146" s="32" t="str">
        <f aca="false">IF(AND(J146=1,E146&lt;&gt;""),E146+ROW()/100000,"")</f>
        <v/>
      </c>
      <c r="M146" s="32" t="n">
        <f aca="false">IF(D146="Planned",ROW(),"")</f>
        <v>146</v>
      </c>
      <c r="N146" s="32" t="str">
        <f aca="true">IF(K146=1,IF(E146="",0,TODAY()-E146)+ROW()/100000,"")</f>
        <v/>
      </c>
      <c r="O146" s="32" t="str">
        <f aca="false">IF(N146="","",RANK(N146,$N$2:$N$1000))</f>
        <v/>
      </c>
    </row>
    <row r="147" customFormat="false" ht="15" hidden="false" customHeight="false" outlineLevel="0" collapsed="false">
      <c r="A147" s="33" t="s">
        <v>103</v>
      </c>
      <c r="B147" s="33" t="s">
        <v>326</v>
      </c>
      <c r="C147" s="33" t="s">
        <v>142</v>
      </c>
      <c r="D147" s="33" t="s">
        <v>152</v>
      </c>
      <c r="E147" s="34"/>
      <c r="F147" s="34"/>
      <c r="G147" s="35" t="str">
        <f aca="true">IF(OR(E147="",J147=0),"",IF(F147&lt;&gt;"",F147-E147,TODAY()-E147))</f>
        <v/>
      </c>
      <c r="H147" s="29"/>
      <c r="I147" s="33"/>
      <c r="J147" s="32" t="n">
        <f aca="false">IF(OR(D147="",D147="Planned"),0,1)</f>
        <v>0</v>
      </c>
      <c r="K147" s="32" t="n">
        <f aca="false">IF(OR(D147="Under review",D147="Revision requested"),1,0)</f>
        <v>0</v>
      </c>
      <c r="L147" s="32" t="str">
        <f aca="false">IF(AND(J147=1,E147&lt;&gt;""),E147+ROW()/100000,"")</f>
        <v/>
      </c>
      <c r="M147" s="32" t="n">
        <f aca="false">IF(D147="Planned",ROW(),"")</f>
        <v>147</v>
      </c>
      <c r="N147" s="32" t="str">
        <f aca="true">IF(K147=1,IF(E147="",0,TODAY()-E147)+ROW()/100000,"")</f>
        <v/>
      </c>
      <c r="O147" s="32" t="str">
        <f aca="false">IF(N147="","",RANK(N147,$N$2:$N$1000))</f>
        <v/>
      </c>
    </row>
    <row r="148" customFormat="false" ht="15" hidden="false" customHeight="false" outlineLevel="0" collapsed="false">
      <c r="A148" s="33" t="s">
        <v>103</v>
      </c>
      <c r="B148" s="33" t="s">
        <v>327</v>
      </c>
      <c r="C148" s="33" t="s">
        <v>136</v>
      </c>
      <c r="D148" s="33" t="s">
        <v>152</v>
      </c>
      <c r="E148" s="34"/>
      <c r="F148" s="34"/>
      <c r="G148" s="35" t="str">
        <f aca="true">IF(OR(E148="",J148=0),"",IF(F148&lt;&gt;"",F148-E148,TODAY()-E148))</f>
        <v/>
      </c>
      <c r="H148" s="29"/>
      <c r="I148" s="33"/>
      <c r="J148" s="32" t="n">
        <f aca="false">IF(OR(D148="",D148="Planned"),0,1)</f>
        <v>0</v>
      </c>
      <c r="K148" s="32" t="n">
        <f aca="false">IF(OR(D148="Under review",D148="Revision requested"),1,0)</f>
        <v>0</v>
      </c>
      <c r="L148" s="32" t="str">
        <f aca="false">IF(AND(J148=1,E148&lt;&gt;""),E148+ROW()/100000,"")</f>
        <v/>
      </c>
      <c r="M148" s="32" t="n">
        <f aca="false">IF(D148="Planned",ROW(),"")</f>
        <v>148</v>
      </c>
      <c r="N148" s="32" t="str">
        <f aca="true">IF(K148=1,IF(E148="",0,TODAY()-E148)+ROW()/100000,"")</f>
        <v/>
      </c>
      <c r="O148" s="32" t="str">
        <f aca="false">IF(N148="","",RANK(N148,$N$2:$N$1000))</f>
        <v/>
      </c>
    </row>
    <row r="149" customFormat="false" ht="15" hidden="false" customHeight="false" outlineLevel="0" collapsed="false">
      <c r="A149" s="33" t="s">
        <v>103</v>
      </c>
      <c r="B149" s="33" t="s">
        <v>135</v>
      </c>
      <c r="C149" s="33" t="s">
        <v>136</v>
      </c>
      <c r="D149" s="33" t="s">
        <v>152</v>
      </c>
      <c r="E149" s="34"/>
      <c r="F149" s="34"/>
      <c r="G149" s="35" t="str">
        <f aca="true">IF(OR(E149="",J149=0),"",IF(F149&lt;&gt;"",F149-E149,TODAY()-E149))</f>
        <v/>
      </c>
      <c r="H149" s="29" t="s">
        <v>325</v>
      </c>
      <c r="I149" s="33"/>
      <c r="J149" s="32" t="n">
        <f aca="false">IF(OR(D149="",D149="Planned"),0,1)</f>
        <v>0</v>
      </c>
      <c r="K149" s="32" t="n">
        <f aca="false">IF(OR(D149="Under review",D149="Revision requested"),1,0)</f>
        <v>0</v>
      </c>
      <c r="L149" s="32" t="str">
        <f aca="false">IF(AND(J149=1,E149&lt;&gt;""),E149+ROW()/100000,"")</f>
        <v/>
      </c>
      <c r="M149" s="32" t="n">
        <f aca="false">IF(D149="Planned",ROW(),"")</f>
        <v>149</v>
      </c>
      <c r="N149" s="32" t="str">
        <f aca="true">IF(K149=1,IF(E149="",0,TODAY()-E149)+ROW()/100000,"")</f>
        <v/>
      </c>
      <c r="O149" s="32" t="str">
        <f aca="false">IF(N149="","",RANK(N149,$N$2:$N$1000))</f>
        <v/>
      </c>
    </row>
    <row r="150" customFormat="false" ht="15" hidden="false" customHeight="false" outlineLevel="0" collapsed="false">
      <c r="A150" s="33" t="s">
        <v>103</v>
      </c>
      <c r="B150" s="33" t="s">
        <v>273</v>
      </c>
      <c r="C150" s="33" t="s">
        <v>142</v>
      </c>
      <c r="D150" s="33" t="s">
        <v>152</v>
      </c>
      <c r="E150" s="34"/>
      <c r="F150" s="34"/>
      <c r="G150" s="35" t="str">
        <f aca="true">IF(OR(E150="",J150=0),"",IF(F150&lt;&gt;"",F150-E150,TODAY()-E150))</f>
        <v/>
      </c>
      <c r="H150" s="29"/>
      <c r="I150" s="33"/>
      <c r="J150" s="32" t="n">
        <f aca="false">IF(OR(D150="",D150="Planned"),0,1)</f>
        <v>0</v>
      </c>
      <c r="K150" s="32" t="n">
        <f aca="false">IF(OR(D150="Under review",D150="Revision requested"),1,0)</f>
        <v>0</v>
      </c>
      <c r="L150" s="32" t="str">
        <f aca="false">IF(AND(J150=1,E150&lt;&gt;""),E150+ROW()/100000,"")</f>
        <v/>
      </c>
      <c r="M150" s="32" t="n">
        <f aca="false">IF(D150="Planned",ROW(),"")</f>
        <v>150</v>
      </c>
      <c r="N150" s="32" t="str">
        <f aca="true">IF(K150=1,IF(E150="",0,TODAY()-E150)+ROW()/100000,"")</f>
        <v/>
      </c>
      <c r="O150" s="32" t="str">
        <f aca="false">IF(N150="","",RANK(N150,$N$2:$N$1000))</f>
        <v/>
      </c>
    </row>
    <row r="151" customFormat="false" ht="15" hidden="false" customHeight="false" outlineLevel="0" collapsed="false">
      <c r="A151" s="33" t="s">
        <v>103</v>
      </c>
      <c r="B151" s="33" t="s">
        <v>328</v>
      </c>
      <c r="C151" s="33" t="s">
        <v>142</v>
      </c>
      <c r="D151" s="33" t="s">
        <v>152</v>
      </c>
      <c r="E151" s="34"/>
      <c r="F151" s="34"/>
      <c r="G151" s="35" t="str">
        <f aca="true">IF(OR(E151="",J151=0),"",IF(F151&lt;&gt;"",F151-E151,TODAY()-E151))</f>
        <v/>
      </c>
      <c r="H151" s="29"/>
      <c r="I151" s="33"/>
      <c r="J151" s="32" t="n">
        <f aca="false">IF(OR(D151="",D151="Planned"),0,1)</f>
        <v>0</v>
      </c>
      <c r="K151" s="32" t="n">
        <f aca="false">IF(OR(D151="Under review",D151="Revision requested"),1,0)</f>
        <v>0</v>
      </c>
      <c r="L151" s="32" t="str">
        <f aca="false">IF(AND(J151=1,E151&lt;&gt;""),E151+ROW()/100000,"")</f>
        <v/>
      </c>
      <c r="M151" s="32" t="n">
        <f aca="false">IF(D151="Planned",ROW(),"")</f>
        <v>151</v>
      </c>
      <c r="N151" s="32" t="str">
        <f aca="true">IF(K151=1,IF(E151="",0,TODAY()-E151)+ROW()/100000,"")</f>
        <v/>
      </c>
      <c r="O151" s="32" t="str">
        <f aca="false">IF(N151="","",RANK(N151,$N$2:$N$1000))</f>
        <v/>
      </c>
    </row>
    <row r="152" customFormat="false" ht="15" hidden="false" customHeight="false" outlineLevel="0" collapsed="false">
      <c r="A152" s="33" t="s">
        <v>103</v>
      </c>
      <c r="B152" s="33" t="s">
        <v>329</v>
      </c>
      <c r="C152" s="33" t="s">
        <v>330</v>
      </c>
      <c r="D152" s="33" t="s">
        <v>152</v>
      </c>
      <c r="E152" s="34"/>
      <c r="F152" s="34"/>
      <c r="G152" s="35" t="str">
        <f aca="true">IF(OR(E152="",J152=0),"",IF(F152&lt;&gt;"",F152-E152,TODAY()-E152))</f>
        <v/>
      </c>
      <c r="H152" s="29" t="s">
        <v>331</v>
      </c>
      <c r="I152" s="33"/>
      <c r="J152" s="32" t="n">
        <f aca="false">IF(OR(D152="",D152="Planned"),0,1)</f>
        <v>0</v>
      </c>
      <c r="K152" s="32" t="n">
        <f aca="false">IF(OR(D152="Under review",D152="Revision requested"),1,0)</f>
        <v>0</v>
      </c>
      <c r="L152" s="32" t="str">
        <f aca="false">IF(AND(J152=1,E152&lt;&gt;""),E152+ROW()/100000,"")</f>
        <v/>
      </c>
      <c r="M152" s="32" t="n">
        <f aca="false">IF(D152="Planned",ROW(),"")</f>
        <v>152</v>
      </c>
      <c r="N152" s="32" t="str">
        <f aca="true">IF(K152=1,IF(E152="",0,TODAY()-E152)+ROW()/100000,"")</f>
        <v/>
      </c>
      <c r="O152" s="32" t="str">
        <f aca="false">IF(N152="","",RANK(N152,$N$2:$N$1000))</f>
        <v/>
      </c>
    </row>
    <row r="153" customFormat="false" ht="15" hidden="false" customHeight="false" outlineLevel="0" collapsed="false">
      <c r="A153" s="33" t="s">
        <v>103</v>
      </c>
      <c r="B153" s="33" t="s">
        <v>332</v>
      </c>
      <c r="C153" s="33" t="s">
        <v>333</v>
      </c>
      <c r="D153" s="33" t="s">
        <v>152</v>
      </c>
      <c r="E153" s="34"/>
      <c r="F153" s="34"/>
      <c r="G153" s="35" t="str">
        <f aca="true">IF(OR(E153="",J153=0),"",IF(F153&lt;&gt;"",F153-E153,TODAY()-E153))</f>
        <v/>
      </c>
      <c r="H153" s="29" t="s">
        <v>334</v>
      </c>
      <c r="I153" s="33"/>
      <c r="J153" s="32" t="n">
        <f aca="false">IF(OR(D153="",D153="Planned"),0,1)</f>
        <v>0</v>
      </c>
      <c r="K153" s="32" t="n">
        <f aca="false">IF(OR(D153="Under review",D153="Revision requested"),1,0)</f>
        <v>0</v>
      </c>
      <c r="L153" s="32" t="str">
        <f aca="false">IF(AND(J153=1,E153&lt;&gt;""),E153+ROW()/100000,"")</f>
        <v/>
      </c>
      <c r="M153" s="32" t="n">
        <f aca="false">IF(D153="Planned",ROW(),"")</f>
        <v>153</v>
      </c>
      <c r="N153" s="32" t="str">
        <f aca="true">IF(K153=1,IF(E153="",0,TODAY()-E153)+ROW()/100000,"")</f>
        <v/>
      </c>
      <c r="O153" s="32" t="str">
        <f aca="false">IF(N153="","",RANK(N153,$N$2:$N$1000))</f>
        <v/>
      </c>
    </row>
    <row r="154" customFormat="false" ht="15" hidden="false" customHeight="false" outlineLevel="0" collapsed="false">
      <c r="A154" s="33" t="s">
        <v>103</v>
      </c>
      <c r="B154" s="33" t="s">
        <v>335</v>
      </c>
      <c r="C154" s="33" t="s">
        <v>336</v>
      </c>
      <c r="D154" s="33" t="s">
        <v>152</v>
      </c>
      <c r="E154" s="34"/>
      <c r="F154" s="34"/>
      <c r="G154" s="35" t="str">
        <f aca="true">IF(OR(E154="",J154=0),"",IF(F154&lt;&gt;"",F154-E154,TODAY()-E154))</f>
        <v/>
      </c>
      <c r="H154" s="29" t="s">
        <v>337</v>
      </c>
      <c r="I154" s="33"/>
      <c r="J154" s="32" t="n">
        <f aca="false">IF(OR(D154="",D154="Planned"),0,1)</f>
        <v>0</v>
      </c>
      <c r="K154" s="32" t="n">
        <f aca="false">IF(OR(D154="Under review",D154="Revision requested"),1,0)</f>
        <v>0</v>
      </c>
      <c r="L154" s="32" t="str">
        <f aca="false">IF(AND(J154=1,E154&lt;&gt;""),E154+ROW()/100000,"")</f>
        <v/>
      </c>
      <c r="M154" s="32" t="n">
        <f aca="false">IF(D154="Planned",ROW(),"")</f>
        <v>154</v>
      </c>
      <c r="N154" s="32" t="str">
        <f aca="true">IF(K154=1,IF(E154="",0,TODAY()-E154)+ROW()/100000,"")</f>
        <v/>
      </c>
      <c r="O154" s="32" t="str">
        <f aca="false">IF(N154="","",RANK(N154,$N$2:$N$1000))</f>
        <v/>
      </c>
    </row>
    <row r="155" customFormat="false" ht="15" hidden="false" customHeight="false" outlineLevel="0" collapsed="false">
      <c r="A155" s="33" t="s">
        <v>103</v>
      </c>
      <c r="B155" s="33" t="s">
        <v>282</v>
      </c>
      <c r="C155" s="33" t="s">
        <v>142</v>
      </c>
      <c r="D155" s="33" t="s">
        <v>152</v>
      </c>
      <c r="E155" s="34"/>
      <c r="F155" s="34"/>
      <c r="G155" s="35" t="str">
        <f aca="true">IF(OR(E155="",J155=0),"",IF(F155&lt;&gt;"",F155-E155,TODAY()-E155))</f>
        <v/>
      </c>
      <c r="H155" s="29"/>
      <c r="I155" s="33"/>
      <c r="J155" s="32" t="n">
        <f aca="false">IF(OR(D155="",D155="Planned"),0,1)</f>
        <v>0</v>
      </c>
      <c r="K155" s="32" t="n">
        <f aca="false">IF(OR(D155="Under review",D155="Revision requested"),1,0)</f>
        <v>0</v>
      </c>
      <c r="L155" s="32" t="str">
        <f aca="false">IF(AND(J155=1,E155&lt;&gt;""),E155+ROW()/100000,"")</f>
        <v/>
      </c>
      <c r="M155" s="32" t="n">
        <f aca="false">IF(D155="Planned",ROW(),"")</f>
        <v>155</v>
      </c>
      <c r="N155" s="32" t="str">
        <f aca="true">IF(K155=1,IF(E155="",0,TODAY()-E155)+ROW()/100000,"")</f>
        <v/>
      </c>
      <c r="O155" s="32" t="str">
        <f aca="false">IF(N155="","",RANK(N155,$N$2:$N$1000))</f>
        <v/>
      </c>
    </row>
    <row r="156" customFormat="false" ht="15" hidden="false" customHeight="false" outlineLevel="0" collapsed="false">
      <c r="A156" s="33" t="s">
        <v>103</v>
      </c>
      <c r="B156" s="33" t="s">
        <v>338</v>
      </c>
      <c r="C156" s="33"/>
      <c r="D156" s="33" t="s">
        <v>152</v>
      </c>
      <c r="E156" s="34"/>
      <c r="F156" s="34"/>
      <c r="G156" s="35" t="str">
        <f aca="true">IF(OR(E156="",J156=0),"",IF(F156&lt;&gt;"",F156-E156,TODAY()-E156))</f>
        <v/>
      </c>
      <c r="H156" s="29"/>
      <c r="I156" s="33"/>
      <c r="J156" s="32" t="n">
        <f aca="false">IF(OR(D156="",D156="Planned"),0,1)</f>
        <v>0</v>
      </c>
      <c r="K156" s="32" t="n">
        <f aca="false">IF(OR(D156="Under review",D156="Revision requested"),1,0)</f>
        <v>0</v>
      </c>
      <c r="L156" s="32" t="str">
        <f aca="false">IF(AND(J156=1,E156&lt;&gt;""),E156+ROW()/100000,"")</f>
        <v/>
      </c>
      <c r="M156" s="32" t="n">
        <f aca="false">IF(D156="Planned",ROW(),"")</f>
        <v>156</v>
      </c>
      <c r="N156" s="32" t="str">
        <f aca="true">IF(K156=1,IF(E156="",0,TODAY()-E156)+ROW()/100000,"")</f>
        <v/>
      </c>
      <c r="O156" s="32" t="str">
        <f aca="false">IF(N156="","",RANK(N156,$N$2:$N$1000))</f>
        <v/>
      </c>
    </row>
    <row r="157" customFormat="false" ht="15" hidden="false" customHeight="false" outlineLevel="0" collapsed="false">
      <c r="A157" s="33" t="s">
        <v>106</v>
      </c>
      <c r="B157" s="33" t="s">
        <v>339</v>
      </c>
      <c r="C157" s="33"/>
      <c r="D157" s="33" t="s">
        <v>137</v>
      </c>
      <c r="E157" s="34" t="n">
        <v>45824</v>
      </c>
      <c r="F157" s="34" t="n">
        <v>45834</v>
      </c>
      <c r="G157" s="35" t="n">
        <f aca="true">IF(OR(E157="",J157=0),"",IF(F157&lt;&gt;"",F157-E157,TODAY()-E157))</f>
        <v>10</v>
      </c>
      <c r="H157" s="29"/>
      <c r="I157" s="33"/>
      <c r="J157" s="32" t="n">
        <f aca="false">IF(OR(D157="",D157="Planned"),0,1)</f>
        <v>1</v>
      </c>
      <c r="K157" s="32" t="n">
        <f aca="false">IF(OR(D157="Under review",D157="Revision requested"),1,0)</f>
        <v>0</v>
      </c>
      <c r="L157" s="36" t="n">
        <f aca="false">IF(AND(J157=1,E157&lt;&gt;""),E157+ROW()/100000,"")</f>
        <v>45824.00157</v>
      </c>
      <c r="M157" s="32" t="str">
        <f aca="false">IF(D157="Planned",ROW(),"")</f>
        <v/>
      </c>
      <c r="N157" s="32" t="str">
        <f aca="true">IF(K157=1,IF(E157="",0,TODAY()-E157)+ROW()/100000,"")</f>
        <v/>
      </c>
      <c r="O157" s="32" t="str">
        <f aca="false">IF(N157="","",RANK(N157,$N$2:$N$1000))</f>
        <v/>
      </c>
    </row>
    <row r="158" customFormat="false" ht="15" hidden="false" customHeight="false" outlineLevel="0" collapsed="false">
      <c r="A158" s="33" t="s">
        <v>106</v>
      </c>
      <c r="B158" s="33" t="s">
        <v>340</v>
      </c>
      <c r="C158" s="33"/>
      <c r="D158" s="33" t="s">
        <v>137</v>
      </c>
      <c r="E158" s="34" t="n">
        <v>45834</v>
      </c>
      <c r="F158" s="34" t="n">
        <v>45841</v>
      </c>
      <c r="G158" s="35" t="n">
        <f aca="true">IF(OR(E158="",J158=0),"",IF(F158&lt;&gt;"",F158-E158,TODAY()-E158))</f>
        <v>7</v>
      </c>
      <c r="H158" s="29"/>
      <c r="I158" s="33"/>
      <c r="J158" s="32" t="n">
        <f aca="false">IF(OR(D158="",D158="Planned"),0,1)</f>
        <v>1</v>
      </c>
      <c r="K158" s="32" t="n">
        <f aca="false">IF(OR(D158="Under review",D158="Revision requested"),1,0)</f>
        <v>0</v>
      </c>
      <c r="L158" s="36" t="n">
        <f aca="false">IF(AND(J158=1,E158&lt;&gt;""),E158+ROW()/100000,"")</f>
        <v>45834.00158</v>
      </c>
      <c r="M158" s="32" t="str">
        <f aca="false">IF(D158="Planned",ROW(),"")</f>
        <v/>
      </c>
      <c r="N158" s="32" t="str">
        <f aca="true">IF(K158=1,IF(E158="",0,TODAY()-E158)+ROW()/100000,"")</f>
        <v/>
      </c>
      <c r="O158" s="32" t="str">
        <f aca="false">IF(N158="","",RANK(N158,$N$2:$N$1000))</f>
        <v/>
      </c>
    </row>
    <row r="159" customFormat="false" ht="15" hidden="false" customHeight="false" outlineLevel="0" collapsed="false">
      <c r="A159" s="33" t="s">
        <v>106</v>
      </c>
      <c r="B159" s="33" t="s">
        <v>341</v>
      </c>
      <c r="C159" s="33"/>
      <c r="D159" s="33" t="s">
        <v>137</v>
      </c>
      <c r="E159" s="34" t="n">
        <v>45841</v>
      </c>
      <c r="F159" s="34" t="n">
        <v>45867</v>
      </c>
      <c r="G159" s="35" t="n">
        <f aca="true">IF(OR(E159="",J159=0),"",IF(F159&lt;&gt;"",F159-E159,TODAY()-E159))</f>
        <v>26</v>
      </c>
      <c r="H159" s="29"/>
      <c r="I159" s="33"/>
      <c r="J159" s="32" t="n">
        <f aca="false">IF(OR(D159="",D159="Planned"),0,1)</f>
        <v>1</v>
      </c>
      <c r="K159" s="32" t="n">
        <f aca="false">IF(OR(D159="Under review",D159="Revision requested"),1,0)</f>
        <v>0</v>
      </c>
      <c r="L159" s="36" t="n">
        <f aca="false">IF(AND(J159=1,E159&lt;&gt;""),E159+ROW()/100000,"")</f>
        <v>45841.00159</v>
      </c>
      <c r="M159" s="32" t="str">
        <f aca="false">IF(D159="Planned",ROW(),"")</f>
        <v/>
      </c>
      <c r="N159" s="32" t="str">
        <f aca="true">IF(K159=1,IF(E159="",0,TODAY()-E159)+ROW()/100000,"")</f>
        <v/>
      </c>
      <c r="O159" s="32" t="str">
        <f aca="false">IF(N159="","",RANK(N159,$N$2:$N$1000))</f>
        <v/>
      </c>
    </row>
    <row r="160" customFormat="false" ht="15" hidden="false" customHeight="false" outlineLevel="0" collapsed="false">
      <c r="A160" s="33" t="s">
        <v>106</v>
      </c>
      <c r="B160" s="33" t="s">
        <v>342</v>
      </c>
      <c r="C160" s="33"/>
      <c r="D160" s="33" t="s">
        <v>152</v>
      </c>
      <c r="E160" s="34"/>
      <c r="F160" s="34"/>
      <c r="G160" s="35" t="str">
        <f aca="true">IF(OR(E160="",J160=0),"",IF(F160&lt;&gt;"",F160-E160,TODAY()-E160))</f>
        <v/>
      </c>
      <c r="H160" s="29"/>
      <c r="I160" s="33"/>
      <c r="J160" s="32" t="n">
        <f aca="false">IF(OR(D160="",D160="Planned"),0,1)</f>
        <v>0</v>
      </c>
      <c r="K160" s="32" t="n">
        <f aca="false">IF(OR(D160="Under review",D160="Revision requested"),1,0)</f>
        <v>0</v>
      </c>
      <c r="L160" s="32" t="str">
        <f aca="false">IF(AND(J160=1,E160&lt;&gt;""),E160+ROW()/100000,"")</f>
        <v/>
      </c>
      <c r="M160" s="32" t="n">
        <f aca="false">IF(D160="Planned",ROW(),"")</f>
        <v>160</v>
      </c>
      <c r="N160" s="32" t="str">
        <f aca="true">IF(K160=1,IF(E160="",0,TODAY()-E160)+ROW()/100000,"")</f>
        <v/>
      </c>
      <c r="O160" s="32" t="str">
        <f aca="false">IF(N160="","",RANK(N160,$N$2:$N$1000))</f>
        <v/>
      </c>
    </row>
    <row r="161" customFormat="false" ht="15" hidden="false" customHeight="false" outlineLevel="0" collapsed="false">
      <c r="A161" s="33" t="s">
        <v>108</v>
      </c>
      <c r="B161" s="33" t="s">
        <v>290</v>
      </c>
      <c r="C161" s="33" t="s">
        <v>136</v>
      </c>
      <c r="D161" s="33" t="s">
        <v>148</v>
      </c>
      <c r="E161" s="34" t="n">
        <v>46300</v>
      </c>
      <c r="F161" s="34"/>
      <c r="G161" s="35" t="n">
        <f aca="true">IF(OR(E161="",J161=0),"",IF(F161&lt;&gt;"",F161-E161,TODAY()-E161))</f>
        <v>6</v>
      </c>
      <c r="H161" s="29"/>
      <c r="I161" s="33"/>
      <c r="J161" s="32" t="n">
        <f aca="false">IF(OR(D161="",D161="Planned"),0,1)</f>
        <v>1</v>
      </c>
      <c r="K161" s="32" t="n">
        <f aca="false">IF(OR(D161="Under review",D161="Revision requested"),1,0)</f>
        <v>1</v>
      </c>
      <c r="L161" s="36" t="n">
        <f aca="false">IF(AND(J161=1,E161&lt;&gt;""),E161+ROW()/100000,"")</f>
        <v>46300.00161</v>
      </c>
      <c r="M161" s="32" t="str">
        <f aca="false">IF(D161="Planned",ROW(),"")</f>
        <v/>
      </c>
      <c r="N161" s="32" t="n">
        <f aca="true">IF(K161=1,IF(E161="",0,TODAY()-E161)+ROW()/100000,"")</f>
        <v>6.00161</v>
      </c>
      <c r="O161" s="32" t="n">
        <f aca="false">IF(N161="","",RANK(N161,$N$2:$N$1000))</f>
        <v>7</v>
      </c>
    </row>
    <row r="162" customFormat="false" ht="15" hidden="false" customHeight="false" outlineLevel="0" collapsed="false">
      <c r="A162" s="33" t="s">
        <v>108</v>
      </c>
      <c r="B162" s="33" t="s">
        <v>343</v>
      </c>
      <c r="C162" s="33" t="s">
        <v>136</v>
      </c>
      <c r="D162" s="33" t="s">
        <v>152</v>
      </c>
      <c r="E162" s="34"/>
      <c r="F162" s="34"/>
      <c r="G162" s="35" t="str">
        <f aca="true">IF(OR(E162="",J162=0),"",IF(F162&lt;&gt;"",F162-E162,TODAY()-E162))</f>
        <v/>
      </c>
      <c r="H162" s="29"/>
      <c r="I162" s="33"/>
      <c r="J162" s="32" t="n">
        <f aca="false">IF(OR(D162="",D162="Planned"),0,1)</f>
        <v>0</v>
      </c>
      <c r="K162" s="32" t="n">
        <f aca="false">IF(OR(D162="Under review",D162="Revision requested"),1,0)</f>
        <v>0</v>
      </c>
      <c r="L162" s="32" t="str">
        <f aca="false">IF(AND(J162=1,E162&lt;&gt;""),E162+ROW()/100000,"")</f>
        <v/>
      </c>
      <c r="M162" s="32" t="n">
        <f aca="false">IF(D162="Planned",ROW(),"")</f>
        <v>162</v>
      </c>
      <c r="N162" s="32" t="str">
        <f aca="true">IF(K162=1,IF(E162="",0,TODAY()-E162)+ROW()/100000,"")</f>
        <v/>
      </c>
      <c r="O162" s="32" t="str">
        <f aca="false">IF(N162="","",RANK(N162,$N$2:$N$1000))</f>
        <v/>
      </c>
    </row>
    <row r="163" customFormat="false" ht="15" hidden="false" customHeight="false" outlineLevel="0" collapsed="false">
      <c r="A163" s="33" t="s">
        <v>108</v>
      </c>
      <c r="B163" s="33" t="s">
        <v>164</v>
      </c>
      <c r="C163" s="33" t="s">
        <v>165</v>
      </c>
      <c r="D163" s="33" t="s">
        <v>152</v>
      </c>
      <c r="E163" s="34"/>
      <c r="F163" s="34"/>
      <c r="G163" s="35" t="str">
        <f aca="true">IF(OR(E163="",J163=0),"",IF(F163&lt;&gt;"",F163-E163,TODAY()-E163))</f>
        <v/>
      </c>
      <c r="H163" s="29"/>
      <c r="I163" s="33"/>
      <c r="J163" s="32" t="n">
        <f aca="false">IF(OR(D163="",D163="Planned"),0,1)</f>
        <v>0</v>
      </c>
      <c r="K163" s="32" t="n">
        <f aca="false">IF(OR(D163="Under review",D163="Revision requested"),1,0)</f>
        <v>0</v>
      </c>
      <c r="L163" s="32" t="str">
        <f aca="false">IF(AND(J163=1,E163&lt;&gt;""),E163+ROW()/100000,"")</f>
        <v/>
      </c>
      <c r="M163" s="32" t="n">
        <f aca="false">IF(D163="Planned",ROW(),"")</f>
        <v>163</v>
      </c>
      <c r="N163" s="32" t="str">
        <f aca="true">IF(K163=1,IF(E163="",0,TODAY()-E163)+ROW()/100000,"")</f>
        <v/>
      </c>
      <c r="O163" s="32" t="str">
        <f aca="false">IF(N163="","",RANK(N163,$N$2:$N$1000))</f>
        <v/>
      </c>
    </row>
    <row r="164" customFormat="false" ht="15" hidden="false" customHeight="false" outlineLevel="0" collapsed="false">
      <c r="A164" s="33" t="s">
        <v>108</v>
      </c>
      <c r="B164" s="33" t="s">
        <v>344</v>
      </c>
      <c r="C164" s="33" t="s">
        <v>165</v>
      </c>
      <c r="D164" s="33" t="s">
        <v>152</v>
      </c>
      <c r="E164" s="34"/>
      <c r="F164" s="34"/>
      <c r="G164" s="35" t="str">
        <f aca="true">IF(OR(E164="",J164=0),"",IF(F164&lt;&gt;"",F164-E164,TODAY()-E164))</f>
        <v/>
      </c>
      <c r="H164" s="29"/>
      <c r="I164" s="33"/>
      <c r="J164" s="32" t="n">
        <f aca="false">IF(OR(D164="",D164="Planned"),0,1)</f>
        <v>0</v>
      </c>
      <c r="K164" s="32" t="n">
        <f aca="false">IF(OR(D164="Under review",D164="Revision requested"),1,0)</f>
        <v>0</v>
      </c>
      <c r="L164" s="32" t="str">
        <f aca="false">IF(AND(J164=1,E164&lt;&gt;""),E164+ROW()/100000,"")</f>
        <v/>
      </c>
      <c r="M164" s="32" t="n">
        <f aca="false">IF(D164="Planned",ROW(),"")</f>
        <v>164</v>
      </c>
      <c r="N164" s="32" t="str">
        <f aca="true">IF(K164=1,IF(E164="",0,TODAY()-E164)+ROW()/100000,"")</f>
        <v/>
      </c>
      <c r="O164" s="32" t="str">
        <f aca="false">IF(N164="","",RANK(N164,$N$2:$N$1000))</f>
        <v/>
      </c>
    </row>
    <row r="165" customFormat="false" ht="15" hidden="false" customHeight="false" outlineLevel="0" collapsed="false">
      <c r="A165" s="33" t="s">
        <v>108</v>
      </c>
      <c r="B165" s="33" t="s">
        <v>291</v>
      </c>
      <c r="C165" s="33" t="s">
        <v>136</v>
      </c>
      <c r="D165" s="33" t="s">
        <v>152</v>
      </c>
      <c r="E165" s="34"/>
      <c r="F165" s="34"/>
      <c r="G165" s="35" t="str">
        <f aca="true">IF(OR(E165="",J165=0),"",IF(F165&lt;&gt;"",F165-E165,TODAY()-E165))</f>
        <v/>
      </c>
      <c r="H165" s="29"/>
      <c r="I165" s="33"/>
      <c r="J165" s="32" t="n">
        <f aca="false">IF(OR(D165="",D165="Planned"),0,1)</f>
        <v>0</v>
      </c>
      <c r="K165" s="32" t="n">
        <f aca="false">IF(OR(D165="Under review",D165="Revision requested"),1,0)</f>
        <v>0</v>
      </c>
      <c r="L165" s="32" t="str">
        <f aca="false">IF(AND(J165=1,E165&lt;&gt;""),E165+ROW()/100000,"")</f>
        <v/>
      </c>
      <c r="M165" s="32" t="n">
        <f aca="false">IF(D165="Planned",ROW(),"")</f>
        <v>165</v>
      </c>
      <c r="N165" s="32" t="str">
        <f aca="true">IF(K165=1,IF(E165="",0,TODAY()-E165)+ROW()/100000,"")</f>
        <v/>
      </c>
      <c r="O165" s="32" t="str">
        <f aca="false">IF(N165="","",RANK(N165,$N$2:$N$1000))</f>
        <v/>
      </c>
    </row>
    <row r="166" customFormat="false" ht="15" hidden="false" customHeight="false" outlineLevel="0" collapsed="false">
      <c r="A166" s="33" t="s">
        <v>108</v>
      </c>
      <c r="B166" s="33" t="s">
        <v>171</v>
      </c>
      <c r="C166" s="33" t="s">
        <v>136</v>
      </c>
      <c r="D166" s="33" t="s">
        <v>152</v>
      </c>
      <c r="E166" s="34"/>
      <c r="F166" s="34"/>
      <c r="G166" s="35" t="str">
        <f aca="true">IF(OR(E166="",J166=0),"",IF(F166&lt;&gt;"",F166-E166,TODAY()-E166))</f>
        <v/>
      </c>
      <c r="H166" s="29"/>
      <c r="I166" s="33"/>
      <c r="J166" s="32" t="n">
        <f aca="false">IF(OR(D166="",D166="Planned"),0,1)</f>
        <v>0</v>
      </c>
      <c r="K166" s="32" t="n">
        <f aca="false">IF(OR(D166="Under review",D166="Revision requested"),1,0)</f>
        <v>0</v>
      </c>
      <c r="L166" s="32" t="str">
        <f aca="false">IF(AND(J166=1,E166&lt;&gt;""),E166+ROW()/100000,"")</f>
        <v/>
      </c>
      <c r="M166" s="32" t="n">
        <f aca="false">IF(D166="Planned",ROW(),"")</f>
        <v>166</v>
      </c>
      <c r="N166" s="32" t="str">
        <f aca="true">IF(K166=1,IF(E166="",0,TODAY()-E166)+ROW()/100000,"")</f>
        <v/>
      </c>
      <c r="O166" s="32" t="str">
        <f aca="false">IF(N166="","",RANK(N166,$N$2:$N$1000))</f>
        <v/>
      </c>
    </row>
    <row r="167" customFormat="false" ht="15" hidden="false" customHeight="false" outlineLevel="0" collapsed="false">
      <c r="A167" s="33" t="s">
        <v>108</v>
      </c>
      <c r="B167" s="33" t="s">
        <v>345</v>
      </c>
      <c r="C167" s="33" t="s">
        <v>142</v>
      </c>
      <c r="D167" s="33" t="s">
        <v>152</v>
      </c>
      <c r="E167" s="34"/>
      <c r="F167" s="34"/>
      <c r="G167" s="35" t="str">
        <f aca="true">IF(OR(E167="",J167=0),"",IF(F167&lt;&gt;"",F167-E167,TODAY()-E167))</f>
        <v/>
      </c>
      <c r="H167" s="29"/>
      <c r="I167" s="33"/>
      <c r="J167" s="32" t="n">
        <f aca="false">IF(OR(D167="",D167="Planned"),0,1)</f>
        <v>0</v>
      </c>
      <c r="K167" s="32" t="n">
        <f aca="false">IF(OR(D167="Under review",D167="Revision requested"),1,0)</f>
        <v>0</v>
      </c>
      <c r="L167" s="32" t="str">
        <f aca="false">IF(AND(J167=1,E167&lt;&gt;""),E167+ROW()/100000,"")</f>
        <v/>
      </c>
      <c r="M167" s="32" t="n">
        <f aca="false">IF(D167="Planned",ROW(),"")</f>
        <v>167</v>
      </c>
      <c r="N167" s="32" t="str">
        <f aca="true">IF(K167=1,IF(E167="",0,TODAY()-E167)+ROW()/100000,"")</f>
        <v/>
      </c>
      <c r="O167" s="32" t="str">
        <f aca="false">IF(N167="","",RANK(N167,$N$2:$N$1000))</f>
        <v/>
      </c>
    </row>
    <row r="168" customFormat="false" ht="15" hidden="false" customHeight="false" outlineLevel="0" collapsed="false">
      <c r="A168" s="33" t="s">
        <v>110</v>
      </c>
      <c r="B168" s="33" t="s">
        <v>346</v>
      </c>
      <c r="C168" s="33" t="s">
        <v>136</v>
      </c>
      <c r="D168" s="33" t="s">
        <v>137</v>
      </c>
      <c r="E168" s="34" t="n">
        <v>46071</v>
      </c>
      <c r="F168" s="34" t="n">
        <v>46093</v>
      </c>
      <c r="G168" s="35" t="n">
        <f aca="true">IF(OR(E168="",J168=0),"",IF(F168&lt;&gt;"",F168-E168,TODAY()-E168))</f>
        <v>22</v>
      </c>
      <c r="H168" s="29"/>
      <c r="I168" s="33"/>
      <c r="J168" s="32" t="n">
        <f aca="false">IF(OR(D168="",D168="Planned"),0,1)</f>
        <v>1</v>
      </c>
      <c r="K168" s="32" t="n">
        <f aca="false">IF(OR(D168="Under review",D168="Revision requested"),1,0)</f>
        <v>0</v>
      </c>
      <c r="L168" s="36" t="n">
        <f aca="false">IF(AND(J168=1,E168&lt;&gt;""),E168+ROW()/100000,"")</f>
        <v>46071.00168</v>
      </c>
      <c r="M168" s="32" t="str">
        <f aca="false">IF(D168="Planned",ROW(),"")</f>
        <v/>
      </c>
      <c r="N168" s="32" t="str">
        <f aca="true">IF(K168=1,IF(E168="",0,TODAY()-E168)+ROW()/100000,"")</f>
        <v/>
      </c>
      <c r="O168" s="32" t="str">
        <f aca="false">IF(N168="","",RANK(N168,$N$2:$N$1000))</f>
        <v/>
      </c>
    </row>
    <row r="169" customFormat="false" ht="15" hidden="false" customHeight="false" outlineLevel="0" collapsed="false">
      <c r="A169" s="33" t="s">
        <v>110</v>
      </c>
      <c r="B169" s="33" t="s">
        <v>347</v>
      </c>
      <c r="C169" s="33" t="s">
        <v>136</v>
      </c>
      <c r="D169" s="33" t="s">
        <v>137</v>
      </c>
      <c r="E169" s="34" t="n">
        <v>46185</v>
      </c>
      <c r="F169" s="34" t="n">
        <v>46199</v>
      </c>
      <c r="G169" s="35" t="n">
        <f aca="true">IF(OR(E169="",J169=0),"",IF(F169&lt;&gt;"",F169-E169,TODAY()-E169))</f>
        <v>14</v>
      </c>
      <c r="H169" s="29"/>
      <c r="I169" s="33"/>
      <c r="J169" s="32" t="n">
        <f aca="false">IF(OR(D169="",D169="Planned"),0,1)</f>
        <v>1</v>
      </c>
      <c r="K169" s="32" t="n">
        <f aca="false">IF(OR(D169="Under review",D169="Revision requested"),1,0)</f>
        <v>0</v>
      </c>
      <c r="L169" s="36" t="n">
        <f aca="false">IF(AND(J169=1,E169&lt;&gt;""),E169+ROW()/100000,"")</f>
        <v>46185.00169</v>
      </c>
      <c r="M169" s="32" t="str">
        <f aca="false">IF(D169="Planned",ROW(),"")</f>
        <v/>
      </c>
      <c r="N169" s="32" t="str">
        <f aca="true">IF(K169=1,IF(E169="",0,TODAY()-E169)+ROW()/100000,"")</f>
        <v/>
      </c>
      <c r="O169" s="32" t="str">
        <f aca="false">IF(N169="","",RANK(N169,$N$2:$N$1000))</f>
        <v/>
      </c>
    </row>
    <row r="170" customFormat="false" ht="15" hidden="false" customHeight="false" outlineLevel="0" collapsed="false">
      <c r="A170" s="33" t="s">
        <v>110</v>
      </c>
      <c r="B170" s="33" t="s">
        <v>348</v>
      </c>
      <c r="C170" s="33" t="s">
        <v>136</v>
      </c>
      <c r="D170" s="33" t="s">
        <v>148</v>
      </c>
      <c r="E170" s="34" t="n">
        <v>46303</v>
      </c>
      <c r="F170" s="34"/>
      <c r="G170" s="35" t="n">
        <f aca="true">IF(OR(E170="",J170=0),"",IF(F170&lt;&gt;"",F170-E170,TODAY()-E170))</f>
        <v>3</v>
      </c>
      <c r="H170" s="29"/>
      <c r="I170" s="33"/>
      <c r="J170" s="32" t="n">
        <f aca="false">IF(OR(D170="",D170="Planned"),0,1)</f>
        <v>1</v>
      </c>
      <c r="K170" s="32" t="n">
        <f aca="false">IF(OR(D170="Under review",D170="Revision requested"),1,0)</f>
        <v>1</v>
      </c>
      <c r="L170" s="36" t="n">
        <f aca="false">IF(AND(J170=1,E170&lt;&gt;""),E170+ROW()/100000,"")</f>
        <v>46303.0017</v>
      </c>
      <c r="M170" s="32" t="str">
        <f aca="false">IF(D170="Planned",ROW(),"")</f>
        <v/>
      </c>
      <c r="N170" s="32" t="n">
        <f aca="true">IF(K170=1,IF(E170="",0,TODAY()-E170)+ROW()/100000,"")</f>
        <v>3.0017</v>
      </c>
      <c r="O170" s="32" t="n">
        <f aca="false">IF(N170="","",RANK(N170,$N$2:$N$1000))</f>
        <v>10</v>
      </c>
    </row>
    <row r="171" customFormat="false" ht="15" hidden="false" customHeight="false" outlineLevel="0" collapsed="false">
      <c r="A171" s="33" t="s">
        <v>110</v>
      </c>
      <c r="B171" s="33" t="s">
        <v>349</v>
      </c>
      <c r="C171" s="33"/>
      <c r="D171" s="33" t="s">
        <v>152</v>
      </c>
      <c r="E171" s="34"/>
      <c r="F171" s="34"/>
      <c r="G171" s="35" t="str">
        <f aca="true">IF(OR(E171="",J171=0),"",IF(F171&lt;&gt;"",F171-E171,TODAY()-E171))</f>
        <v/>
      </c>
      <c r="H171" s="29"/>
      <c r="I171" s="33"/>
      <c r="J171" s="32" t="n">
        <f aca="false">IF(OR(D171="",D171="Planned"),0,1)</f>
        <v>0</v>
      </c>
      <c r="K171" s="32" t="n">
        <f aca="false">IF(OR(D171="Under review",D171="Revision requested"),1,0)</f>
        <v>0</v>
      </c>
      <c r="L171" s="32" t="str">
        <f aca="false">IF(AND(J171=1,E171&lt;&gt;""),E171+ROW()/100000,"")</f>
        <v/>
      </c>
      <c r="M171" s="32" t="n">
        <f aca="false">IF(D171="Planned",ROW(),"")</f>
        <v>171</v>
      </c>
      <c r="N171" s="32" t="str">
        <f aca="true">IF(K171=1,IF(E171="",0,TODAY()-E171)+ROW()/100000,"")</f>
        <v/>
      </c>
      <c r="O171" s="32" t="str">
        <f aca="false">IF(N171="","",RANK(N171,$N$2:$N$1000))</f>
        <v/>
      </c>
    </row>
    <row r="172" customFormat="false" ht="15" hidden="false" customHeight="false" outlineLevel="0" collapsed="false">
      <c r="A172" s="33" t="s">
        <v>110</v>
      </c>
      <c r="B172" s="33" t="s">
        <v>350</v>
      </c>
      <c r="C172" s="33"/>
      <c r="D172" s="33" t="s">
        <v>152</v>
      </c>
      <c r="E172" s="34"/>
      <c r="F172" s="34"/>
      <c r="G172" s="35" t="str">
        <f aca="true">IF(OR(E172="",J172=0),"",IF(F172&lt;&gt;"",F172-E172,TODAY()-E172))</f>
        <v/>
      </c>
      <c r="H172" s="29"/>
      <c r="I172" s="33"/>
      <c r="J172" s="32" t="n">
        <f aca="false">IF(OR(D172="",D172="Planned"),0,1)</f>
        <v>0</v>
      </c>
      <c r="K172" s="32" t="n">
        <f aca="false">IF(OR(D172="Under review",D172="Revision requested"),1,0)</f>
        <v>0</v>
      </c>
      <c r="L172" s="32" t="str">
        <f aca="false">IF(AND(J172=1,E172&lt;&gt;""),E172+ROW()/100000,"")</f>
        <v/>
      </c>
      <c r="M172" s="32" t="n">
        <f aca="false">IF(D172="Planned",ROW(),"")</f>
        <v>172</v>
      </c>
      <c r="N172" s="32" t="str">
        <f aca="true">IF(K172=1,IF(E172="",0,TODAY()-E172)+ROW()/100000,"")</f>
        <v/>
      </c>
      <c r="O172" s="32" t="str">
        <f aca="false">IF(N172="","",RANK(N172,$N$2:$N$1000))</f>
        <v/>
      </c>
    </row>
    <row r="173" customFormat="false" ht="15" hidden="false" customHeight="false" outlineLevel="0" collapsed="false">
      <c r="A173" s="33" t="s">
        <v>110</v>
      </c>
      <c r="B173" s="33" t="s">
        <v>351</v>
      </c>
      <c r="C173" s="33"/>
      <c r="D173" s="33" t="s">
        <v>152</v>
      </c>
      <c r="E173" s="34"/>
      <c r="F173" s="34"/>
      <c r="G173" s="35" t="str">
        <f aca="true">IF(OR(E173="",J173=0),"",IF(F173&lt;&gt;"",F173-E173,TODAY()-E173))</f>
        <v/>
      </c>
      <c r="H173" s="29"/>
      <c r="I173" s="33"/>
      <c r="J173" s="32" t="n">
        <f aca="false">IF(OR(D173="",D173="Planned"),0,1)</f>
        <v>0</v>
      </c>
      <c r="K173" s="32" t="n">
        <f aca="false">IF(OR(D173="Under review",D173="Revision requested"),1,0)</f>
        <v>0</v>
      </c>
      <c r="L173" s="32" t="str">
        <f aca="false">IF(AND(J173=1,E173&lt;&gt;""),E173+ROW()/100000,"")</f>
        <v/>
      </c>
      <c r="M173" s="32" t="n">
        <f aca="false">IF(D173="Planned",ROW(),"")</f>
        <v>173</v>
      </c>
      <c r="N173" s="32" t="str">
        <f aca="true">IF(K173=1,IF(E173="",0,TODAY()-E173)+ROW()/100000,"")</f>
        <v/>
      </c>
      <c r="O173" s="32" t="str">
        <f aca="false">IF(N173="","",RANK(N173,$N$2:$N$1000))</f>
        <v/>
      </c>
    </row>
    <row r="174" customFormat="false" ht="15" hidden="false" customHeight="false" outlineLevel="0" collapsed="false">
      <c r="A174" s="33" t="s">
        <v>110</v>
      </c>
      <c r="B174" s="33" t="s">
        <v>352</v>
      </c>
      <c r="C174" s="33" t="s">
        <v>353</v>
      </c>
      <c r="D174" s="33" t="s">
        <v>152</v>
      </c>
      <c r="E174" s="34"/>
      <c r="F174" s="34"/>
      <c r="G174" s="35" t="str">
        <f aca="true">IF(OR(E174="",J174=0),"",IF(F174&lt;&gt;"",F174-E174,TODAY()-E174))</f>
        <v/>
      </c>
      <c r="H174" s="29"/>
      <c r="I174" s="33"/>
      <c r="J174" s="32" t="n">
        <f aca="false">IF(OR(D174="",D174="Planned"),0,1)</f>
        <v>0</v>
      </c>
      <c r="K174" s="32" t="n">
        <f aca="false">IF(OR(D174="Under review",D174="Revision requested"),1,0)</f>
        <v>0</v>
      </c>
      <c r="L174" s="32" t="str">
        <f aca="false">IF(AND(J174=1,E174&lt;&gt;""),E174+ROW()/100000,"")</f>
        <v/>
      </c>
      <c r="M174" s="32" t="n">
        <f aca="false">IF(D174="Planned",ROW(),"")</f>
        <v>174</v>
      </c>
      <c r="N174" s="32" t="str">
        <f aca="true">IF(K174=1,IF(E174="",0,TODAY()-E174)+ROW()/100000,"")</f>
        <v/>
      </c>
      <c r="O174" s="32" t="str">
        <f aca="false">IF(N174="","",RANK(N174,$N$2:$N$1000))</f>
        <v/>
      </c>
    </row>
    <row r="175" customFormat="false" ht="15" hidden="false" customHeight="false" outlineLevel="0" collapsed="false">
      <c r="A175" s="33" t="s">
        <v>110</v>
      </c>
      <c r="B175" s="33" t="s">
        <v>354</v>
      </c>
      <c r="C175" s="33" t="s">
        <v>355</v>
      </c>
      <c r="D175" s="33" t="s">
        <v>152</v>
      </c>
      <c r="E175" s="34"/>
      <c r="F175" s="34"/>
      <c r="G175" s="35" t="str">
        <f aca="true">IF(OR(E175="",J175=0),"",IF(F175&lt;&gt;"",F175-E175,TODAY()-E175))</f>
        <v/>
      </c>
      <c r="H175" s="29"/>
      <c r="I175" s="33"/>
      <c r="J175" s="32" t="n">
        <f aca="false">IF(OR(D175="",D175="Planned"),0,1)</f>
        <v>0</v>
      </c>
      <c r="K175" s="32" t="n">
        <f aca="false">IF(OR(D175="Under review",D175="Revision requested"),1,0)</f>
        <v>0</v>
      </c>
      <c r="L175" s="32" t="str">
        <f aca="false">IF(AND(J175=1,E175&lt;&gt;""),E175+ROW()/100000,"")</f>
        <v/>
      </c>
      <c r="M175" s="32" t="n">
        <f aca="false">IF(D175="Planned",ROW(),"")</f>
        <v>175</v>
      </c>
      <c r="N175" s="32" t="str">
        <f aca="true">IF(K175=1,IF(E175="",0,TODAY()-E175)+ROW()/100000,"")</f>
        <v/>
      </c>
      <c r="O175" s="32" t="str">
        <f aca="false">IF(N175="","",RANK(N175,$N$2:$N$1000))</f>
        <v/>
      </c>
    </row>
    <row r="176" customFormat="false" ht="15" hidden="false" customHeight="false" outlineLevel="0" collapsed="false">
      <c r="A176" s="33" t="s">
        <v>110</v>
      </c>
      <c r="B176" s="33" t="s">
        <v>356</v>
      </c>
      <c r="C176" s="33" t="s">
        <v>357</v>
      </c>
      <c r="D176" s="33" t="s">
        <v>152</v>
      </c>
      <c r="E176" s="34"/>
      <c r="F176" s="34"/>
      <c r="G176" s="35" t="str">
        <f aca="true">IF(OR(E176="",J176=0),"",IF(F176&lt;&gt;"",F176-E176,TODAY()-E176))</f>
        <v/>
      </c>
      <c r="H176" s="29"/>
      <c r="I176" s="33"/>
      <c r="J176" s="32" t="n">
        <f aca="false">IF(OR(D176="",D176="Planned"),0,1)</f>
        <v>0</v>
      </c>
      <c r="K176" s="32" t="n">
        <f aca="false">IF(OR(D176="Under review",D176="Revision requested"),1,0)</f>
        <v>0</v>
      </c>
      <c r="L176" s="32" t="str">
        <f aca="false">IF(AND(J176=1,E176&lt;&gt;""),E176+ROW()/100000,"")</f>
        <v/>
      </c>
      <c r="M176" s="32" t="n">
        <f aca="false">IF(D176="Planned",ROW(),"")</f>
        <v>176</v>
      </c>
      <c r="N176" s="32" t="str">
        <f aca="true">IF(K176=1,IF(E176="",0,TODAY()-E176)+ROW()/100000,"")</f>
        <v/>
      </c>
      <c r="O176" s="32" t="str">
        <f aca="false">IF(N176="","",RANK(N176,$N$2:$N$1000))</f>
        <v/>
      </c>
    </row>
    <row r="177" customFormat="false" ht="15" hidden="false" customHeight="false" outlineLevel="0" collapsed="false">
      <c r="A177" s="33" t="s">
        <v>110</v>
      </c>
      <c r="B177" s="33" t="s">
        <v>358</v>
      </c>
      <c r="C177" s="33" t="s">
        <v>359</v>
      </c>
      <c r="D177" s="33" t="s">
        <v>152</v>
      </c>
      <c r="E177" s="34"/>
      <c r="F177" s="34"/>
      <c r="G177" s="35" t="str">
        <f aca="true">IF(OR(E177="",J177=0),"",IF(F177&lt;&gt;"",F177-E177,TODAY()-E177))</f>
        <v/>
      </c>
      <c r="H177" s="29" t="s">
        <v>360</v>
      </c>
      <c r="I177" s="33"/>
      <c r="J177" s="32" t="n">
        <f aca="false">IF(OR(D177="",D177="Planned"),0,1)</f>
        <v>0</v>
      </c>
      <c r="K177" s="32" t="n">
        <f aca="false">IF(OR(D177="Under review",D177="Revision requested"),1,0)</f>
        <v>0</v>
      </c>
      <c r="L177" s="32" t="str">
        <f aca="false">IF(AND(J177=1,E177&lt;&gt;""),E177+ROW()/100000,"")</f>
        <v/>
      </c>
      <c r="M177" s="32" t="n">
        <f aca="false">IF(D177="Planned",ROW(),"")</f>
        <v>177</v>
      </c>
      <c r="N177" s="32" t="str">
        <f aca="true">IF(K177=1,IF(E177="",0,TODAY()-E177)+ROW()/100000,"")</f>
        <v/>
      </c>
      <c r="O177" s="32" t="str">
        <f aca="false">IF(N177="","",RANK(N177,$N$2:$N$1000))</f>
        <v/>
      </c>
    </row>
    <row r="178" customFormat="false" ht="15" hidden="false" customHeight="false" outlineLevel="0" collapsed="false">
      <c r="A178" s="33" t="s">
        <v>110</v>
      </c>
      <c r="B178" s="33" t="s">
        <v>361</v>
      </c>
      <c r="C178" s="33" t="s">
        <v>136</v>
      </c>
      <c r="D178" s="33" t="s">
        <v>152</v>
      </c>
      <c r="E178" s="34"/>
      <c r="F178" s="34"/>
      <c r="G178" s="35" t="str">
        <f aca="true">IF(OR(E178="",J178=0),"",IF(F178&lt;&gt;"",F178-E178,TODAY()-E178))</f>
        <v/>
      </c>
      <c r="H178" s="29"/>
      <c r="I178" s="33"/>
      <c r="J178" s="32" t="n">
        <f aca="false">IF(OR(D178="",D178="Planned"),0,1)</f>
        <v>0</v>
      </c>
      <c r="K178" s="32" t="n">
        <f aca="false">IF(OR(D178="Under review",D178="Revision requested"),1,0)</f>
        <v>0</v>
      </c>
      <c r="L178" s="32" t="str">
        <f aca="false">IF(AND(J178=1,E178&lt;&gt;""),E178+ROW()/100000,"")</f>
        <v/>
      </c>
      <c r="M178" s="32" t="n">
        <f aca="false">IF(D178="Planned",ROW(),"")</f>
        <v>178</v>
      </c>
      <c r="N178" s="32" t="str">
        <f aca="true">IF(K178=1,IF(E178="",0,TODAY()-E178)+ROW()/100000,"")</f>
        <v/>
      </c>
      <c r="O178" s="32" t="str">
        <f aca="false">IF(N178="","",RANK(N178,$N$2:$N$1000))</f>
        <v/>
      </c>
    </row>
    <row r="179" customFormat="false" ht="15" hidden="false" customHeight="false" outlineLevel="0" collapsed="false">
      <c r="A179" s="33" t="s">
        <v>110</v>
      </c>
      <c r="B179" s="33" t="s">
        <v>362</v>
      </c>
      <c r="C179" s="33" t="s">
        <v>165</v>
      </c>
      <c r="D179" s="33" t="s">
        <v>152</v>
      </c>
      <c r="E179" s="34"/>
      <c r="F179" s="34"/>
      <c r="G179" s="35" t="str">
        <f aca="true">IF(OR(E179="",J179=0),"",IF(F179&lt;&gt;"",F179-E179,TODAY()-E179))</f>
        <v/>
      </c>
      <c r="H179" s="29"/>
      <c r="I179" s="33"/>
      <c r="J179" s="32" t="n">
        <f aca="false">IF(OR(D179="",D179="Planned"),0,1)</f>
        <v>0</v>
      </c>
      <c r="K179" s="32" t="n">
        <f aca="false">IF(OR(D179="Under review",D179="Revision requested"),1,0)</f>
        <v>0</v>
      </c>
      <c r="L179" s="32" t="str">
        <f aca="false">IF(AND(J179=1,E179&lt;&gt;""),E179+ROW()/100000,"")</f>
        <v/>
      </c>
      <c r="M179" s="32" t="n">
        <f aca="false">IF(D179="Planned",ROW(),"")</f>
        <v>179</v>
      </c>
      <c r="N179" s="32" t="str">
        <f aca="true">IF(K179=1,IF(E179="",0,TODAY()-E179)+ROW()/100000,"")</f>
        <v/>
      </c>
      <c r="O179" s="32" t="str">
        <f aca="false">IF(N179="","",RANK(N179,$N$2:$N$1000))</f>
        <v/>
      </c>
    </row>
    <row r="180" customFormat="false" ht="15" hidden="false" customHeight="false" outlineLevel="0" collapsed="false">
      <c r="A180" s="33" t="s">
        <v>110</v>
      </c>
      <c r="B180" s="33" t="s">
        <v>363</v>
      </c>
      <c r="C180" s="33"/>
      <c r="D180" s="33" t="s">
        <v>152</v>
      </c>
      <c r="E180" s="34"/>
      <c r="F180" s="34"/>
      <c r="G180" s="35" t="str">
        <f aca="true">IF(OR(E180="",J180=0),"",IF(F180&lt;&gt;"",F180-E180,TODAY()-E180))</f>
        <v/>
      </c>
      <c r="H180" s="29"/>
      <c r="I180" s="33"/>
      <c r="J180" s="32" t="n">
        <f aca="false">IF(OR(D180="",D180="Planned"),0,1)</f>
        <v>0</v>
      </c>
      <c r="K180" s="32" t="n">
        <f aca="false">IF(OR(D180="Under review",D180="Revision requested"),1,0)</f>
        <v>0</v>
      </c>
      <c r="L180" s="32" t="str">
        <f aca="false">IF(AND(J180=1,E180&lt;&gt;""),E180+ROW()/100000,"")</f>
        <v/>
      </c>
      <c r="M180" s="32" t="n">
        <f aca="false">IF(D180="Planned",ROW(),"")</f>
        <v>180</v>
      </c>
      <c r="N180" s="32" t="str">
        <f aca="true">IF(K180=1,IF(E180="",0,TODAY()-E180)+ROW()/100000,"")</f>
        <v/>
      </c>
      <c r="O180" s="32" t="str">
        <f aca="false">IF(N180="","",RANK(N180,$N$2:$N$1000))</f>
        <v/>
      </c>
    </row>
    <row r="181" customFormat="false" ht="15" hidden="false" customHeight="false" outlineLevel="0" collapsed="false">
      <c r="A181" s="33" t="s">
        <v>110</v>
      </c>
      <c r="B181" s="33" t="s">
        <v>364</v>
      </c>
      <c r="C181" s="33"/>
      <c r="D181" s="33" t="s">
        <v>152</v>
      </c>
      <c r="E181" s="34"/>
      <c r="F181" s="34"/>
      <c r="G181" s="35" t="str">
        <f aca="true">IF(OR(E181="",J181=0),"",IF(F181&lt;&gt;"",F181-E181,TODAY()-E181))</f>
        <v/>
      </c>
      <c r="H181" s="29"/>
      <c r="I181" s="33"/>
      <c r="J181" s="32" t="n">
        <f aca="false">IF(OR(D181="",D181="Planned"),0,1)</f>
        <v>0</v>
      </c>
      <c r="K181" s="32" t="n">
        <f aca="false">IF(OR(D181="Under review",D181="Revision requested"),1,0)</f>
        <v>0</v>
      </c>
      <c r="L181" s="32" t="str">
        <f aca="false">IF(AND(J181=1,E181&lt;&gt;""),E181+ROW()/100000,"")</f>
        <v/>
      </c>
      <c r="M181" s="32" t="n">
        <f aca="false">IF(D181="Planned",ROW(),"")</f>
        <v>181</v>
      </c>
      <c r="N181" s="32" t="str">
        <f aca="true">IF(K181=1,IF(E181="",0,TODAY()-E181)+ROW()/100000,"")</f>
        <v/>
      </c>
      <c r="O181" s="32" t="str">
        <f aca="false">IF(N181="","",RANK(N181,$N$2:$N$1000))</f>
        <v/>
      </c>
    </row>
    <row r="182" customFormat="false" ht="15" hidden="false" customHeight="false" outlineLevel="0" collapsed="false">
      <c r="A182" s="33" t="s">
        <v>112</v>
      </c>
      <c r="B182" s="33" t="s">
        <v>365</v>
      </c>
      <c r="C182" s="33"/>
      <c r="D182" s="33" t="s">
        <v>137</v>
      </c>
      <c r="E182" s="34" t="n">
        <v>45671</v>
      </c>
      <c r="F182" s="34" t="n">
        <v>45868</v>
      </c>
      <c r="G182" s="35" t="n">
        <f aca="true">IF(OR(E182="",J182=0),"",IF(F182&lt;&gt;"",F182-E182,TODAY()-E182))</f>
        <v>197</v>
      </c>
      <c r="H182" s="29"/>
      <c r="I182" s="33"/>
      <c r="J182" s="32" t="n">
        <f aca="false">IF(OR(D182="",D182="Planned"),0,1)</f>
        <v>1</v>
      </c>
      <c r="K182" s="32" t="n">
        <f aca="false">IF(OR(D182="Under review",D182="Revision requested"),1,0)</f>
        <v>0</v>
      </c>
      <c r="L182" s="36" t="n">
        <f aca="false">IF(AND(J182=1,E182&lt;&gt;""),E182+ROW()/100000,"")</f>
        <v>45671.00182</v>
      </c>
      <c r="M182" s="32" t="str">
        <f aca="false">IF(D182="Planned",ROW(),"")</f>
        <v/>
      </c>
      <c r="N182" s="32" t="str">
        <f aca="true">IF(K182=1,IF(E182="",0,TODAY()-E182)+ROW()/100000,"")</f>
        <v/>
      </c>
      <c r="O182" s="32" t="str">
        <f aca="false">IF(N182="","",RANK(N182,$N$2:$N$1000))</f>
        <v/>
      </c>
    </row>
    <row r="183" customFormat="false" ht="15" hidden="false" customHeight="false" outlineLevel="0" collapsed="false">
      <c r="A183" s="33" t="s">
        <v>114</v>
      </c>
      <c r="B183" s="33" t="s">
        <v>242</v>
      </c>
      <c r="C183" s="33"/>
      <c r="D183" s="33" t="s">
        <v>137</v>
      </c>
      <c r="E183" s="34" t="n">
        <v>45457</v>
      </c>
      <c r="F183" s="34" t="n">
        <v>45699</v>
      </c>
      <c r="G183" s="35" t="n">
        <f aca="true">IF(OR(E183="",J183=0),"",IF(F183&lt;&gt;"",F183-E183,TODAY()-E183))</f>
        <v>242</v>
      </c>
      <c r="H183" s="29" t="s">
        <v>366</v>
      </c>
      <c r="I183" s="33"/>
      <c r="J183" s="32" t="n">
        <f aca="false">IF(OR(D183="",D183="Planned"),0,1)</f>
        <v>1</v>
      </c>
      <c r="K183" s="32" t="n">
        <f aca="false">IF(OR(D183="Under review",D183="Revision requested"),1,0)</f>
        <v>0</v>
      </c>
      <c r="L183" s="36" t="n">
        <f aca="false">IF(AND(J183=1,E183&lt;&gt;""),E183+ROW()/100000,"")</f>
        <v>45457.00183</v>
      </c>
      <c r="M183" s="32" t="str">
        <f aca="false">IF(D183="Planned",ROW(),"")</f>
        <v/>
      </c>
      <c r="N183" s="32" t="str">
        <f aca="true">IF(K183=1,IF(E183="",0,TODAY()-E183)+ROW()/100000,"")</f>
        <v/>
      </c>
      <c r="O183" s="32" t="str">
        <f aca="false">IF(N183="","",RANK(N183,$N$2:$N$1000))</f>
        <v/>
      </c>
    </row>
    <row r="184" customFormat="false" ht="15" hidden="false" customHeight="false" outlineLevel="0" collapsed="false">
      <c r="A184" s="33" t="s">
        <v>116</v>
      </c>
      <c r="B184" s="33" t="s">
        <v>242</v>
      </c>
      <c r="C184" s="33"/>
      <c r="D184" s="33" t="s">
        <v>137</v>
      </c>
      <c r="E184" s="34" t="n">
        <v>45759</v>
      </c>
      <c r="F184" s="34" t="n">
        <v>45965</v>
      </c>
      <c r="G184" s="35" t="n">
        <f aca="true">IF(OR(E184="",J184=0),"",IF(F184&lt;&gt;"",F184-E184,TODAY()-E184))</f>
        <v>206</v>
      </c>
      <c r="H184" s="29" t="s">
        <v>366</v>
      </c>
      <c r="I184" s="33"/>
      <c r="J184" s="32" t="n">
        <f aca="false">IF(OR(D184="",D184="Planned"),0,1)</f>
        <v>1</v>
      </c>
      <c r="K184" s="32" t="n">
        <f aca="false">IF(OR(D184="Under review",D184="Revision requested"),1,0)</f>
        <v>0</v>
      </c>
      <c r="L184" s="36" t="n">
        <f aca="false">IF(AND(J184=1,E184&lt;&gt;""),E184+ROW()/100000,"")</f>
        <v>45759.00184</v>
      </c>
      <c r="M184" s="32" t="str">
        <f aca="false">IF(D184="Planned",ROW(),"")</f>
        <v/>
      </c>
      <c r="N184" s="32" t="str">
        <f aca="true">IF(K184=1,IF(E184="",0,TODAY()-E184)+ROW()/100000,"")</f>
        <v/>
      </c>
      <c r="O184" s="32" t="str">
        <f aca="false">IF(N184="","",RANK(N184,$N$2:$N$1000))</f>
        <v/>
      </c>
    </row>
    <row r="185" customFormat="false" ht="15" hidden="false" customHeight="false" outlineLevel="0" collapsed="false">
      <c r="A185" s="33" t="s">
        <v>118</v>
      </c>
      <c r="B185" s="33" t="s">
        <v>367</v>
      </c>
      <c r="C185" s="33"/>
      <c r="D185" s="33" t="s">
        <v>137</v>
      </c>
      <c r="E185" s="34" t="n">
        <v>45907</v>
      </c>
      <c r="F185" s="34" t="n">
        <v>45922</v>
      </c>
      <c r="G185" s="35" t="n">
        <f aca="true">IF(OR(E185="",J185=0),"",IF(F185&lt;&gt;"",F185-E185,TODAY()-E185))</f>
        <v>15</v>
      </c>
      <c r="H185" s="29" t="s">
        <v>368</v>
      </c>
      <c r="I185" s="33"/>
      <c r="J185" s="32" t="n">
        <f aca="false">IF(OR(D185="",D185="Planned"),0,1)</f>
        <v>1</v>
      </c>
      <c r="K185" s="32" t="n">
        <f aca="false">IF(OR(D185="Under review",D185="Revision requested"),1,0)</f>
        <v>0</v>
      </c>
      <c r="L185" s="36" t="n">
        <f aca="false">IF(AND(J185=1,E185&lt;&gt;""),E185+ROW()/100000,"")</f>
        <v>45907.00185</v>
      </c>
      <c r="M185" s="32" t="str">
        <f aca="false">IF(D185="Planned",ROW(),"")</f>
        <v/>
      </c>
      <c r="N185" s="32" t="str">
        <f aca="true">IF(K185=1,IF(E185="",0,TODAY()-E185)+ROW()/100000,"")</f>
        <v/>
      </c>
      <c r="O185" s="32" t="str">
        <f aca="false">IF(N185="","",RANK(N185,$N$2:$N$1000))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4"/>
      <c r="F186" s="34"/>
      <c r="G186" s="35" t="str">
        <f aca="true">IF(OR(E186="",J186=0),"",IF(F186&lt;&gt;"",F186-E186,TODAY()-E186))</f>
        <v/>
      </c>
      <c r="H186" s="29"/>
      <c r="I186" s="33"/>
      <c r="J186" s="32" t="n">
        <f aca="false">IF(OR(D186="",D186="Planned"),0,1)</f>
        <v>0</v>
      </c>
      <c r="K186" s="32" t="n">
        <f aca="false">IF(OR(D186="Under review",D186="Revision requested"),1,0)</f>
        <v>0</v>
      </c>
      <c r="L186" s="32" t="str">
        <f aca="false">IF(AND(J186=1,E186&lt;&gt;""),E186+ROW()/100000,"")</f>
        <v/>
      </c>
      <c r="M186" s="32" t="str">
        <f aca="false">IF(D186="Planned",ROW(),"")</f>
        <v/>
      </c>
      <c r="N186" s="32" t="str">
        <f aca="true">IF(K186=1,IF(E186="",0,TODAY()-E186)+ROW()/100000,"")</f>
        <v/>
      </c>
      <c r="O186" s="32" t="str">
        <f aca="false">IF(N186="","",RANK(N186,$N$2:$N$1000))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4"/>
      <c r="F187" s="34"/>
      <c r="G187" s="35" t="str">
        <f aca="true">IF(OR(E187="",J187=0),"",IF(F187&lt;&gt;"",F187-E187,TODAY()-E187))</f>
        <v/>
      </c>
      <c r="H187" s="29"/>
      <c r="I187" s="33"/>
      <c r="J187" s="32" t="n">
        <f aca="false">IF(OR(D187="",D187="Planned"),0,1)</f>
        <v>0</v>
      </c>
      <c r="K187" s="32" t="n">
        <f aca="false">IF(OR(D187="Under review",D187="Revision requested"),1,0)</f>
        <v>0</v>
      </c>
      <c r="L187" s="32" t="str">
        <f aca="false">IF(AND(J187=1,E187&lt;&gt;""),E187+ROW()/100000,"")</f>
        <v/>
      </c>
      <c r="M187" s="32" t="str">
        <f aca="false">IF(D187="Planned",ROW(),"")</f>
        <v/>
      </c>
      <c r="N187" s="32" t="str">
        <f aca="true">IF(K187=1,IF(E187="",0,TODAY()-E187)+ROW()/100000,"")</f>
        <v/>
      </c>
      <c r="O187" s="32" t="str">
        <f aca="false">IF(N187="","",RANK(N187,$N$2:$N$1000))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4"/>
      <c r="F188" s="34"/>
      <c r="G188" s="35" t="str">
        <f aca="true">IF(OR(E188="",J188=0),"",IF(F188&lt;&gt;"",F188-E188,TODAY()-E188))</f>
        <v/>
      </c>
      <c r="H188" s="29"/>
      <c r="I188" s="33"/>
      <c r="J188" s="32" t="n">
        <f aca="false">IF(OR(D188="",D188="Planned"),0,1)</f>
        <v>0</v>
      </c>
      <c r="K188" s="32" t="n">
        <f aca="false">IF(OR(D188="Under review",D188="Revision requested"),1,0)</f>
        <v>0</v>
      </c>
      <c r="L188" s="32" t="str">
        <f aca="false">IF(AND(J188=1,E188&lt;&gt;""),E188+ROW()/100000,"")</f>
        <v/>
      </c>
      <c r="M188" s="32" t="str">
        <f aca="false">IF(D188="Planned",ROW(),"")</f>
        <v/>
      </c>
      <c r="N188" s="32" t="str">
        <f aca="true">IF(K188=1,IF(E188="",0,TODAY()-E188)+ROW()/100000,"")</f>
        <v/>
      </c>
      <c r="O188" s="32" t="str">
        <f aca="false">IF(N188="","",RANK(N188,$N$2:$N$1000))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4"/>
      <c r="F189" s="34"/>
      <c r="G189" s="35" t="str">
        <f aca="true">IF(OR(E189="",J189=0),"",IF(F189&lt;&gt;"",F189-E189,TODAY()-E189))</f>
        <v/>
      </c>
      <c r="H189" s="29"/>
      <c r="I189" s="33"/>
      <c r="J189" s="32" t="n">
        <f aca="false">IF(OR(D189="",D189="Planned"),0,1)</f>
        <v>0</v>
      </c>
      <c r="K189" s="32" t="n">
        <f aca="false">IF(OR(D189="Under review",D189="Revision requested"),1,0)</f>
        <v>0</v>
      </c>
      <c r="L189" s="32" t="str">
        <f aca="false">IF(AND(J189=1,E189&lt;&gt;""),E189+ROW()/100000,"")</f>
        <v/>
      </c>
      <c r="M189" s="32" t="str">
        <f aca="false">IF(D189="Planned",ROW(),"")</f>
        <v/>
      </c>
      <c r="N189" s="32" t="str">
        <f aca="true">IF(K189=1,IF(E189="",0,TODAY()-E189)+ROW()/100000,"")</f>
        <v/>
      </c>
      <c r="O189" s="32" t="str">
        <f aca="false">IF(N189="","",RANK(N189,$N$2:$N$1000))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4"/>
      <c r="F190" s="34"/>
      <c r="G190" s="35" t="str">
        <f aca="true">IF(OR(E190="",J190=0),"",IF(F190&lt;&gt;"",F190-E190,TODAY()-E190))</f>
        <v/>
      </c>
      <c r="H190" s="29"/>
      <c r="I190" s="33"/>
      <c r="J190" s="32" t="n">
        <f aca="false">IF(OR(D190="",D190="Planned"),0,1)</f>
        <v>0</v>
      </c>
      <c r="K190" s="32" t="n">
        <f aca="false">IF(OR(D190="Under review",D190="Revision requested"),1,0)</f>
        <v>0</v>
      </c>
      <c r="L190" s="32" t="str">
        <f aca="false">IF(AND(J190=1,E190&lt;&gt;""),E190+ROW()/100000,"")</f>
        <v/>
      </c>
      <c r="M190" s="32" t="str">
        <f aca="false">IF(D190="Planned",ROW(),"")</f>
        <v/>
      </c>
      <c r="N190" s="32" t="str">
        <f aca="true">IF(K190=1,IF(E190="",0,TODAY()-E190)+ROW()/100000,"")</f>
        <v/>
      </c>
      <c r="O190" s="32" t="str">
        <f aca="false">IF(N190="","",RANK(N190,$N$2:$N$1000))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4"/>
      <c r="F191" s="34"/>
      <c r="G191" s="35" t="str">
        <f aca="true">IF(OR(E191="",J191=0),"",IF(F191&lt;&gt;"",F191-E191,TODAY()-E191))</f>
        <v/>
      </c>
      <c r="H191" s="29"/>
      <c r="I191" s="33"/>
      <c r="J191" s="32" t="n">
        <f aca="false">IF(OR(D191="",D191="Planned"),0,1)</f>
        <v>0</v>
      </c>
      <c r="K191" s="32" t="n">
        <f aca="false">IF(OR(D191="Under review",D191="Revision requested"),1,0)</f>
        <v>0</v>
      </c>
      <c r="L191" s="32" t="str">
        <f aca="false">IF(AND(J191=1,E191&lt;&gt;""),E191+ROW()/100000,"")</f>
        <v/>
      </c>
      <c r="M191" s="32" t="str">
        <f aca="false">IF(D191="Planned",ROW(),"")</f>
        <v/>
      </c>
      <c r="N191" s="32" t="str">
        <f aca="true">IF(K191=1,IF(E191="",0,TODAY()-E191)+ROW()/100000,"")</f>
        <v/>
      </c>
      <c r="O191" s="32" t="str">
        <f aca="false">IF(N191="","",RANK(N191,$N$2:$N$1000))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4"/>
      <c r="F192" s="34"/>
      <c r="G192" s="35" t="str">
        <f aca="true">IF(OR(E192="",J192=0),"",IF(F192&lt;&gt;"",F192-E192,TODAY()-E192))</f>
        <v/>
      </c>
      <c r="H192" s="29"/>
      <c r="I192" s="33"/>
      <c r="J192" s="32" t="n">
        <f aca="false">IF(OR(D192="",D192="Planned"),0,1)</f>
        <v>0</v>
      </c>
      <c r="K192" s="32" t="n">
        <f aca="false">IF(OR(D192="Under review",D192="Revision requested"),1,0)</f>
        <v>0</v>
      </c>
      <c r="L192" s="32" t="str">
        <f aca="false">IF(AND(J192=1,E192&lt;&gt;""),E192+ROW()/100000,"")</f>
        <v/>
      </c>
      <c r="M192" s="32" t="str">
        <f aca="false">IF(D192="Planned",ROW(),"")</f>
        <v/>
      </c>
      <c r="N192" s="32" t="str">
        <f aca="true">IF(K192=1,IF(E192="",0,TODAY()-E192)+ROW()/100000,"")</f>
        <v/>
      </c>
      <c r="O192" s="32" t="str">
        <f aca="false">IF(N192="","",RANK(N192,$N$2:$N$1000))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4"/>
      <c r="F193" s="34"/>
      <c r="G193" s="35" t="str">
        <f aca="true">IF(OR(E193="",J193=0),"",IF(F193&lt;&gt;"",F193-E193,TODAY()-E193))</f>
        <v/>
      </c>
      <c r="H193" s="29"/>
      <c r="I193" s="33"/>
      <c r="J193" s="32" t="n">
        <f aca="false">IF(OR(D193="",D193="Planned"),0,1)</f>
        <v>0</v>
      </c>
      <c r="K193" s="32" t="n">
        <f aca="false">IF(OR(D193="Under review",D193="Revision requested"),1,0)</f>
        <v>0</v>
      </c>
      <c r="L193" s="32" t="str">
        <f aca="false">IF(AND(J193=1,E193&lt;&gt;""),E193+ROW()/100000,"")</f>
        <v/>
      </c>
      <c r="M193" s="32" t="str">
        <f aca="false">IF(D193="Planned",ROW(),"")</f>
        <v/>
      </c>
      <c r="N193" s="32" t="str">
        <f aca="true">IF(K193=1,IF(E193="",0,TODAY()-E193)+ROW()/100000,"")</f>
        <v/>
      </c>
      <c r="O193" s="32" t="str">
        <f aca="false">IF(N193="","",RANK(N193,$N$2:$N$1000))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4"/>
      <c r="F194" s="34"/>
      <c r="G194" s="35" t="str">
        <f aca="true">IF(OR(E194="",J194=0),"",IF(F194&lt;&gt;"",F194-E194,TODAY()-E194))</f>
        <v/>
      </c>
      <c r="H194" s="29"/>
      <c r="I194" s="33"/>
      <c r="J194" s="32" t="n">
        <f aca="false">IF(OR(D194="",D194="Planned"),0,1)</f>
        <v>0</v>
      </c>
      <c r="K194" s="32" t="n">
        <f aca="false">IF(OR(D194="Under review",D194="Revision requested"),1,0)</f>
        <v>0</v>
      </c>
      <c r="L194" s="32" t="str">
        <f aca="false">IF(AND(J194=1,E194&lt;&gt;""),E194+ROW()/100000,"")</f>
        <v/>
      </c>
      <c r="M194" s="32" t="str">
        <f aca="false">IF(D194="Planned",ROW(),"")</f>
        <v/>
      </c>
      <c r="N194" s="32" t="str">
        <f aca="true">IF(K194=1,IF(E194="",0,TODAY()-E194)+ROW()/100000,"")</f>
        <v/>
      </c>
      <c r="O194" s="32" t="str">
        <f aca="false">IF(N194="","",RANK(N194,$N$2:$N$1000))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4"/>
      <c r="F195" s="34"/>
      <c r="G195" s="35" t="str">
        <f aca="true">IF(OR(E195="",J195=0),"",IF(F195&lt;&gt;"",F195-E195,TODAY()-E195))</f>
        <v/>
      </c>
      <c r="H195" s="29"/>
      <c r="I195" s="33"/>
      <c r="J195" s="32" t="n">
        <f aca="false">IF(OR(D195="",D195="Planned"),0,1)</f>
        <v>0</v>
      </c>
      <c r="K195" s="32" t="n">
        <f aca="false">IF(OR(D195="Under review",D195="Revision requested"),1,0)</f>
        <v>0</v>
      </c>
      <c r="L195" s="32" t="str">
        <f aca="false">IF(AND(J195=1,E195&lt;&gt;""),E195+ROW()/100000,"")</f>
        <v/>
      </c>
      <c r="M195" s="32" t="str">
        <f aca="false">IF(D195="Planned",ROW(),"")</f>
        <v/>
      </c>
      <c r="N195" s="32" t="str">
        <f aca="true">IF(K195=1,IF(E195="",0,TODAY()-E195)+ROW()/100000,"")</f>
        <v/>
      </c>
      <c r="O195" s="32" t="str">
        <f aca="false">IF(N195="","",RANK(N195,$N$2:$N$1000))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4"/>
      <c r="F196" s="34"/>
      <c r="G196" s="35" t="str">
        <f aca="true">IF(OR(E196="",J196=0),"",IF(F196&lt;&gt;"",F196-E196,TODAY()-E196))</f>
        <v/>
      </c>
      <c r="H196" s="29"/>
      <c r="I196" s="33"/>
      <c r="J196" s="32" t="n">
        <f aca="false">IF(OR(D196="",D196="Planned"),0,1)</f>
        <v>0</v>
      </c>
      <c r="K196" s="32" t="n">
        <f aca="false">IF(OR(D196="Under review",D196="Revision requested"),1,0)</f>
        <v>0</v>
      </c>
      <c r="L196" s="32" t="str">
        <f aca="false">IF(AND(J196=1,E196&lt;&gt;""),E196+ROW()/100000,"")</f>
        <v/>
      </c>
      <c r="M196" s="32" t="str">
        <f aca="false">IF(D196="Planned",ROW(),"")</f>
        <v/>
      </c>
      <c r="N196" s="32" t="str">
        <f aca="true">IF(K196=1,IF(E196="",0,TODAY()-E196)+ROW()/100000,"")</f>
        <v/>
      </c>
      <c r="O196" s="32" t="str">
        <f aca="false">IF(N196="","",RANK(N196,$N$2:$N$1000))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4"/>
      <c r="F197" s="34"/>
      <c r="G197" s="35" t="str">
        <f aca="true">IF(OR(E197="",J197=0),"",IF(F197&lt;&gt;"",F197-E197,TODAY()-E197))</f>
        <v/>
      </c>
      <c r="H197" s="29"/>
      <c r="I197" s="33"/>
      <c r="J197" s="32" t="n">
        <f aca="false">IF(OR(D197="",D197="Planned"),0,1)</f>
        <v>0</v>
      </c>
      <c r="K197" s="32" t="n">
        <f aca="false">IF(OR(D197="Under review",D197="Revision requested"),1,0)</f>
        <v>0</v>
      </c>
      <c r="L197" s="32" t="str">
        <f aca="false">IF(AND(J197=1,E197&lt;&gt;""),E197+ROW()/100000,"")</f>
        <v/>
      </c>
      <c r="M197" s="32" t="str">
        <f aca="false">IF(D197="Planned",ROW(),"")</f>
        <v/>
      </c>
      <c r="N197" s="32" t="str">
        <f aca="true">IF(K197=1,IF(E197="",0,TODAY()-E197)+ROW()/100000,"")</f>
        <v/>
      </c>
      <c r="O197" s="32" t="str">
        <f aca="false">IF(N197="","",RANK(N197,$N$2:$N$1000))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4"/>
      <c r="F198" s="34"/>
      <c r="G198" s="35" t="str">
        <f aca="true">IF(OR(E198="",J198=0),"",IF(F198&lt;&gt;"",F198-E198,TODAY()-E198))</f>
        <v/>
      </c>
      <c r="H198" s="29"/>
      <c r="I198" s="33"/>
      <c r="J198" s="32" t="n">
        <f aca="false">IF(OR(D198="",D198="Planned"),0,1)</f>
        <v>0</v>
      </c>
      <c r="K198" s="32" t="n">
        <f aca="false">IF(OR(D198="Under review",D198="Revision requested"),1,0)</f>
        <v>0</v>
      </c>
      <c r="L198" s="32" t="str">
        <f aca="false">IF(AND(J198=1,E198&lt;&gt;""),E198+ROW()/100000,"")</f>
        <v/>
      </c>
      <c r="M198" s="32" t="str">
        <f aca="false">IF(D198="Planned",ROW(),"")</f>
        <v/>
      </c>
      <c r="N198" s="32" t="str">
        <f aca="true">IF(K198=1,IF(E198="",0,TODAY()-E198)+ROW()/100000,"")</f>
        <v/>
      </c>
      <c r="O198" s="32" t="str">
        <f aca="false">IF(N198="","",RANK(N198,$N$2:$N$1000))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4"/>
      <c r="F199" s="34"/>
      <c r="G199" s="35" t="str">
        <f aca="true">IF(OR(E199="",J199=0),"",IF(F199&lt;&gt;"",F199-E199,TODAY()-E199))</f>
        <v/>
      </c>
      <c r="H199" s="29"/>
      <c r="I199" s="33"/>
      <c r="J199" s="32" t="n">
        <f aca="false">IF(OR(D199="",D199="Planned"),0,1)</f>
        <v>0</v>
      </c>
      <c r="K199" s="32" t="n">
        <f aca="false">IF(OR(D199="Under review",D199="Revision requested"),1,0)</f>
        <v>0</v>
      </c>
      <c r="L199" s="32" t="str">
        <f aca="false">IF(AND(J199=1,E199&lt;&gt;""),E199+ROW()/100000,"")</f>
        <v/>
      </c>
      <c r="M199" s="32" t="str">
        <f aca="false">IF(D199="Planned",ROW(),"")</f>
        <v/>
      </c>
      <c r="N199" s="32" t="str">
        <f aca="true">IF(K199=1,IF(E199="",0,TODAY()-E199)+ROW()/100000,"")</f>
        <v/>
      </c>
      <c r="O199" s="32" t="str">
        <f aca="false">IF(N199="","",RANK(N199,$N$2:$N$1000))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4"/>
      <c r="F200" s="34"/>
      <c r="G200" s="35" t="str">
        <f aca="true">IF(OR(E200="",J200=0),"",IF(F200&lt;&gt;"",F200-E200,TODAY()-E200))</f>
        <v/>
      </c>
      <c r="H200" s="29"/>
      <c r="I200" s="33"/>
      <c r="J200" s="32" t="n">
        <f aca="false">IF(OR(D200="",D200="Planned"),0,1)</f>
        <v>0</v>
      </c>
      <c r="K200" s="32" t="n">
        <f aca="false">IF(OR(D200="Under review",D200="Revision requested"),1,0)</f>
        <v>0</v>
      </c>
      <c r="L200" s="32" t="str">
        <f aca="false">IF(AND(J200=1,E200&lt;&gt;""),E200+ROW()/100000,"")</f>
        <v/>
      </c>
      <c r="M200" s="32" t="str">
        <f aca="false">IF(D200="Planned",ROW(),"")</f>
        <v/>
      </c>
      <c r="N200" s="32" t="str">
        <f aca="true">IF(K200=1,IF(E200="",0,TODAY()-E200)+ROW()/100000,"")</f>
        <v/>
      </c>
      <c r="O200" s="32" t="str">
        <f aca="false">IF(N200="","",RANK(N200,$N$2:$N$1000))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4"/>
      <c r="F201" s="34"/>
      <c r="G201" s="35" t="str">
        <f aca="true">IF(OR(E201="",J201=0),"",IF(F201&lt;&gt;"",F201-E201,TODAY()-E201))</f>
        <v/>
      </c>
      <c r="H201" s="29"/>
      <c r="I201" s="33"/>
      <c r="J201" s="32" t="n">
        <f aca="false">IF(OR(D201="",D201="Planned"),0,1)</f>
        <v>0</v>
      </c>
      <c r="K201" s="32" t="n">
        <f aca="false">IF(OR(D201="Under review",D201="Revision requested"),1,0)</f>
        <v>0</v>
      </c>
      <c r="L201" s="32" t="str">
        <f aca="false">IF(AND(J201=1,E201&lt;&gt;""),E201+ROW()/100000,"")</f>
        <v/>
      </c>
      <c r="M201" s="32" t="str">
        <f aca="false">IF(D201="Planned",ROW(),"")</f>
        <v/>
      </c>
      <c r="N201" s="32" t="str">
        <f aca="true">IF(K201=1,IF(E201="",0,TODAY()-E201)+ROW()/100000,"")</f>
        <v/>
      </c>
      <c r="O201" s="32" t="str">
        <f aca="false">IF(N201="","",RANK(N201,$N$2:$N$1000))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4"/>
      <c r="F202" s="34"/>
      <c r="G202" s="35" t="str">
        <f aca="true">IF(OR(E202="",J202=0),"",IF(F202&lt;&gt;"",F202-E202,TODAY()-E202))</f>
        <v/>
      </c>
      <c r="H202" s="29"/>
      <c r="I202" s="33"/>
      <c r="J202" s="32" t="n">
        <f aca="false">IF(OR(D202="",D202="Planned"),0,1)</f>
        <v>0</v>
      </c>
      <c r="K202" s="32" t="n">
        <f aca="false">IF(OR(D202="Under review",D202="Revision requested"),1,0)</f>
        <v>0</v>
      </c>
      <c r="L202" s="32" t="str">
        <f aca="false">IF(AND(J202=1,E202&lt;&gt;""),E202+ROW()/100000,"")</f>
        <v/>
      </c>
      <c r="M202" s="32" t="str">
        <f aca="false">IF(D202="Planned",ROW(),"")</f>
        <v/>
      </c>
      <c r="N202" s="32" t="str">
        <f aca="true">IF(K202=1,IF(E202="",0,TODAY()-E202)+ROW()/100000,"")</f>
        <v/>
      </c>
      <c r="O202" s="32" t="str">
        <f aca="false">IF(N202="","",RANK(N202,$N$2:$N$1000))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4"/>
      <c r="F203" s="34"/>
      <c r="G203" s="35" t="str">
        <f aca="true">IF(OR(E203="",J203=0),"",IF(F203&lt;&gt;"",F203-E203,TODAY()-E203))</f>
        <v/>
      </c>
      <c r="H203" s="29"/>
      <c r="I203" s="33"/>
      <c r="J203" s="32" t="n">
        <f aca="false">IF(OR(D203="",D203="Planned"),0,1)</f>
        <v>0</v>
      </c>
      <c r="K203" s="32" t="n">
        <f aca="false">IF(OR(D203="Under review",D203="Revision requested"),1,0)</f>
        <v>0</v>
      </c>
      <c r="L203" s="32" t="str">
        <f aca="false">IF(AND(J203=1,E203&lt;&gt;""),E203+ROW()/100000,"")</f>
        <v/>
      </c>
      <c r="M203" s="32" t="str">
        <f aca="false">IF(D203="Planned",ROW(),"")</f>
        <v/>
      </c>
      <c r="N203" s="32" t="str">
        <f aca="true">IF(K203=1,IF(E203="",0,TODAY()-E203)+ROW()/100000,"")</f>
        <v/>
      </c>
      <c r="O203" s="32" t="str">
        <f aca="false">IF(N203="","",RANK(N203,$N$2:$N$1000))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4"/>
      <c r="F204" s="34"/>
      <c r="G204" s="35" t="str">
        <f aca="true">IF(OR(E204="",J204=0),"",IF(F204&lt;&gt;"",F204-E204,TODAY()-E204))</f>
        <v/>
      </c>
      <c r="H204" s="29"/>
      <c r="I204" s="33"/>
      <c r="J204" s="32" t="n">
        <f aca="false">IF(OR(D204="",D204="Planned"),0,1)</f>
        <v>0</v>
      </c>
      <c r="K204" s="32" t="n">
        <f aca="false">IF(OR(D204="Under review",D204="Revision requested"),1,0)</f>
        <v>0</v>
      </c>
      <c r="L204" s="32" t="str">
        <f aca="false">IF(AND(J204=1,E204&lt;&gt;""),E204+ROW()/100000,"")</f>
        <v/>
      </c>
      <c r="M204" s="32" t="str">
        <f aca="false">IF(D204="Planned",ROW(),"")</f>
        <v/>
      </c>
      <c r="N204" s="32" t="str">
        <f aca="true">IF(K204=1,IF(E204="",0,TODAY()-E204)+ROW()/100000,"")</f>
        <v/>
      </c>
      <c r="O204" s="32" t="str">
        <f aca="false">IF(N204="","",RANK(N204,$N$2:$N$1000))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4"/>
      <c r="F205" s="34"/>
      <c r="G205" s="35" t="str">
        <f aca="true">IF(OR(E205="",J205=0),"",IF(F205&lt;&gt;"",F205-E205,TODAY()-E205))</f>
        <v/>
      </c>
      <c r="H205" s="29"/>
      <c r="I205" s="33"/>
      <c r="J205" s="32" t="n">
        <f aca="false">IF(OR(D205="",D205="Planned"),0,1)</f>
        <v>0</v>
      </c>
      <c r="K205" s="32" t="n">
        <f aca="false">IF(OR(D205="Under review",D205="Revision requested"),1,0)</f>
        <v>0</v>
      </c>
      <c r="L205" s="32" t="str">
        <f aca="false">IF(AND(J205=1,E205&lt;&gt;""),E205+ROW()/100000,"")</f>
        <v/>
      </c>
      <c r="M205" s="32" t="str">
        <f aca="false">IF(D205="Planned",ROW(),"")</f>
        <v/>
      </c>
      <c r="N205" s="32" t="str">
        <f aca="true">IF(K205=1,IF(E205="",0,TODAY()-E205)+ROW()/100000,"")</f>
        <v/>
      </c>
      <c r="O205" s="32" t="str">
        <f aca="false">IF(N205="","",RANK(N205,$N$2:$N$1000))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4"/>
      <c r="F206" s="34"/>
      <c r="G206" s="35" t="str">
        <f aca="true">IF(OR(E206="",J206=0),"",IF(F206&lt;&gt;"",F206-E206,TODAY()-E206))</f>
        <v/>
      </c>
      <c r="H206" s="29"/>
      <c r="I206" s="33"/>
      <c r="J206" s="32" t="n">
        <f aca="false">IF(OR(D206="",D206="Planned"),0,1)</f>
        <v>0</v>
      </c>
      <c r="K206" s="32" t="n">
        <f aca="false">IF(OR(D206="Under review",D206="Revision requested"),1,0)</f>
        <v>0</v>
      </c>
      <c r="L206" s="32" t="str">
        <f aca="false">IF(AND(J206=1,E206&lt;&gt;""),E206+ROW()/100000,"")</f>
        <v/>
      </c>
      <c r="M206" s="32" t="str">
        <f aca="false">IF(D206="Planned",ROW(),"")</f>
        <v/>
      </c>
      <c r="N206" s="32" t="str">
        <f aca="true">IF(K206=1,IF(E206="",0,TODAY()-E206)+ROW()/100000,"")</f>
        <v/>
      </c>
      <c r="O206" s="32" t="str">
        <f aca="false">IF(N206="","",RANK(N206,$N$2:$N$1000))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4"/>
      <c r="F207" s="34"/>
      <c r="G207" s="35" t="str">
        <f aca="true">IF(OR(E207="",J207=0),"",IF(F207&lt;&gt;"",F207-E207,TODAY()-E207))</f>
        <v/>
      </c>
      <c r="H207" s="29"/>
      <c r="I207" s="33"/>
      <c r="J207" s="32" t="n">
        <f aca="false">IF(OR(D207="",D207="Planned"),0,1)</f>
        <v>0</v>
      </c>
      <c r="K207" s="32" t="n">
        <f aca="false">IF(OR(D207="Under review",D207="Revision requested"),1,0)</f>
        <v>0</v>
      </c>
      <c r="L207" s="32" t="str">
        <f aca="false">IF(AND(J207=1,E207&lt;&gt;""),E207+ROW()/100000,"")</f>
        <v/>
      </c>
      <c r="M207" s="32" t="str">
        <f aca="false">IF(D207="Planned",ROW(),"")</f>
        <v/>
      </c>
      <c r="N207" s="32" t="str">
        <f aca="true">IF(K207=1,IF(E207="",0,TODAY()-E207)+ROW()/100000,"")</f>
        <v/>
      </c>
      <c r="O207" s="32" t="str">
        <f aca="false">IF(N207="","",RANK(N207,$N$2:$N$1000))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4"/>
      <c r="F208" s="34"/>
      <c r="G208" s="35" t="str">
        <f aca="true">IF(OR(E208="",J208=0),"",IF(F208&lt;&gt;"",F208-E208,TODAY()-E208))</f>
        <v/>
      </c>
      <c r="H208" s="29"/>
      <c r="I208" s="33"/>
      <c r="J208" s="32" t="n">
        <f aca="false">IF(OR(D208="",D208="Planned"),0,1)</f>
        <v>0</v>
      </c>
      <c r="K208" s="32" t="n">
        <f aca="false">IF(OR(D208="Under review",D208="Revision requested"),1,0)</f>
        <v>0</v>
      </c>
      <c r="L208" s="32" t="str">
        <f aca="false">IF(AND(J208=1,E208&lt;&gt;""),E208+ROW()/100000,"")</f>
        <v/>
      </c>
      <c r="M208" s="32" t="str">
        <f aca="false">IF(D208="Planned",ROW(),"")</f>
        <v/>
      </c>
      <c r="N208" s="32" t="str">
        <f aca="true">IF(K208=1,IF(E208="",0,TODAY()-E208)+ROW()/100000,"")</f>
        <v/>
      </c>
      <c r="O208" s="32" t="str">
        <f aca="false">IF(N208="","",RANK(N208,$N$2:$N$1000))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4"/>
      <c r="F209" s="34"/>
      <c r="G209" s="35" t="str">
        <f aca="true">IF(OR(E209="",J209=0),"",IF(F209&lt;&gt;"",F209-E209,TODAY()-E209))</f>
        <v/>
      </c>
      <c r="H209" s="29"/>
      <c r="I209" s="33"/>
      <c r="J209" s="32" t="n">
        <f aca="false">IF(OR(D209="",D209="Planned"),0,1)</f>
        <v>0</v>
      </c>
      <c r="K209" s="32" t="n">
        <f aca="false">IF(OR(D209="Under review",D209="Revision requested"),1,0)</f>
        <v>0</v>
      </c>
      <c r="L209" s="32" t="str">
        <f aca="false">IF(AND(J209=1,E209&lt;&gt;""),E209+ROW()/100000,"")</f>
        <v/>
      </c>
      <c r="M209" s="32" t="str">
        <f aca="false">IF(D209="Planned",ROW(),"")</f>
        <v/>
      </c>
      <c r="N209" s="32" t="str">
        <f aca="true">IF(K209=1,IF(E209="",0,TODAY()-E209)+ROW()/100000,"")</f>
        <v/>
      </c>
      <c r="O209" s="32" t="str">
        <f aca="false">IF(N209="","",RANK(N209,$N$2:$N$1000))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4"/>
      <c r="F210" s="34"/>
      <c r="G210" s="35" t="str">
        <f aca="true">IF(OR(E210="",J210=0),"",IF(F210&lt;&gt;"",F210-E210,TODAY()-E210))</f>
        <v/>
      </c>
      <c r="H210" s="29"/>
      <c r="I210" s="33"/>
      <c r="J210" s="32" t="n">
        <f aca="false">IF(OR(D210="",D210="Planned"),0,1)</f>
        <v>0</v>
      </c>
      <c r="K210" s="32" t="n">
        <f aca="false">IF(OR(D210="Under review",D210="Revision requested"),1,0)</f>
        <v>0</v>
      </c>
      <c r="L210" s="32" t="str">
        <f aca="false">IF(AND(J210=1,E210&lt;&gt;""),E210+ROW()/100000,"")</f>
        <v/>
      </c>
      <c r="M210" s="32" t="str">
        <f aca="false">IF(D210="Planned",ROW(),"")</f>
        <v/>
      </c>
      <c r="N210" s="32" t="str">
        <f aca="true">IF(K210=1,IF(E210="",0,TODAY()-E210)+ROW()/100000,"")</f>
        <v/>
      </c>
      <c r="O210" s="32" t="str">
        <f aca="false">IF(N210="","",RANK(N210,$N$2:$N$1000))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4"/>
      <c r="F211" s="34"/>
      <c r="G211" s="35" t="str">
        <f aca="true">IF(OR(E211="",J211=0),"",IF(F211&lt;&gt;"",F211-E211,TODAY()-E211))</f>
        <v/>
      </c>
      <c r="H211" s="29"/>
      <c r="I211" s="33"/>
      <c r="J211" s="32" t="n">
        <f aca="false">IF(OR(D211="",D211="Planned"),0,1)</f>
        <v>0</v>
      </c>
      <c r="K211" s="32" t="n">
        <f aca="false">IF(OR(D211="Under review",D211="Revision requested"),1,0)</f>
        <v>0</v>
      </c>
      <c r="L211" s="32" t="str">
        <f aca="false">IF(AND(J211=1,E211&lt;&gt;""),E211+ROW()/100000,"")</f>
        <v/>
      </c>
      <c r="M211" s="32" t="str">
        <f aca="false">IF(D211="Planned",ROW(),"")</f>
        <v/>
      </c>
      <c r="N211" s="32" t="str">
        <f aca="true">IF(K211=1,IF(E211="",0,TODAY()-E211)+ROW()/100000,"")</f>
        <v/>
      </c>
      <c r="O211" s="32" t="str">
        <f aca="false">IF(N211="","",RANK(N211,$N$2:$N$1000))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4"/>
      <c r="F212" s="34"/>
      <c r="G212" s="35" t="str">
        <f aca="true">IF(OR(E212="",J212=0),"",IF(F212&lt;&gt;"",F212-E212,TODAY()-E212))</f>
        <v/>
      </c>
      <c r="H212" s="29"/>
      <c r="I212" s="33"/>
      <c r="J212" s="32" t="n">
        <f aca="false">IF(OR(D212="",D212="Planned"),0,1)</f>
        <v>0</v>
      </c>
      <c r="K212" s="32" t="n">
        <f aca="false">IF(OR(D212="Under review",D212="Revision requested"),1,0)</f>
        <v>0</v>
      </c>
      <c r="L212" s="32" t="str">
        <f aca="false">IF(AND(J212=1,E212&lt;&gt;""),E212+ROW()/100000,"")</f>
        <v/>
      </c>
      <c r="M212" s="32" t="str">
        <f aca="false">IF(D212="Planned",ROW(),"")</f>
        <v/>
      </c>
      <c r="N212" s="32" t="str">
        <f aca="true">IF(K212=1,IF(E212="",0,TODAY()-E212)+ROW()/100000,"")</f>
        <v/>
      </c>
      <c r="O212" s="32" t="str">
        <f aca="false">IF(N212="","",RANK(N212,$N$2:$N$1000))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4"/>
      <c r="F213" s="34"/>
      <c r="G213" s="35" t="str">
        <f aca="true">IF(OR(E213="",J213=0),"",IF(F213&lt;&gt;"",F213-E213,TODAY()-E213))</f>
        <v/>
      </c>
      <c r="H213" s="29"/>
      <c r="I213" s="33"/>
      <c r="J213" s="32" t="n">
        <f aca="false">IF(OR(D213="",D213="Planned"),0,1)</f>
        <v>0</v>
      </c>
      <c r="K213" s="32" t="n">
        <f aca="false">IF(OR(D213="Under review",D213="Revision requested"),1,0)</f>
        <v>0</v>
      </c>
      <c r="L213" s="32" t="str">
        <f aca="false">IF(AND(J213=1,E213&lt;&gt;""),E213+ROW()/100000,"")</f>
        <v/>
      </c>
      <c r="M213" s="32" t="str">
        <f aca="false">IF(D213="Planned",ROW(),"")</f>
        <v/>
      </c>
      <c r="N213" s="32" t="str">
        <f aca="true">IF(K213=1,IF(E213="",0,TODAY()-E213)+ROW()/100000,"")</f>
        <v/>
      </c>
      <c r="O213" s="32" t="str">
        <f aca="false">IF(N213="","",RANK(N213,$N$2:$N$1000))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4"/>
      <c r="F214" s="34"/>
      <c r="G214" s="35" t="str">
        <f aca="true">IF(OR(E214="",J214=0),"",IF(F214&lt;&gt;"",F214-E214,TODAY()-E214))</f>
        <v/>
      </c>
      <c r="H214" s="29"/>
      <c r="I214" s="33"/>
      <c r="J214" s="32" t="n">
        <f aca="false">IF(OR(D214="",D214="Planned"),0,1)</f>
        <v>0</v>
      </c>
      <c r="K214" s="32" t="n">
        <f aca="false">IF(OR(D214="Under review",D214="Revision requested"),1,0)</f>
        <v>0</v>
      </c>
      <c r="L214" s="32" t="str">
        <f aca="false">IF(AND(J214=1,E214&lt;&gt;""),E214+ROW()/100000,"")</f>
        <v/>
      </c>
      <c r="M214" s="32" t="str">
        <f aca="false">IF(D214="Planned",ROW(),"")</f>
        <v/>
      </c>
      <c r="N214" s="32" t="str">
        <f aca="true">IF(K214=1,IF(E214="",0,TODAY()-E214)+ROW()/100000,"")</f>
        <v/>
      </c>
      <c r="O214" s="32" t="str">
        <f aca="false">IF(N214="","",RANK(N214,$N$2:$N$1000))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4"/>
      <c r="F215" s="34"/>
      <c r="G215" s="35" t="str">
        <f aca="true">IF(OR(E215="",J215=0),"",IF(F215&lt;&gt;"",F215-E215,TODAY()-E215))</f>
        <v/>
      </c>
      <c r="H215" s="29"/>
      <c r="I215" s="33"/>
      <c r="J215" s="32" t="n">
        <f aca="false">IF(OR(D215="",D215="Planned"),0,1)</f>
        <v>0</v>
      </c>
      <c r="K215" s="32" t="n">
        <f aca="false">IF(OR(D215="Under review",D215="Revision requested"),1,0)</f>
        <v>0</v>
      </c>
      <c r="L215" s="32" t="str">
        <f aca="false">IF(AND(J215=1,E215&lt;&gt;""),E215+ROW()/100000,"")</f>
        <v/>
      </c>
      <c r="M215" s="32" t="str">
        <f aca="false">IF(D215="Planned",ROW(),"")</f>
        <v/>
      </c>
      <c r="N215" s="32" t="str">
        <f aca="true">IF(K215=1,IF(E215="",0,TODAY()-E215)+ROW()/100000,"")</f>
        <v/>
      </c>
      <c r="O215" s="32" t="str">
        <f aca="false">IF(N215="","",RANK(N215,$N$2:$N$1000))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4"/>
      <c r="F216" s="34"/>
      <c r="G216" s="35" t="str">
        <f aca="true">IF(OR(E216="",J216=0),"",IF(F216&lt;&gt;"",F216-E216,TODAY()-E216))</f>
        <v/>
      </c>
      <c r="H216" s="29"/>
      <c r="I216" s="33"/>
      <c r="J216" s="32" t="n">
        <f aca="false">IF(OR(D216="",D216="Planned"),0,1)</f>
        <v>0</v>
      </c>
      <c r="K216" s="32" t="n">
        <f aca="false">IF(OR(D216="Under review",D216="Revision requested"),1,0)</f>
        <v>0</v>
      </c>
      <c r="L216" s="32" t="str">
        <f aca="false">IF(AND(J216=1,E216&lt;&gt;""),E216+ROW()/100000,"")</f>
        <v/>
      </c>
      <c r="M216" s="32" t="str">
        <f aca="false">IF(D216="Planned",ROW(),"")</f>
        <v/>
      </c>
      <c r="N216" s="32" t="str">
        <f aca="true">IF(K216=1,IF(E216="",0,TODAY()-E216)+ROW()/100000,"")</f>
        <v/>
      </c>
      <c r="O216" s="32" t="str">
        <f aca="false">IF(N216="","",RANK(N216,$N$2:$N$1000))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4"/>
      <c r="F217" s="34"/>
      <c r="G217" s="35" t="str">
        <f aca="true">IF(OR(E217="",J217=0),"",IF(F217&lt;&gt;"",F217-E217,TODAY()-E217))</f>
        <v/>
      </c>
      <c r="H217" s="29"/>
      <c r="I217" s="33"/>
      <c r="J217" s="32" t="n">
        <f aca="false">IF(OR(D217="",D217="Planned"),0,1)</f>
        <v>0</v>
      </c>
      <c r="K217" s="32" t="n">
        <f aca="false">IF(OR(D217="Under review",D217="Revision requested"),1,0)</f>
        <v>0</v>
      </c>
      <c r="L217" s="32" t="str">
        <f aca="false">IF(AND(J217=1,E217&lt;&gt;""),E217+ROW()/100000,"")</f>
        <v/>
      </c>
      <c r="M217" s="32" t="str">
        <f aca="false">IF(D217="Planned",ROW(),"")</f>
        <v/>
      </c>
      <c r="N217" s="32" t="str">
        <f aca="true">IF(K217=1,IF(E217="",0,TODAY()-E217)+ROW()/100000,"")</f>
        <v/>
      </c>
      <c r="O217" s="32" t="str">
        <f aca="false">IF(N217="","",RANK(N217,$N$2:$N$1000))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4"/>
      <c r="F218" s="34"/>
      <c r="G218" s="35" t="str">
        <f aca="true">IF(OR(E218="",J218=0),"",IF(F218&lt;&gt;"",F218-E218,TODAY()-E218))</f>
        <v/>
      </c>
      <c r="H218" s="29"/>
      <c r="I218" s="33"/>
      <c r="J218" s="32" t="n">
        <f aca="false">IF(OR(D218="",D218="Planned"),0,1)</f>
        <v>0</v>
      </c>
      <c r="K218" s="32" t="n">
        <f aca="false">IF(OR(D218="Under review",D218="Revision requested"),1,0)</f>
        <v>0</v>
      </c>
      <c r="L218" s="32" t="str">
        <f aca="false">IF(AND(J218=1,E218&lt;&gt;""),E218+ROW()/100000,"")</f>
        <v/>
      </c>
      <c r="M218" s="32" t="str">
        <f aca="false">IF(D218="Planned",ROW(),"")</f>
        <v/>
      </c>
      <c r="N218" s="32" t="str">
        <f aca="true">IF(K218=1,IF(E218="",0,TODAY()-E218)+ROW()/100000,"")</f>
        <v/>
      </c>
      <c r="O218" s="32" t="str">
        <f aca="false">IF(N218="","",RANK(N218,$N$2:$N$1000))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4"/>
      <c r="F219" s="34"/>
      <c r="G219" s="35" t="str">
        <f aca="true">IF(OR(E219="",J219=0),"",IF(F219&lt;&gt;"",F219-E219,TODAY()-E219))</f>
        <v/>
      </c>
      <c r="H219" s="29"/>
      <c r="I219" s="33"/>
      <c r="J219" s="32" t="n">
        <f aca="false">IF(OR(D219="",D219="Planned"),0,1)</f>
        <v>0</v>
      </c>
      <c r="K219" s="32" t="n">
        <f aca="false">IF(OR(D219="Under review",D219="Revision requested"),1,0)</f>
        <v>0</v>
      </c>
      <c r="L219" s="32" t="str">
        <f aca="false">IF(AND(J219=1,E219&lt;&gt;""),E219+ROW()/100000,"")</f>
        <v/>
      </c>
      <c r="M219" s="32" t="str">
        <f aca="false">IF(D219="Planned",ROW(),"")</f>
        <v/>
      </c>
      <c r="N219" s="32" t="str">
        <f aca="true">IF(K219=1,IF(E219="",0,TODAY()-E219)+ROW()/100000,"")</f>
        <v/>
      </c>
      <c r="O219" s="32" t="str">
        <f aca="false">IF(N219="","",RANK(N219,$N$2:$N$1000))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4"/>
      <c r="F220" s="34"/>
      <c r="G220" s="35" t="str">
        <f aca="true">IF(OR(E220="",J220=0),"",IF(F220&lt;&gt;"",F220-E220,TODAY()-E220))</f>
        <v/>
      </c>
      <c r="H220" s="29"/>
      <c r="I220" s="33"/>
      <c r="J220" s="32" t="n">
        <f aca="false">IF(OR(D220="",D220="Planned"),0,1)</f>
        <v>0</v>
      </c>
      <c r="K220" s="32" t="n">
        <f aca="false">IF(OR(D220="Under review",D220="Revision requested"),1,0)</f>
        <v>0</v>
      </c>
      <c r="L220" s="32" t="str">
        <f aca="false">IF(AND(J220=1,E220&lt;&gt;""),E220+ROW()/100000,"")</f>
        <v/>
      </c>
      <c r="M220" s="32" t="str">
        <f aca="false">IF(D220="Planned",ROW(),"")</f>
        <v/>
      </c>
      <c r="N220" s="32" t="str">
        <f aca="true">IF(K220=1,IF(E220="",0,TODAY()-E220)+ROW()/100000,"")</f>
        <v/>
      </c>
      <c r="O220" s="32" t="str">
        <f aca="false">IF(N220="","",RANK(N220,$N$2:$N$1000))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4"/>
      <c r="F221" s="34"/>
      <c r="G221" s="35" t="str">
        <f aca="true">IF(OR(E221="",J221=0),"",IF(F221&lt;&gt;"",F221-E221,TODAY()-E221))</f>
        <v/>
      </c>
      <c r="H221" s="29"/>
      <c r="I221" s="33"/>
      <c r="J221" s="32" t="n">
        <f aca="false">IF(OR(D221="",D221="Planned"),0,1)</f>
        <v>0</v>
      </c>
      <c r="K221" s="32" t="n">
        <f aca="false">IF(OR(D221="Under review",D221="Revision requested"),1,0)</f>
        <v>0</v>
      </c>
      <c r="L221" s="32" t="str">
        <f aca="false">IF(AND(J221=1,E221&lt;&gt;""),E221+ROW()/100000,"")</f>
        <v/>
      </c>
      <c r="M221" s="32" t="str">
        <f aca="false">IF(D221="Planned",ROW(),"")</f>
        <v/>
      </c>
      <c r="N221" s="32" t="str">
        <f aca="true">IF(K221=1,IF(E221="",0,TODAY()-E221)+ROW()/100000,"")</f>
        <v/>
      </c>
      <c r="O221" s="32" t="str">
        <f aca="false">IF(N221="","",RANK(N221,$N$2:$N$1000))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4"/>
      <c r="F222" s="34"/>
      <c r="G222" s="35" t="str">
        <f aca="true">IF(OR(E222="",J222=0),"",IF(F222&lt;&gt;"",F222-E222,TODAY()-E222))</f>
        <v/>
      </c>
      <c r="H222" s="29"/>
      <c r="I222" s="33"/>
      <c r="J222" s="32" t="n">
        <f aca="false">IF(OR(D222="",D222="Planned"),0,1)</f>
        <v>0</v>
      </c>
      <c r="K222" s="32" t="n">
        <f aca="false">IF(OR(D222="Under review",D222="Revision requested"),1,0)</f>
        <v>0</v>
      </c>
      <c r="L222" s="32" t="str">
        <f aca="false">IF(AND(J222=1,E222&lt;&gt;""),E222+ROW()/100000,"")</f>
        <v/>
      </c>
      <c r="M222" s="32" t="str">
        <f aca="false">IF(D222="Planned",ROW(),"")</f>
        <v/>
      </c>
      <c r="N222" s="32" t="str">
        <f aca="true">IF(K222=1,IF(E222="",0,TODAY()-E222)+ROW()/100000,"")</f>
        <v/>
      </c>
      <c r="O222" s="32" t="str">
        <f aca="false">IF(N222="","",RANK(N222,$N$2:$N$1000))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4"/>
      <c r="F223" s="34"/>
      <c r="G223" s="35" t="str">
        <f aca="true">IF(OR(E223="",J223=0),"",IF(F223&lt;&gt;"",F223-E223,TODAY()-E223))</f>
        <v/>
      </c>
      <c r="H223" s="29"/>
      <c r="I223" s="33"/>
      <c r="J223" s="32" t="n">
        <f aca="false">IF(OR(D223="",D223="Planned"),0,1)</f>
        <v>0</v>
      </c>
      <c r="K223" s="32" t="n">
        <f aca="false">IF(OR(D223="Under review",D223="Revision requested"),1,0)</f>
        <v>0</v>
      </c>
      <c r="L223" s="32" t="str">
        <f aca="false">IF(AND(J223=1,E223&lt;&gt;""),E223+ROW()/100000,"")</f>
        <v/>
      </c>
      <c r="M223" s="32" t="str">
        <f aca="false">IF(D223="Planned",ROW(),"")</f>
        <v/>
      </c>
      <c r="N223" s="32" t="str">
        <f aca="true">IF(K223=1,IF(E223="",0,TODAY()-E223)+ROW()/100000,"")</f>
        <v/>
      </c>
      <c r="O223" s="32" t="str">
        <f aca="false">IF(N223="","",RANK(N223,$N$2:$N$1000))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4"/>
      <c r="F224" s="34"/>
      <c r="G224" s="35" t="str">
        <f aca="true">IF(OR(E224="",J224=0),"",IF(F224&lt;&gt;"",F224-E224,TODAY()-E224))</f>
        <v/>
      </c>
      <c r="H224" s="29"/>
      <c r="I224" s="33"/>
      <c r="J224" s="32" t="n">
        <f aca="false">IF(OR(D224="",D224="Planned"),0,1)</f>
        <v>0</v>
      </c>
      <c r="K224" s="32" t="n">
        <f aca="false">IF(OR(D224="Under review",D224="Revision requested"),1,0)</f>
        <v>0</v>
      </c>
      <c r="L224" s="32" t="str">
        <f aca="false">IF(AND(J224=1,E224&lt;&gt;""),E224+ROW()/100000,"")</f>
        <v/>
      </c>
      <c r="M224" s="32" t="str">
        <f aca="false">IF(D224="Planned",ROW(),"")</f>
        <v/>
      </c>
      <c r="N224" s="32" t="str">
        <f aca="true">IF(K224=1,IF(E224="",0,TODAY()-E224)+ROW()/100000,"")</f>
        <v/>
      </c>
      <c r="O224" s="32" t="str">
        <f aca="false">IF(N224="","",RANK(N224,$N$2:$N$1000))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4"/>
      <c r="F225" s="34"/>
      <c r="G225" s="35" t="str">
        <f aca="true">IF(OR(E225="",J225=0),"",IF(F225&lt;&gt;"",F225-E225,TODAY()-E225))</f>
        <v/>
      </c>
      <c r="H225" s="29"/>
      <c r="I225" s="33"/>
      <c r="J225" s="32" t="n">
        <f aca="false">IF(OR(D225="",D225="Planned"),0,1)</f>
        <v>0</v>
      </c>
      <c r="K225" s="32" t="n">
        <f aca="false">IF(OR(D225="Under review",D225="Revision requested"),1,0)</f>
        <v>0</v>
      </c>
      <c r="L225" s="32" t="str">
        <f aca="false">IF(AND(J225=1,E225&lt;&gt;""),E225+ROW()/100000,"")</f>
        <v/>
      </c>
      <c r="M225" s="32" t="str">
        <f aca="false">IF(D225="Planned",ROW(),"")</f>
        <v/>
      </c>
      <c r="N225" s="32" t="str">
        <f aca="true">IF(K225=1,IF(E225="",0,TODAY()-E225)+ROW()/100000,"")</f>
        <v/>
      </c>
      <c r="O225" s="32" t="str">
        <f aca="false">IF(N225="","",RANK(N225,$N$2:$N$1000))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4"/>
      <c r="F226" s="34"/>
      <c r="G226" s="35" t="str">
        <f aca="true">IF(OR(E226="",J226=0),"",IF(F226&lt;&gt;"",F226-E226,TODAY()-E226))</f>
        <v/>
      </c>
      <c r="H226" s="29"/>
      <c r="I226" s="33"/>
      <c r="J226" s="32" t="n">
        <f aca="false">IF(OR(D226="",D226="Planned"),0,1)</f>
        <v>0</v>
      </c>
      <c r="K226" s="32" t="n">
        <f aca="false">IF(OR(D226="Under review",D226="Revision requested"),1,0)</f>
        <v>0</v>
      </c>
      <c r="L226" s="32" t="str">
        <f aca="false">IF(AND(J226=1,E226&lt;&gt;""),E226+ROW()/100000,"")</f>
        <v/>
      </c>
      <c r="M226" s="32" t="str">
        <f aca="false">IF(D226="Planned",ROW(),"")</f>
        <v/>
      </c>
      <c r="N226" s="32" t="str">
        <f aca="true">IF(K226=1,IF(E226="",0,TODAY()-E226)+ROW()/100000,"")</f>
        <v/>
      </c>
      <c r="O226" s="32" t="str">
        <f aca="false">IF(N226="","",RANK(N226,$N$2:$N$1000))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4"/>
      <c r="F227" s="34"/>
      <c r="G227" s="35" t="str">
        <f aca="true">IF(OR(E227="",J227=0),"",IF(F227&lt;&gt;"",F227-E227,TODAY()-E227))</f>
        <v/>
      </c>
      <c r="H227" s="29"/>
      <c r="I227" s="33"/>
      <c r="J227" s="32" t="n">
        <f aca="false">IF(OR(D227="",D227="Planned"),0,1)</f>
        <v>0</v>
      </c>
      <c r="K227" s="32" t="n">
        <f aca="false">IF(OR(D227="Under review",D227="Revision requested"),1,0)</f>
        <v>0</v>
      </c>
      <c r="L227" s="32" t="str">
        <f aca="false">IF(AND(J227=1,E227&lt;&gt;""),E227+ROW()/100000,"")</f>
        <v/>
      </c>
      <c r="M227" s="32" t="str">
        <f aca="false">IF(D227="Planned",ROW(),"")</f>
        <v/>
      </c>
      <c r="N227" s="32" t="str">
        <f aca="true">IF(K227=1,IF(E227="",0,TODAY()-E227)+ROW()/100000,"")</f>
        <v/>
      </c>
      <c r="O227" s="32" t="str">
        <f aca="false">IF(N227="","",RANK(N227,$N$2:$N$1000))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4"/>
      <c r="F228" s="34"/>
      <c r="G228" s="35" t="str">
        <f aca="true">IF(OR(E228="",J228=0),"",IF(F228&lt;&gt;"",F228-E228,TODAY()-E228))</f>
        <v/>
      </c>
      <c r="H228" s="29"/>
      <c r="I228" s="33"/>
      <c r="J228" s="32" t="n">
        <f aca="false">IF(OR(D228="",D228="Planned"),0,1)</f>
        <v>0</v>
      </c>
      <c r="K228" s="32" t="n">
        <f aca="false">IF(OR(D228="Under review",D228="Revision requested"),1,0)</f>
        <v>0</v>
      </c>
      <c r="L228" s="32" t="str">
        <f aca="false">IF(AND(J228=1,E228&lt;&gt;""),E228+ROW()/100000,"")</f>
        <v/>
      </c>
      <c r="M228" s="32" t="str">
        <f aca="false">IF(D228="Planned",ROW(),"")</f>
        <v/>
      </c>
      <c r="N228" s="32" t="str">
        <f aca="true">IF(K228=1,IF(E228="",0,TODAY()-E228)+ROW()/100000,"")</f>
        <v/>
      </c>
      <c r="O228" s="32" t="str">
        <f aca="false">IF(N228="","",RANK(N228,$N$2:$N$1000))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4"/>
      <c r="F229" s="34"/>
      <c r="G229" s="35" t="str">
        <f aca="true">IF(OR(E229="",J229=0),"",IF(F229&lt;&gt;"",F229-E229,TODAY()-E229))</f>
        <v/>
      </c>
      <c r="H229" s="29"/>
      <c r="I229" s="33"/>
      <c r="J229" s="32" t="n">
        <f aca="false">IF(OR(D229="",D229="Planned"),0,1)</f>
        <v>0</v>
      </c>
      <c r="K229" s="32" t="n">
        <f aca="false">IF(OR(D229="Under review",D229="Revision requested"),1,0)</f>
        <v>0</v>
      </c>
      <c r="L229" s="32" t="str">
        <f aca="false">IF(AND(J229=1,E229&lt;&gt;""),E229+ROW()/100000,"")</f>
        <v/>
      </c>
      <c r="M229" s="32" t="str">
        <f aca="false">IF(D229="Planned",ROW(),"")</f>
        <v/>
      </c>
      <c r="N229" s="32" t="str">
        <f aca="true">IF(K229=1,IF(E229="",0,TODAY()-E229)+ROW()/100000,"")</f>
        <v/>
      </c>
      <c r="O229" s="32" t="str">
        <f aca="false">IF(N229="","",RANK(N229,$N$2:$N$1000))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4"/>
      <c r="F230" s="34"/>
      <c r="G230" s="35" t="str">
        <f aca="true">IF(OR(E230="",J230=0),"",IF(F230&lt;&gt;"",F230-E230,TODAY()-E230))</f>
        <v/>
      </c>
      <c r="H230" s="29"/>
      <c r="I230" s="33"/>
      <c r="J230" s="32" t="n">
        <f aca="false">IF(OR(D230="",D230="Planned"),0,1)</f>
        <v>0</v>
      </c>
      <c r="K230" s="32" t="n">
        <f aca="false">IF(OR(D230="Under review",D230="Revision requested"),1,0)</f>
        <v>0</v>
      </c>
      <c r="L230" s="32" t="str">
        <f aca="false">IF(AND(J230=1,E230&lt;&gt;""),E230+ROW()/100000,"")</f>
        <v/>
      </c>
      <c r="M230" s="32" t="str">
        <f aca="false">IF(D230="Planned",ROW(),"")</f>
        <v/>
      </c>
      <c r="N230" s="32" t="str">
        <f aca="true">IF(K230=1,IF(E230="",0,TODAY()-E230)+ROW()/100000,"")</f>
        <v/>
      </c>
      <c r="O230" s="32" t="str">
        <f aca="false">IF(N230="","",RANK(N230,$N$2:$N$1000))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4"/>
      <c r="F231" s="34"/>
      <c r="G231" s="35" t="str">
        <f aca="true">IF(OR(E231="",J231=0),"",IF(F231&lt;&gt;"",F231-E231,TODAY()-E231))</f>
        <v/>
      </c>
      <c r="H231" s="29"/>
      <c r="I231" s="33"/>
      <c r="J231" s="32" t="n">
        <f aca="false">IF(OR(D231="",D231="Planned"),0,1)</f>
        <v>0</v>
      </c>
      <c r="K231" s="32" t="n">
        <f aca="false">IF(OR(D231="Under review",D231="Revision requested"),1,0)</f>
        <v>0</v>
      </c>
      <c r="L231" s="32" t="str">
        <f aca="false">IF(AND(J231=1,E231&lt;&gt;""),E231+ROW()/100000,"")</f>
        <v/>
      </c>
      <c r="M231" s="32" t="str">
        <f aca="false">IF(D231="Planned",ROW(),"")</f>
        <v/>
      </c>
      <c r="N231" s="32" t="str">
        <f aca="true">IF(K231=1,IF(E231="",0,TODAY()-E231)+ROW()/100000,"")</f>
        <v/>
      </c>
      <c r="O231" s="32" t="str">
        <f aca="false">IF(N231="","",RANK(N231,$N$2:$N$1000))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4"/>
      <c r="F232" s="34"/>
      <c r="G232" s="35" t="str">
        <f aca="true">IF(OR(E232="",J232=0),"",IF(F232&lt;&gt;"",F232-E232,TODAY()-E232))</f>
        <v/>
      </c>
      <c r="H232" s="29"/>
      <c r="I232" s="33"/>
      <c r="J232" s="32" t="n">
        <f aca="false">IF(OR(D232="",D232="Planned"),0,1)</f>
        <v>0</v>
      </c>
      <c r="K232" s="32" t="n">
        <f aca="false">IF(OR(D232="Under review",D232="Revision requested"),1,0)</f>
        <v>0</v>
      </c>
      <c r="L232" s="32" t="str">
        <f aca="false">IF(AND(J232=1,E232&lt;&gt;""),E232+ROW()/100000,"")</f>
        <v/>
      </c>
      <c r="M232" s="32" t="str">
        <f aca="false">IF(D232="Planned",ROW(),"")</f>
        <v/>
      </c>
      <c r="N232" s="32" t="str">
        <f aca="true">IF(K232=1,IF(E232="",0,TODAY()-E232)+ROW()/100000,"")</f>
        <v/>
      </c>
      <c r="O232" s="32" t="str">
        <f aca="false">IF(N232="","",RANK(N232,$N$2:$N$1000))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4"/>
      <c r="F233" s="34"/>
      <c r="G233" s="35" t="str">
        <f aca="true">IF(OR(E233="",J233=0),"",IF(F233&lt;&gt;"",F233-E233,TODAY()-E233))</f>
        <v/>
      </c>
      <c r="H233" s="29"/>
      <c r="I233" s="33"/>
      <c r="J233" s="32" t="n">
        <f aca="false">IF(OR(D233="",D233="Planned"),0,1)</f>
        <v>0</v>
      </c>
      <c r="K233" s="32" t="n">
        <f aca="false">IF(OR(D233="Under review",D233="Revision requested"),1,0)</f>
        <v>0</v>
      </c>
      <c r="L233" s="32" t="str">
        <f aca="false">IF(AND(J233=1,E233&lt;&gt;""),E233+ROW()/100000,"")</f>
        <v/>
      </c>
      <c r="M233" s="32" t="str">
        <f aca="false">IF(D233="Planned",ROW(),"")</f>
        <v/>
      </c>
      <c r="N233" s="32" t="str">
        <f aca="true">IF(K233=1,IF(E233="",0,TODAY()-E233)+ROW()/100000,"")</f>
        <v/>
      </c>
      <c r="O233" s="32" t="str">
        <f aca="false">IF(N233="","",RANK(N233,$N$2:$N$1000))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4"/>
      <c r="F234" s="34"/>
      <c r="G234" s="35" t="str">
        <f aca="true">IF(OR(E234="",J234=0),"",IF(F234&lt;&gt;"",F234-E234,TODAY()-E234))</f>
        <v/>
      </c>
      <c r="H234" s="29"/>
      <c r="I234" s="33"/>
      <c r="J234" s="32" t="n">
        <f aca="false">IF(OR(D234="",D234="Planned"),0,1)</f>
        <v>0</v>
      </c>
      <c r="K234" s="32" t="n">
        <f aca="false">IF(OR(D234="Under review",D234="Revision requested"),1,0)</f>
        <v>0</v>
      </c>
      <c r="L234" s="32" t="str">
        <f aca="false">IF(AND(J234=1,E234&lt;&gt;""),E234+ROW()/100000,"")</f>
        <v/>
      </c>
      <c r="M234" s="32" t="str">
        <f aca="false">IF(D234="Planned",ROW(),"")</f>
        <v/>
      </c>
      <c r="N234" s="32" t="str">
        <f aca="true">IF(K234=1,IF(E234="",0,TODAY()-E234)+ROW()/100000,"")</f>
        <v/>
      </c>
      <c r="O234" s="32" t="str">
        <f aca="false">IF(N234="","",RANK(N234,$N$2:$N$1000))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4"/>
      <c r="F235" s="34"/>
      <c r="G235" s="35" t="str">
        <f aca="true">IF(OR(E235="",J235=0),"",IF(F235&lt;&gt;"",F235-E235,TODAY()-E235))</f>
        <v/>
      </c>
      <c r="H235" s="29"/>
      <c r="I235" s="33"/>
      <c r="J235" s="32" t="n">
        <f aca="false">IF(OR(D235="",D235="Planned"),0,1)</f>
        <v>0</v>
      </c>
      <c r="K235" s="32" t="n">
        <f aca="false">IF(OR(D235="Under review",D235="Revision requested"),1,0)</f>
        <v>0</v>
      </c>
      <c r="L235" s="32" t="str">
        <f aca="false">IF(AND(J235=1,E235&lt;&gt;""),E235+ROW()/100000,"")</f>
        <v/>
      </c>
      <c r="M235" s="32" t="str">
        <f aca="false">IF(D235="Planned",ROW(),"")</f>
        <v/>
      </c>
      <c r="N235" s="32" t="str">
        <f aca="true">IF(K235=1,IF(E235="",0,TODAY()-E235)+ROW()/100000,"")</f>
        <v/>
      </c>
      <c r="O235" s="32" t="str">
        <f aca="false">IF(N235="","",RANK(N235,$N$2:$N$1000))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4"/>
      <c r="F236" s="34"/>
      <c r="G236" s="35" t="str">
        <f aca="true">IF(OR(E236="",J236=0),"",IF(F236&lt;&gt;"",F236-E236,TODAY()-E236))</f>
        <v/>
      </c>
      <c r="H236" s="29"/>
      <c r="I236" s="33"/>
      <c r="J236" s="32" t="n">
        <f aca="false">IF(OR(D236="",D236="Planned"),0,1)</f>
        <v>0</v>
      </c>
      <c r="K236" s="32" t="n">
        <f aca="false">IF(OR(D236="Under review",D236="Revision requested"),1,0)</f>
        <v>0</v>
      </c>
      <c r="L236" s="32" t="str">
        <f aca="false">IF(AND(J236=1,E236&lt;&gt;""),E236+ROW()/100000,"")</f>
        <v/>
      </c>
      <c r="M236" s="32" t="str">
        <f aca="false">IF(D236="Planned",ROW(),"")</f>
        <v/>
      </c>
      <c r="N236" s="32" t="str">
        <f aca="true">IF(K236=1,IF(E236="",0,TODAY()-E236)+ROW()/100000,"")</f>
        <v/>
      </c>
      <c r="O236" s="32" t="str">
        <f aca="false">IF(N236="","",RANK(N236,$N$2:$N$1000))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4"/>
      <c r="F237" s="34"/>
      <c r="G237" s="35" t="str">
        <f aca="true">IF(OR(E237="",J237=0),"",IF(F237&lt;&gt;"",F237-E237,TODAY()-E237))</f>
        <v/>
      </c>
      <c r="H237" s="29"/>
      <c r="I237" s="33"/>
      <c r="J237" s="32" t="n">
        <f aca="false">IF(OR(D237="",D237="Planned"),0,1)</f>
        <v>0</v>
      </c>
      <c r="K237" s="32" t="n">
        <f aca="false">IF(OR(D237="Under review",D237="Revision requested"),1,0)</f>
        <v>0</v>
      </c>
      <c r="L237" s="32" t="str">
        <f aca="false">IF(AND(J237=1,E237&lt;&gt;""),E237+ROW()/100000,"")</f>
        <v/>
      </c>
      <c r="M237" s="32" t="str">
        <f aca="false">IF(D237="Planned",ROW(),"")</f>
        <v/>
      </c>
      <c r="N237" s="32" t="str">
        <f aca="true">IF(K237=1,IF(E237="",0,TODAY()-E237)+ROW()/100000,"")</f>
        <v/>
      </c>
      <c r="O237" s="32" t="str">
        <f aca="false">IF(N237="","",RANK(N237,$N$2:$N$1000))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4"/>
      <c r="F238" s="34"/>
      <c r="G238" s="35" t="str">
        <f aca="true">IF(OR(E238="",J238=0),"",IF(F238&lt;&gt;"",F238-E238,TODAY()-E238))</f>
        <v/>
      </c>
      <c r="H238" s="29"/>
      <c r="I238" s="33"/>
      <c r="J238" s="32" t="n">
        <f aca="false">IF(OR(D238="",D238="Planned"),0,1)</f>
        <v>0</v>
      </c>
      <c r="K238" s="32" t="n">
        <f aca="false">IF(OR(D238="Under review",D238="Revision requested"),1,0)</f>
        <v>0</v>
      </c>
      <c r="L238" s="32" t="str">
        <f aca="false">IF(AND(J238=1,E238&lt;&gt;""),E238+ROW()/100000,"")</f>
        <v/>
      </c>
      <c r="M238" s="32" t="str">
        <f aca="false">IF(D238="Planned",ROW(),"")</f>
        <v/>
      </c>
      <c r="N238" s="32" t="str">
        <f aca="true">IF(K238=1,IF(E238="",0,TODAY()-E238)+ROW()/100000,"")</f>
        <v/>
      </c>
      <c r="O238" s="32" t="str">
        <f aca="false">IF(N238="","",RANK(N238,$N$2:$N$1000))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4"/>
      <c r="F239" s="34"/>
      <c r="G239" s="35" t="str">
        <f aca="true">IF(OR(E239="",J239=0),"",IF(F239&lt;&gt;"",F239-E239,TODAY()-E239))</f>
        <v/>
      </c>
      <c r="H239" s="29"/>
      <c r="I239" s="33"/>
      <c r="J239" s="32" t="n">
        <f aca="false">IF(OR(D239="",D239="Planned"),0,1)</f>
        <v>0</v>
      </c>
      <c r="K239" s="32" t="n">
        <f aca="false">IF(OR(D239="Under review",D239="Revision requested"),1,0)</f>
        <v>0</v>
      </c>
      <c r="L239" s="32" t="str">
        <f aca="false">IF(AND(J239=1,E239&lt;&gt;""),E239+ROW()/100000,"")</f>
        <v/>
      </c>
      <c r="M239" s="32" t="str">
        <f aca="false">IF(D239="Planned",ROW(),"")</f>
        <v/>
      </c>
      <c r="N239" s="32" t="str">
        <f aca="true">IF(K239=1,IF(E239="",0,TODAY()-E239)+ROW()/100000,"")</f>
        <v/>
      </c>
      <c r="O239" s="32" t="str">
        <f aca="false">IF(N239="","",RANK(N239,$N$2:$N$1000))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4"/>
      <c r="F240" s="34"/>
      <c r="G240" s="35" t="str">
        <f aca="true">IF(OR(E240="",J240=0),"",IF(F240&lt;&gt;"",F240-E240,TODAY()-E240))</f>
        <v/>
      </c>
      <c r="H240" s="29"/>
      <c r="I240" s="33"/>
      <c r="J240" s="32" t="n">
        <f aca="false">IF(OR(D240="",D240="Planned"),0,1)</f>
        <v>0</v>
      </c>
      <c r="K240" s="32" t="n">
        <f aca="false">IF(OR(D240="Under review",D240="Revision requested"),1,0)</f>
        <v>0</v>
      </c>
      <c r="L240" s="32" t="str">
        <f aca="false">IF(AND(J240=1,E240&lt;&gt;""),E240+ROW()/100000,"")</f>
        <v/>
      </c>
      <c r="M240" s="32" t="str">
        <f aca="false">IF(D240="Planned",ROW(),"")</f>
        <v/>
      </c>
      <c r="N240" s="32" t="str">
        <f aca="true">IF(K240=1,IF(E240="",0,TODAY()-E240)+ROW()/100000,"")</f>
        <v/>
      </c>
      <c r="O240" s="32" t="str">
        <f aca="false">IF(N240="","",RANK(N240,$N$2:$N$1000))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4"/>
      <c r="F241" s="34"/>
      <c r="G241" s="35" t="str">
        <f aca="true">IF(OR(E241="",J241=0),"",IF(F241&lt;&gt;"",F241-E241,TODAY()-E241))</f>
        <v/>
      </c>
      <c r="H241" s="29"/>
      <c r="I241" s="33"/>
      <c r="J241" s="32" t="n">
        <f aca="false">IF(OR(D241="",D241="Planned"),0,1)</f>
        <v>0</v>
      </c>
      <c r="K241" s="32" t="n">
        <f aca="false">IF(OR(D241="Under review",D241="Revision requested"),1,0)</f>
        <v>0</v>
      </c>
      <c r="L241" s="32" t="str">
        <f aca="false">IF(AND(J241=1,E241&lt;&gt;""),E241+ROW()/100000,"")</f>
        <v/>
      </c>
      <c r="M241" s="32" t="str">
        <f aca="false">IF(D241="Planned",ROW(),"")</f>
        <v/>
      </c>
      <c r="N241" s="32" t="str">
        <f aca="true">IF(K241=1,IF(E241="",0,TODAY()-E241)+ROW()/100000,"")</f>
        <v/>
      </c>
      <c r="O241" s="32" t="str">
        <f aca="false">IF(N241="","",RANK(N241,$N$2:$N$1000))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4"/>
      <c r="F242" s="34"/>
      <c r="G242" s="35" t="str">
        <f aca="true">IF(OR(E242="",J242=0),"",IF(F242&lt;&gt;"",F242-E242,TODAY()-E242))</f>
        <v/>
      </c>
      <c r="H242" s="29"/>
      <c r="I242" s="33"/>
      <c r="J242" s="32" t="n">
        <f aca="false">IF(OR(D242="",D242="Planned"),0,1)</f>
        <v>0</v>
      </c>
      <c r="K242" s="32" t="n">
        <f aca="false">IF(OR(D242="Under review",D242="Revision requested"),1,0)</f>
        <v>0</v>
      </c>
      <c r="L242" s="32" t="str">
        <f aca="false">IF(AND(J242=1,E242&lt;&gt;""),E242+ROW()/100000,"")</f>
        <v/>
      </c>
      <c r="M242" s="32" t="str">
        <f aca="false">IF(D242="Planned",ROW(),"")</f>
        <v/>
      </c>
      <c r="N242" s="32" t="str">
        <f aca="true">IF(K242=1,IF(E242="",0,TODAY()-E242)+ROW()/100000,"")</f>
        <v/>
      </c>
      <c r="O242" s="32" t="str">
        <f aca="false">IF(N242="","",RANK(N242,$N$2:$N$1000))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4"/>
      <c r="F243" s="34"/>
      <c r="G243" s="35" t="str">
        <f aca="true">IF(OR(E243="",J243=0),"",IF(F243&lt;&gt;"",F243-E243,TODAY()-E243))</f>
        <v/>
      </c>
      <c r="H243" s="29"/>
      <c r="I243" s="33"/>
      <c r="J243" s="32" t="n">
        <f aca="false">IF(OR(D243="",D243="Planned"),0,1)</f>
        <v>0</v>
      </c>
      <c r="K243" s="32" t="n">
        <f aca="false">IF(OR(D243="Under review",D243="Revision requested"),1,0)</f>
        <v>0</v>
      </c>
      <c r="L243" s="32" t="str">
        <f aca="false">IF(AND(J243=1,E243&lt;&gt;""),E243+ROW()/100000,"")</f>
        <v/>
      </c>
      <c r="M243" s="32" t="str">
        <f aca="false">IF(D243="Planned",ROW(),"")</f>
        <v/>
      </c>
      <c r="N243" s="32" t="str">
        <f aca="true">IF(K243=1,IF(E243="",0,TODAY()-E243)+ROW()/100000,"")</f>
        <v/>
      </c>
      <c r="O243" s="32" t="str">
        <f aca="false">IF(N243="","",RANK(N243,$N$2:$N$1000))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4"/>
      <c r="F244" s="34"/>
      <c r="G244" s="35" t="str">
        <f aca="true">IF(OR(E244="",J244=0),"",IF(F244&lt;&gt;"",F244-E244,TODAY()-E244))</f>
        <v/>
      </c>
      <c r="H244" s="29"/>
      <c r="I244" s="33"/>
      <c r="J244" s="32" t="n">
        <f aca="false">IF(OR(D244="",D244="Planned"),0,1)</f>
        <v>0</v>
      </c>
      <c r="K244" s="32" t="n">
        <f aca="false">IF(OR(D244="Under review",D244="Revision requested"),1,0)</f>
        <v>0</v>
      </c>
      <c r="L244" s="32" t="str">
        <f aca="false">IF(AND(J244=1,E244&lt;&gt;""),E244+ROW()/100000,"")</f>
        <v/>
      </c>
      <c r="M244" s="32" t="str">
        <f aca="false">IF(D244="Planned",ROW(),"")</f>
        <v/>
      </c>
      <c r="N244" s="32" t="str">
        <f aca="true">IF(K244=1,IF(E244="",0,TODAY()-E244)+ROW()/100000,"")</f>
        <v/>
      </c>
      <c r="O244" s="32" t="str">
        <f aca="false">IF(N244="","",RANK(N244,$N$2:$N$1000))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4"/>
      <c r="F245" s="34"/>
      <c r="G245" s="35" t="str">
        <f aca="true">IF(OR(E245="",J245=0),"",IF(F245&lt;&gt;"",F245-E245,TODAY()-E245))</f>
        <v/>
      </c>
      <c r="H245" s="29"/>
      <c r="I245" s="33"/>
      <c r="J245" s="32" t="n">
        <f aca="false">IF(OR(D245="",D245="Planned"),0,1)</f>
        <v>0</v>
      </c>
      <c r="K245" s="32" t="n">
        <f aca="false">IF(OR(D245="Under review",D245="Revision requested"),1,0)</f>
        <v>0</v>
      </c>
      <c r="L245" s="32" t="str">
        <f aca="false">IF(AND(J245=1,E245&lt;&gt;""),E245+ROW()/100000,"")</f>
        <v/>
      </c>
      <c r="M245" s="32" t="str">
        <f aca="false">IF(D245="Planned",ROW(),"")</f>
        <v/>
      </c>
      <c r="N245" s="32" t="str">
        <f aca="true">IF(K245=1,IF(E245="",0,TODAY()-E245)+ROW()/100000,"")</f>
        <v/>
      </c>
      <c r="O245" s="32" t="str">
        <f aca="false">IF(N245="","",RANK(N245,$N$2:$N$1000))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4"/>
      <c r="F246" s="34"/>
      <c r="G246" s="35" t="str">
        <f aca="true">IF(OR(E246="",J246=0),"",IF(F246&lt;&gt;"",F246-E246,TODAY()-E246))</f>
        <v/>
      </c>
      <c r="H246" s="29"/>
      <c r="I246" s="33"/>
      <c r="J246" s="32" t="n">
        <f aca="false">IF(OR(D246="",D246="Planned"),0,1)</f>
        <v>0</v>
      </c>
      <c r="K246" s="32" t="n">
        <f aca="false">IF(OR(D246="Under review",D246="Revision requested"),1,0)</f>
        <v>0</v>
      </c>
      <c r="L246" s="32" t="str">
        <f aca="false">IF(AND(J246=1,E246&lt;&gt;""),E246+ROW()/100000,"")</f>
        <v/>
      </c>
      <c r="M246" s="32" t="str">
        <f aca="false">IF(D246="Planned",ROW(),"")</f>
        <v/>
      </c>
      <c r="N246" s="32" t="str">
        <f aca="true">IF(K246=1,IF(E246="",0,TODAY()-E246)+ROW()/100000,"")</f>
        <v/>
      </c>
      <c r="O246" s="32" t="str">
        <f aca="false">IF(N246="","",RANK(N246,$N$2:$N$1000))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4"/>
      <c r="F247" s="34"/>
      <c r="G247" s="35" t="str">
        <f aca="true">IF(OR(E247="",J247=0),"",IF(F247&lt;&gt;"",F247-E247,TODAY()-E247))</f>
        <v/>
      </c>
      <c r="H247" s="29"/>
      <c r="I247" s="33"/>
      <c r="J247" s="32" t="n">
        <f aca="false">IF(OR(D247="",D247="Planned"),0,1)</f>
        <v>0</v>
      </c>
      <c r="K247" s="32" t="n">
        <f aca="false">IF(OR(D247="Under review",D247="Revision requested"),1,0)</f>
        <v>0</v>
      </c>
      <c r="L247" s="32" t="str">
        <f aca="false">IF(AND(J247=1,E247&lt;&gt;""),E247+ROW()/100000,"")</f>
        <v/>
      </c>
      <c r="M247" s="32" t="str">
        <f aca="false">IF(D247="Planned",ROW(),"")</f>
        <v/>
      </c>
      <c r="N247" s="32" t="str">
        <f aca="true">IF(K247=1,IF(E247="",0,TODAY()-E247)+ROW()/100000,"")</f>
        <v/>
      </c>
      <c r="O247" s="32" t="str">
        <f aca="false">IF(N247="","",RANK(N247,$N$2:$N$1000))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4"/>
      <c r="F248" s="34"/>
      <c r="G248" s="35" t="str">
        <f aca="true">IF(OR(E248="",J248=0),"",IF(F248&lt;&gt;"",F248-E248,TODAY()-E248))</f>
        <v/>
      </c>
      <c r="H248" s="29"/>
      <c r="I248" s="33"/>
      <c r="J248" s="32" t="n">
        <f aca="false">IF(OR(D248="",D248="Planned"),0,1)</f>
        <v>0</v>
      </c>
      <c r="K248" s="32" t="n">
        <f aca="false">IF(OR(D248="Under review",D248="Revision requested"),1,0)</f>
        <v>0</v>
      </c>
      <c r="L248" s="32" t="str">
        <f aca="false">IF(AND(J248=1,E248&lt;&gt;""),E248+ROW()/100000,"")</f>
        <v/>
      </c>
      <c r="M248" s="32" t="str">
        <f aca="false">IF(D248="Planned",ROW(),"")</f>
        <v/>
      </c>
      <c r="N248" s="32" t="str">
        <f aca="true">IF(K248=1,IF(E248="",0,TODAY()-E248)+ROW()/100000,"")</f>
        <v/>
      </c>
      <c r="O248" s="32" t="str">
        <f aca="false">IF(N248="","",RANK(N248,$N$2:$N$1000))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4"/>
      <c r="F249" s="34"/>
      <c r="G249" s="35" t="str">
        <f aca="true">IF(OR(E249="",J249=0),"",IF(F249&lt;&gt;"",F249-E249,TODAY()-E249))</f>
        <v/>
      </c>
      <c r="H249" s="29"/>
      <c r="I249" s="33"/>
      <c r="J249" s="32" t="n">
        <f aca="false">IF(OR(D249="",D249="Planned"),0,1)</f>
        <v>0</v>
      </c>
      <c r="K249" s="32" t="n">
        <f aca="false">IF(OR(D249="Under review",D249="Revision requested"),1,0)</f>
        <v>0</v>
      </c>
      <c r="L249" s="32" t="str">
        <f aca="false">IF(AND(J249=1,E249&lt;&gt;""),E249+ROW()/100000,"")</f>
        <v/>
      </c>
      <c r="M249" s="32" t="str">
        <f aca="false">IF(D249="Planned",ROW(),"")</f>
        <v/>
      </c>
      <c r="N249" s="32" t="str">
        <f aca="true">IF(K249=1,IF(E249="",0,TODAY()-E249)+ROW()/100000,"")</f>
        <v/>
      </c>
      <c r="O249" s="32" t="str">
        <f aca="false">IF(N249="","",RANK(N249,$N$2:$N$1000))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4"/>
      <c r="F250" s="34"/>
      <c r="G250" s="35" t="str">
        <f aca="true">IF(OR(E250="",J250=0),"",IF(F250&lt;&gt;"",F250-E250,TODAY()-E250))</f>
        <v/>
      </c>
      <c r="H250" s="29"/>
      <c r="I250" s="33"/>
      <c r="J250" s="32" t="n">
        <f aca="false">IF(OR(D250="",D250="Planned"),0,1)</f>
        <v>0</v>
      </c>
      <c r="K250" s="32" t="n">
        <f aca="false">IF(OR(D250="Under review",D250="Revision requested"),1,0)</f>
        <v>0</v>
      </c>
      <c r="L250" s="32" t="str">
        <f aca="false">IF(AND(J250=1,E250&lt;&gt;""),E250+ROW()/100000,"")</f>
        <v/>
      </c>
      <c r="M250" s="32" t="str">
        <f aca="false">IF(D250="Planned",ROW(),"")</f>
        <v/>
      </c>
      <c r="N250" s="32" t="str">
        <f aca="true">IF(K250=1,IF(E250="",0,TODAY()-E250)+ROW()/100000,"")</f>
        <v/>
      </c>
      <c r="O250" s="32" t="str">
        <f aca="false">IF(N250="","",RANK(N250,$N$2:$N$1000))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4"/>
      <c r="F251" s="34"/>
      <c r="G251" s="35" t="str">
        <f aca="true">IF(OR(E251="",J251=0),"",IF(F251&lt;&gt;"",F251-E251,TODAY()-E251))</f>
        <v/>
      </c>
      <c r="H251" s="29"/>
      <c r="I251" s="33"/>
      <c r="J251" s="32" t="n">
        <f aca="false">IF(OR(D251="",D251="Planned"),0,1)</f>
        <v>0</v>
      </c>
      <c r="K251" s="32" t="n">
        <f aca="false">IF(OR(D251="Under review",D251="Revision requested"),1,0)</f>
        <v>0</v>
      </c>
      <c r="L251" s="32" t="str">
        <f aca="false">IF(AND(J251=1,E251&lt;&gt;""),E251+ROW()/100000,"")</f>
        <v/>
      </c>
      <c r="M251" s="32" t="str">
        <f aca="false">IF(D251="Planned",ROW(),"")</f>
        <v/>
      </c>
      <c r="N251" s="32" t="str">
        <f aca="true">IF(K251=1,IF(E251="",0,TODAY()-E251)+ROW()/100000,"")</f>
        <v/>
      </c>
      <c r="O251" s="32" t="str">
        <f aca="false">IF(N251="","",RANK(N251,$N$2:$N$1000))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4"/>
      <c r="F252" s="34"/>
      <c r="G252" s="35" t="str">
        <f aca="true">IF(OR(E252="",J252=0),"",IF(F252&lt;&gt;"",F252-E252,TODAY()-E252))</f>
        <v/>
      </c>
      <c r="H252" s="29"/>
      <c r="I252" s="33"/>
      <c r="J252" s="32" t="n">
        <f aca="false">IF(OR(D252="",D252="Planned"),0,1)</f>
        <v>0</v>
      </c>
      <c r="K252" s="32" t="n">
        <f aca="false">IF(OR(D252="Under review",D252="Revision requested"),1,0)</f>
        <v>0</v>
      </c>
      <c r="L252" s="32" t="str">
        <f aca="false">IF(AND(J252=1,E252&lt;&gt;""),E252+ROW()/100000,"")</f>
        <v/>
      </c>
      <c r="M252" s="32" t="str">
        <f aca="false">IF(D252="Planned",ROW(),"")</f>
        <v/>
      </c>
      <c r="N252" s="32" t="str">
        <f aca="true">IF(K252=1,IF(E252="",0,TODAY()-E252)+ROW()/100000,"")</f>
        <v/>
      </c>
      <c r="O252" s="32" t="str">
        <f aca="false">IF(N252="","",RANK(N252,$N$2:$N$1000))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4"/>
      <c r="F253" s="34"/>
      <c r="G253" s="35" t="str">
        <f aca="true">IF(OR(E253="",J253=0),"",IF(F253&lt;&gt;"",F253-E253,TODAY()-E253))</f>
        <v/>
      </c>
      <c r="H253" s="29"/>
      <c r="I253" s="33"/>
      <c r="J253" s="32" t="n">
        <f aca="false">IF(OR(D253="",D253="Planned"),0,1)</f>
        <v>0</v>
      </c>
      <c r="K253" s="32" t="n">
        <f aca="false">IF(OR(D253="Under review",D253="Revision requested"),1,0)</f>
        <v>0</v>
      </c>
      <c r="L253" s="32" t="str">
        <f aca="false">IF(AND(J253=1,E253&lt;&gt;""),E253+ROW()/100000,"")</f>
        <v/>
      </c>
      <c r="M253" s="32" t="str">
        <f aca="false">IF(D253="Planned",ROW(),"")</f>
        <v/>
      </c>
      <c r="N253" s="32" t="str">
        <f aca="true">IF(K253=1,IF(E253="",0,TODAY()-E253)+ROW()/100000,"")</f>
        <v/>
      </c>
      <c r="O253" s="32" t="str">
        <f aca="false">IF(N253="","",RANK(N253,$N$2:$N$1000))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4"/>
      <c r="F254" s="34"/>
      <c r="G254" s="35" t="str">
        <f aca="true">IF(OR(E254="",J254=0),"",IF(F254&lt;&gt;"",F254-E254,TODAY()-E254))</f>
        <v/>
      </c>
      <c r="H254" s="29"/>
      <c r="I254" s="33"/>
      <c r="J254" s="32" t="n">
        <f aca="false">IF(OR(D254="",D254="Planned"),0,1)</f>
        <v>0</v>
      </c>
      <c r="K254" s="32" t="n">
        <f aca="false">IF(OR(D254="Under review",D254="Revision requested"),1,0)</f>
        <v>0</v>
      </c>
      <c r="L254" s="32" t="str">
        <f aca="false">IF(AND(J254=1,E254&lt;&gt;""),E254+ROW()/100000,"")</f>
        <v/>
      </c>
      <c r="M254" s="32" t="str">
        <f aca="false">IF(D254="Planned",ROW(),"")</f>
        <v/>
      </c>
      <c r="N254" s="32" t="str">
        <f aca="true">IF(K254=1,IF(E254="",0,TODAY()-E254)+ROW()/100000,"")</f>
        <v/>
      </c>
      <c r="O254" s="32" t="str">
        <f aca="false">IF(N254="","",RANK(N254,$N$2:$N$1000))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4"/>
      <c r="F255" s="34"/>
      <c r="G255" s="35" t="str">
        <f aca="true">IF(OR(E255="",J255=0),"",IF(F255&lt;&gt;"",F255-E255,TODAY()-E255))</f>
        <v/>
      </c>
      <c r="H255" s="29"/>
      <c r="I255" s="33"/>
      <c r="J255" s="32" t="n">
        <f aca="false">IF(OR(D255="",D255="Planned"),0,1)</f>
        <v>0</v>
      </c>
      <c r="K255" s="32" t="n">
        <f aca="false">IF(OR(D255="Under review",D255="Revision requested"),1,0)</f>
        <v>0</v>
      </c>
      <c r="L255" s="32" t="str">
        <f aca="false">IF(AND(J255=1,E255&lt;&gt;""),E255+ROW()/100000,"")</f>
        <v/>
      </c>
      <c r="M255" s="32" t="str">
        <f aca="false">IF(D255="Planned",ROW(),"")</f>
        <v/>
      </c>
      <c r="N255" s="32" t="str">
        <f aca="true">IF(K255=1,IF(E255="",0,TODAY()-E255)+ROW()/100000,"")</f>
        <v/>
      </c>
      <c r="O255" s="32" t="str">
        <f aca="false">IF(N255="","",RANK(N255,$N$2:$N$1000))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4"/>
      <c r="F256" s="34"/>
      <c r="G256" s="35" t="str">
        <f aca="true">IF(OR(E256="",J256=0),"",IF(F256&lt;&gt;"",F256-E256,TODAY()-E256))</f>
        <v/>
      </c>
      <c r="H256" s="29"/>
      <c r="I256" s="33"/>
      <c r="J256" s="32" t="n">
        <f aca="false">IF(OR(D256="",D256="Planned"),0,1)</f>
        <v>0</v>
      </c>
      <c r="K256" s="32" t="n">
        <f aca="false">IF(OR(D256="Under review",D256="Revision requested"),1,0)</f>
        <v>0</v>
      </c>
      <c r="L256" s="32" t="str">
        <f aca="false">IF(AND(J256=1,E256&lt;&gt;""),E256+ROW()/100000,"")</f>
        <v/>
      </c>
      <c r="M256" s="32" t="str">
        <f aca="false">IF(D256="Planned",ROW(),"")</f>
        <v/>
      </c>
      <c r="N256" s="32" t="str">
        <f aca="true">IF(K256=1,IF(E256="",0,TODAY()-E256)+ROW()/100000,"")</f>
        <v/>
      </c>
      <c r="O256" s="32" t="str">
        <f aca="false">IF(N256="","",RANK(N256,$N$2:$N$1000))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4"/>
      <c r="F257" s="34"/>
      <c r="G257" s="35" t="str">
        <f aca="true">IF(OR(E257="",J257=0),"",IF(F257&lt;&gt;"",F257-E257,TODAY()-E257))</f>
        <v/>
      </c>
      <c r="H257" s="29"/>
      <c r="I257" s="33"/>
      <c r="J257" s="32" t="n">
        <f aca="false">IF(OR(D257="",D257="Planned"),0,1)</f>
        <v>0</v>
      </c>
      <c r="K257" s="32" t="n">
        <f aca="false">IF(OR(D257="Under review",D257="Revision requested"),1,0)</f>
        <v>0</v>
      </c>
      <c r="L257" s="32" t="str">
        <f aca="false">IF(AND(J257=1,E257&lt;&gt;""),E257+ROW()/100000,"")</f>
        <v/>
      </c>
      <c r="M257" s="32" t="str">
        <f aca="false">IF(D257="Planned",ROW(),"")</f>
        <v/>
      </c>
      <c r="N257" s="32" t="str">
        <f aca="true">IF(K257=1,IF(E257="",0,TODAY()-E257)+ROW()/100000,"")</f>
        <v/>
      </c>
      <c r="O257" s="32" t="str">
        <f aca="false">IF(N257="","",RANK(N257,$N$2:$N$1000))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4"/>
      <c r="F258" s="34"/>
      <c r="G258" s="35" t="str">
        <f aca="true">IF(OR(E258="",J258=0),"",IF(F258&lt;&gt;"",F258-E258,TODAY()-E258))</f>
        <v/>
      </c>
      <c r="H258" s="29"/>
      <c r="I258" s="33"/>
      <c r="J258" s="32" t="n">
        <f aca="false">IF(OR(D258="",D258="Planned"),0,1)</f>
        <v>0</v>
      </c>
      <c r="K258" s="32" t="n">
        <f aca="false">IF(OR(D258="Under review",D258="Revision requested"),1,0)</f>
        <v>0</v>
      </c>
      <c r="L258" s="32" t="str">
        <f aca="false">IF(AND(J258=1,E258&lt;&gt;""),E258+ROW()/100000,"")</f>
        <v/>
      </c>
      <c r="M258" s="32" t="str">
        <f aca="false">IF(D258="Planned",ROW(),"")</f>
        <v/>
      </c>
      <c r="N258" s="32" t="str">
        <f aca="true">IF(K258=1,IF(E258="",0,TODAY()-E258)+ROW()/100000,"")</f>
        <v/>
      </c>
      <c r="O258" s="32" t="str">
        <f aca="false">IF(N258="","",RANK(N258,$N$2:$N$1000))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4"/>
      <c r="F259" s="34"/>
      <c r="G259" s="35" t="str">
        <f aca="true">IF(OR(E259="",J259=0),"",IF(F259&lt;&gt;"",F259-E259,TODAY()-E259))</f>
        <v/>
      </c>
      <c r="H259" s="29"/>
      <c r="I259" s="33"/>
      <c r="J259" s="32" t="n">
        <f aca="false">IF(OR(D259="",D259="Planned"),0,1)</f>
        <v>0</v>
      </c>
      <c r="K259" s="32" t="n">
        <f aca="false">IF(OR(D259="Under review",D259="Revision requested"),1,0)</f>
        <v>0</v>
      </c>
      <c r="L259" s="32" t="str">
        <f aca="false">IF(AND(J259=1,E259&lt;&gt;""),E259+ROW()/100000,"")</f>
        <v/>
      </c>
      <c r="M259" s="32" t="str">
        <f aca="false">IF(D259="Planned",ROW(),"")</f>
        <v/>
      </c>
      <c r="N259" s="32" t="str">
        <f aca="true">IF(K259=1,IF(E259="",0,TODAY()-E259)+ROW()/100000,"")</f>
        <v/>
      </c>
      <c r="O259" s="32" t="str">
        <f aca="false">IF(N259="","",RANK(N259,$N$2:$N$1000))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4"/>
      <c r="F260" s="34"/>
      <c r="G260" s="35" t="str">
        <f aca="true">IF(OR(E260="",J260=0),"",IF(F260&lt;&gt;"",F260-E260,TODAY()-E260))</f>
        <v/>
      </c>
      <c r="H260" s="29"/>
      <c r="I260" s="33"/>
      <c r="J260" s="32" t="n">
        <f aca="false">IF(OR(D260="",D260="Planned"),0,1)</f>
        <v>0</v>
      </c>
      <c r="K260" s="32" t="n">
        <f aca="false">IF(OR(D260="Under review",D260="Revision requested"),1,0)</f>
        <v>0</v>
      </c>
      <c r="L260" s="32" t="str">
        <f aca="false">IF(AND(J260=1,E260&lt;&gt;""),E260+ROW()/100000,"")</f>
        <v/>
      </c>
      <c r="M260" s="32" t="str">
        <f aca="false">IF(D260="Planned",ROW(),"")</f>
        <v/>
      </c>
      <c r="N260" s="32" t="str">
        <f aca="true">IF(K260=1,IF(E260="",0,TODAY()-E260)+ROW()/100000,"")</f>
        <v/>
      </c>
      <c r="O260" s="32" t="str">
        <f aca="false">IF(N260="","",RANK(N260,$N$2:$N$1000))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4"/>
      <c r="F261" s="34"/>
      <c r="G261" s="35" t="str">
        <f aca="true">IF(OR(E261="",J261=0),"",IF(F261&lt;&gt;"",F261-E261,TODAY()-E261))</f>
        <v/>
      </c>
      <c r="H261" s="29"/>
      <c r="I261" s="33"/>
      <c r="J261" s="32" t="n">
        <f aca="false">IF(OR(D261="",D261="Planned"),0,1)</f>
        <v>0</v>
      </c>
      <c r="K261" s="32" t="n">
        <f aca="false">IF(OR(D261="Under review",D261="Revision requested"),1,0)</f>
        <v>0</v>
      </c>
      <c r="L261" s="32" t="str">
        <f aca="false">IF(AND(J261=1,E261&lt;&gt;""),E261+ROW()/100000,"")</f>
        <v/>
      </c>
      <c r="M261" s="32" t="str">
        <f aca="false">IF(D261="Planned",ROW(),"")</f>
        <v/>
      </c>
      <c r="N261" s="32" t="str">
        <f aca="true">IF(K261=1,IF(E261="",0,TODAY()-E261)+ROW()/100000,"")</f>
        <v/>
      </c>
      <c r="O261" s="32" t="str">
        <f aca="false">IF(N261="","",RANK(N261,$N$2:$N$1000))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4"/>
      <c r="F262" s="34"/>
      <c r="G262" s="35" t="str">
        <f aca="true">IF(OR(E262="",J262=0),"",IF(F262&lt;&gt;"",F262-E262,TODAY()-E262))</f>
        <v/>
      </c>
      <c r="H262" s="29"/>
      <c r="I262" s="33"/>
      <c r="J262" s="32" t="n">
        <f aca="false">IF(OR(D262="",D262="Planned"),0,1)</f>
        <v>0</v>
      </c>
      <c r="K262" s="32" t="n">
        <f aca="false">IF(OR(D262="Under review",D262="Revision requested"),1,0)</f>
        <v>0</v>
      </c>
      <c r="L262" s="32" t="str">
        <f aca="false">IF(AND(J262=1,E262&lt;&gt;""),E262+ROW()/100000,"")</f>
        <v/>
      </c>
      <c r="M262" s="32" t="str">
        <f aca="false">IF(D262="Planned",ROW(),"")</f>
        <v/>
      </c>
      <c r="N262" s="32" t="str">
        <f aca="true">IF(K262=1,IF(E262="",0,TODAY()-E262)+ROW()/100000,"")</f>
        <v/>
      </c>
      <c r="O262" s="32" t="str">
        <f aca="false">IF(N262="","",RANK(N262,$N$2:$N$1000))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4"/>
      <c r="F263" s="34"/>
      <c r="G263" s="35" t="str">
        <f aca="true">IF(OR(E263="",J263=0),"",IF(F263&lt;&gt;"",F263-E263,TODAY()-E263))</f>
        <v/>
      </c>
      <c r="H263" s="29"/>
      <c r="I263" s="33"/>
      <c r="J263" s="32" t="n">
        <f aca="false">IF(OR(D263="",D263="Planned"),0,1)</f>
        <v>0</v>
      </c>
      <c r="K263" s="32" t="n">
        <f aca="false">IF(OR(D263="Under review",D263="Revision requested"),1,0)</f>
        <v>0</v>
      </c>
      <c r="L263" s="32" t="str">
        <f aca="false">IF(AND(J263=1,E263&lt;&gt;""),E263+ROW()/100000,"")</f>
        <v/>
      </c>
      <c r="M263" s="32" t="str">
        <f aca="false">IF(D263="Planned",ROW(),"")</f>
        <v/>
      </c>
      <c r="N263" s="32" t="str">
        <f aca="true">IF(K263=1,IF(E263="",0,TODAY()-E263)+ROW()/100000,"")</f>
        <v/>
      </c>
      <c r="O263" s="32" t="str">
        <f aca="false">IF(N263="","",RANK(N263,$N$2:$N$1000))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4"/>
      <c r="F264" s="34"/>
      <c r="G264" s="35" t="str">
        <f aca="true">IF(OR(E264="",J264=0),"",IF(F264&lt;&gt;"",F264-E264,TODAY()-E264))</f>
        <v/>
      </c>
      <c r="H264" s="29"/>
      <c r="I264" s="33"/>
      <c r="J264" s="32" t="n">
        <f aca="false">IF(OR(D264="",D264="Planned"),0,1)</f>
        <v>0</v>
      </c>
      <c r="K264" s="32" t="n">
        <f aca="false">IF(OR(D264="Under review",D264="Revision requested"),1,0)</f>
        <v>0</v>
      </c>
      <c r="L264" s="32" t="str">
        <f aca="false">IF(AND(J264=1,E264&lt;&gt;""),E264+ROW()/100000,"")</f>
        <v/>
      </c>
      <c r="M264" s="32" t="str">
        <f aca="false">IF(D264="Planned",ROW(),"")</f>
        <v/>
      </c>
      <c r="N264" s="32" t="str">
        <f aca="true">IF(K264=1,IF(E264="",0,TODAY()-E264)+ROW()/100000,"")</f>
        <v/>
      </c>
      <c r="O264" s="32" t="str">
        <f aca="false">IF(N264="","",RANK(N264,$N$2:$N$1000))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4"/>
      <c r="F265" s="34"/>
      <c r="G265" s="35" t="str">
        <f aca="true">IF(OR(E265="",J265=0),"",IF(F265&lt;&gt;"",F265-E265,TODAY()-E265))</f>
        <v/>
      </c>
      <c r="H265" s="29"/>
      <c r="I265" s="33"/>
      <c r="J265" s="32" t="n">
        <f aca="false">IF(OR(D265="",D265="Planned"),0,1)</f>
        <v>0</v>
      </c>
      <c r="K265" s="32" t="n">
        <f aca="false">IF(OR(D265="Under review",D265="Revision requested"),1,0)</f>
        <v>0</v>
      </c>
      <c r="L265" s="32" t="str">
        <f aca="false">IF(AND(J265=1,E265&lt;&gt;""),E265+ROW()/100000,"")</f>
        <v/>
      </c>
      <c r="M265" s="32" t="str">
        <f aca="false">IF(D265="Planned",ROW(),"")</f>
        <v/>
      </c>
      <c r="N265" s="32" t="str">
        <f aca="true">IF(K265=1,IF(E265="",0,TODAY()-E265)+ROW()/100000,"")</f>
        <v/>
      </c>
      <c r="O265" s="32" t="str">
        <f aca="false">IF(N265="","",RANK(N265,$N$2:$N$1000))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4"/>
      <c r="F266" s="34"/>
      <c r="G266" s="35" t="str">
        <f aca="true">IF(OR(E266="",J266=0),"",IF(F266&lt;&gt;"",F266-E266,TODAY()-E266))</f>
        <v/>
      </c>
      <c r="H266" s="29"/>
      <c r="I266" s="33"/>
      <c r="J266" s="32" t="n">
        <f aca="false">IF(OR(D266="",D266="Planned"),0,1)</f>
        <v>0</v>
      </c>
      <c r="K266" s="32" t="n">
        <f aca="false">IF(OR(D266="Under review",D266="Revision requested"),1,0)</f>
        <v>0</v>
      </c>
      <c r="L266" s="32" t="str">
        <f aca="false">IF(AND(J266=1,E266&lt;&gt;""),E266+ROW()/100000,"")</f>
        <v/>
      </c>
      <c r="M266" s="32" t="str">
        <f aca="false">IF(D266="Planned",ROW(),"")</f>
        <v/>
      </c>
      <c r="N266" s="32" t="str">
        <f aca="true">IF(K266=1,IF(E266="",0,TODAY()-E266)+ROW()/100000,"")</f>
        <v/>
      </c>
      <c r="O266" s="32" t="str">
        <f aca="false">IF(N266="","",RANK(N266,$N$2:$N$1000))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4"/>
      <c r="F267" s="34"/>
      <c r="G267" s="35" t="str">
        <f aca="true">IF(OR(E267="",J267=0),"",IF(F267&lt;&gt;"",F267-E267,TODAY()-E267))</f>
        <v/>
      </c>
      <c r="H267" s="29"/>
      <c r="I267" s="33"/>
      <c r="J267" s="32" t="n">
        <f aca="false">IF(OR(D267="",D267="Planned"),0,1)</f>
        <v>0</v>
      </c>
      <c r="K267" s="32" t="n">
        <f aca="false">IF(OR(D267="Under review",D267="Revision requested"),1,0)</f>
        <v>0</v>
      </c>
      <c r="L267" s="32" t="str">
        <f aca="false">IF(AND(J267=1,E267&lt;&gt;""),E267+ROW()/100000,"")</f>
        <v/>
      </c>
      <c r="M267" s="32" t="str">
        <f aca="false">IF(D267="Planned",ROW(),"")</f>
        <v/>
      </c>
      <c r="N267" s="32" t="str">
        <f aca="true">IF(K267=1,IF(E267="",0,TODAY()-E267)+ROW()/100000,"")</f>
        <v/>
      </c>
      <c r="O267" s="32" t="str">
        <f aca="false">IF(N267="","",RANK(N267,$N$2:$N$1000))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4"/>
      <c r="F268" s="34"/>
      <c r="G268" s="35" t="str">
        <f aca="true">IF(OR(E268="",J268=0),"",IF(F268&lt;&gt;"",F268-E268,TODAY()-E268))</f>
        <v/>
      </c>
      <c r="H268" s="29"/>
      <c r="I268" s="33"/>
      <c r="J268" s="32" t="n">
        <f aca="false">IF(OR(D268="",D268="Planned"),0,1)</f>
        <v>0</v>
      </c>
      <c r="K268" s="32" t="n">
        <f aca="false">IF(OR(D268="Under review",D268="Revision requested"),1,0)</f>
        <v>0</v>
      </c>
      <c r="L268" s="32" t="str">
        <f aca="false">IF(AND(J268=1,E268&lt;&gt;""),E268+ROW()/100000,"")</f>
        <v/>
      </c>
      <c r="M268" s="32" t="str">
        <f aca="false">IF(D268="Planned",ROW(),"")</f>
        <v/>
      </c>
      <c r="N268" s="32" t="str">
        <f aca="true">IF(K268=1,IF(E268="",0,TODAY()-E268)+ROW()/100000,"")</f>
        <v/>
      </c>
      <c r="O268" s="32" t="str">
        <f aca="false">IF(N268="","",RANK(N268,$N$2:$N$1000))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4"/>
      <c r="F269" s="34"/>
      <c r="G269" s="35" t="str">
        <f aca="true">IF(OR(E269="",J269=0),"",IF(F269&lt;&gt;"",F269-E269,TODAY()-E269))</f>
        <v/>
      </c>
      <c r="H269" s="29"/>
      <c r="I269" s="33"/>
      <c r="J269" s="32" t="n">
        <f aca="false">IF(OR(D269="",D269="Planned"),0,1)</f>
        <v>0</v>
      </c>
      <c r="K269" s="32" t="n">
        <f aca="false">IF(OR(D269="Under review",D269="Revision requested"),1,0)</f>
        <v>0</v>
      </c>
      <c r="L269" s="32" t="str">
        <f aca="false">IF(AND(J269=1,E269&lt;&gt;""),E269+ROW()/100000,"")</f>
        <v/>
      </c>
      <c r="M269" s="32" t="str">
        <f aca="false">IF(D269="Planned",ROW(),"")</f>
        <v/>
      </c>
      <c r="N269" s="32" t="str">
        <f aca="true">IF(K269=1,IF(E269="",0,TODAY()-E269)+ROW()/100000,"")</f>
        <v/>
      </c>
      <c r="O269" s="32" t="str">
        <f aca="false">IF(N269="","",RANK(N269,$N$2:$N$1000))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4"/>
      <c r="F270" s="34"/>
      <c r="G270" s="35" t="str">
        <f aca="true">IF(OR(E270="",J270=0),"",IF(F270&lt;&gt;"",F270-E270,TODAY()-E270))</f>
        <v/>
      </c>
      <c r="H270" s="29"/>
      <c r="I270" s="33"/>
      <c r="J270" s="32" t="n">
        <f aca="false">IF(OR(D270="",D270="Planned"),0,1)</f>
        <v>0</v>
      </c>
      <c r="K270" s="32" t="n">
        <f aca="false">IF(OR(D270="Under review",D270="Revision requested"),1,0)</f>
        <v>0</v>
      </c>
      <c r="L270" s="32" t="str">
        <f aca="false">IF(AND(J270=1,E270&lt;&gt;""),E270+ROW()/100000,"")</f>
        <v/>
      </c>
      <c r="M270" s="32" t="str">
        <f aca="false">IF(D270="Planned",ROW(),"")</f>
        <v/>
      </c>
      <c r="N270" s="32" t="str">
        <f aca="true">IF(K270=1,IF(E270="",0,TODAY()-E270)+ROW()/100000,"")</f>
        <v/>
      </c>
      <c r="O270" s="32" t="str">
        <f aca="false">IF(N270="","",RANK(N270,$N$2:$N$1000))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4"/>
      <c r="F271" s="34"/>
      <c r="G271" s="35" t="str">
        <f aca="true">IF(OR(E271="",J271=0),"",IF(F271&lt;&gt;"",F271-E271,TODAY()-E271))</f>
        <v/>
      </c>
      <c r="H271" s="29"/>
      <c r="I271" s="33"/>
      <c r="J271" s="32" t="n">
        <f aca="false">IF(OR(D271="",D271="Planned"),0,1)</f>
        <v>0</v>
      </c>
      <c r="K271" s="32" t="n">
        <f aca="false">IF(OR(D271="Under review",D271="Revision requested"),1,0)</f>
        <v>0</v>
      </c>
      <c r="L271" s="32" t="str">
        <f aca="false">IF(AND(J271=1,E271&lt;&gt;""),E271+ROW()/100000,"")</f>
        <v/>
      </c>
      <c r="M271" s="32" t="str">
        <f aca="false">IF(D271="Planned",ROW(),"")</f>
        <v/>
      </c>
      <c r="N271" s="32" t="str">
        <f aca="true">IF(K271=1,IF(E271="",0,TODAY()-E271)+ROW()/100000,"")</f>
        <v/>
      </c>
      <c r="O271" s="32" t="str">
        <f aca="false">IF(N271="","",RANK(N271,$N$2:$N$1000))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4"/>
      <c r="F272" s="34"/>
      <c r="G272" s="35" t="str">
        <f aca="true">IF(OR(E272="",J272=0),"",IF(F272&lt;&gt;"",F272-E272,TODAY()-E272))</f>
        <v/>
      </c>
      <c r="H272" s="29"/>
      <c r="I272" s="33"/>
      <c r="J272" s="32" t="n">
        <f aca="false">IF(OR(D272="",D272="Planned"),0,1)</f>
        <v>0</v>
      </c>
      <c r="K272" s="32" t="n">
        <f aca="false">IF(OR(D272="Under review",D272="Revision requested"),1,0)</f>
        <v>0</v>
      </c>
      <c r="L272" s="32" t="str">
        <f aca="false">IF(AND(J272=1,E272&lt;&gt;""),E272+ROW()/100000,"")</f>
        <v/>
      </c>
      <c r="M272" s="32" t="str">
        <f aca="false">IF(D272="Planned",ROW(),"")</f>
        <v/>
      </c>
      <c r="N272" s="32" t="str">
        <f aca="true">IF(K272=1,IF(E272="",0,TODAY()-E272)+ROW()/100000,"")</f>
        <v/>
      </c>
      <c r="O272" s="32" t="str">
        <f aca="false">IF(N272="","",RANK(N272,$N$2:$N$1000))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4"/>
      <c r="F273" s="34"/>
      <c r="G273" s="35" t="str">
        <f aca="true">IF(OR(E273="",J273=0),"",IF(F273&lt;&gt;"",F273-E273,TODAY()-E273))</f>
        <v/>
      </c>
      <c r="H273" s="29"/>
      <c r="I273" s="33"/>
      <c r="J273" s="32" t="n">
        <f aca="false">IF(OR(D273="",D273="Planned"),0,1)</f>
        <v>0</v>
      </c>
      <c r="K273" s="32" t="n">
        <f aca="false">IF(OR(D273="Under review",D273="Revision requested"),1,0)</f>
        <v>0</v>
      </c>
      <c r="L273" s="32" t="str">
        <f aca="false">IF(AND(J273=1,E273&lt;&gt;""),E273+ROW()/100000,"")</f>
        <v/>
      </c>
      <c r="M273" s="32" t="str">
        <f aca="false">IF(D273="Planned",ROW(),"")</f>
        <v/>
      </c>
      <c r="N273" s="32" t="str">
        <f aca="true">IF(K273=1,IF(E273="",0,TODAY()-E273)+ROW()/100000,"")</f>
        <v/>
      </c>
      <c r="O273" s="32" t="str">
        <f aca="false">IF(N273="","",RANK(N273,$N$2:$N$1000))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4"/>
      <c r="F274" s="34"/>
      <c r="G274" s="35" t="str">
        <f aca="true">IF(OR(E274="",J274=0),"",IF(F274&lt;&gt;"",F274-E274,TODAY()-E274))</f>
        <v/>
      </c>
      <c r="H274" s="29"/>
      <c r="I274" s="33"/>
      <c r="J274" s="32" t="n">
        <f aca="false">IF(OR(D274="",D274="Planned"),0,1)</f>
        <v>0</v>
      </c>
      <c r="K274" s="32" t="n">
        <f aca="false">IF(OR(D274="Under review",D274="Revision requested"),1,0)</f>
        <v>0</v>
      </c>
      <c r="L274" s="32" t="str">
        <f aca="false">IF(AND(J274=1,E274&lt;&gt;""),E274+ROW()/100000,"")</f>
        <v/>
      </c>
      <c r="M274" s="32" t="str">
        <f aca="false">IF(D274="Planned",ROW(),"")</f>
        <v/>
      </c>
      <c r="N274" s="32" t="str">
        <f aca="true">IF(K274=1,IF(E274="",0,TODAY()-E274)+ROW()/100000,"")</f>
        <v/>
      </c>
      <c r="O274" s="32" t="str">
        <f aca="false">IF(N274="","",RANK(N274,$N$2:$N$1000))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4"/>
      <c r="F275" s="34"/>
      <c r="G275" s="35" t="str">
        <f aca="true">IF(OR(E275="",J275=0),"",IF(F275&lt;&gt;"",F275-E275,TODAY()-E275))</f>
        <v/>
      </c>
      <c r="H275" s="29"/>
      <c r="I275" s="33"/>
      <c r="J275" s="32" t="n">
        <f aca="false">IF(OR(D275="",D275="Planned"),0,1)</f>
        <v>0</v>
      </c>
      <c r="K275" s="32" t="n">
        <f aca="false">IF(OR(D275="Under review",D275="Revision requested"),1,0)</f>
        <v>0</v>
      </c>
      <c r="L275" s="32" t="str">
        <f aca="false">IF(AND(J275=1,E275&lt;&gt;""),E275+ROW()/100000,"")</f>
        <v/>
      </c>
      <c r="M275" s="32" t="str">
        <f aca="false">IF(D275="Planned",ROW(),"")</f>
        <v/>
      </c>
      <c r="N275" s="32" t="str">
        <f aca="true">IF(K275=1,IF(E275="",0,TODAY()-E275)+ROW()/100000,"")</f>
        <v/>
      </c>
      <c r="O275" s="32" t="str">
        <f aca="false">IF(N275="","",RANK(N275,$N$2:$N$1000))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4"/>
      <c r="F276" s="34"/>
      <c r="G276" s="35" t="str">
        <f aca="true">IF(OR(E276="",J276=0),"",IF(F276&lt;&gt;"",F276-E276,TODAY()-E276))</f>
        <v/>
      </c>
      <c r="H276" s="29"/>
      <c r="I276" s="33"/>
      <c r="J276" s="32" t="n">
        <f aca="false">IF(OR(D276="",D276="Planned"),0,1)</f>
        <v>0</v>
      </c>
      <c r="K276" s="32" t="n">
        <f aca="false">IF(OR(D276="Under review",D276="Revision requested"),1,0)</f>
        <v>0</v>
      </c>
      <c r="L276" s="32" t="str">
        <f aca="false">IF(AND(J276=1,E276&lt;&gt;""),E276+ROW()/100000,"")</f>
        <v/>
      </c>
      <c r="M276" s="32" t="str">
        <f aca="false">IF(D276="Planned",ROW(),"")</f>
        <v/>
      </c>
      <c r="N276" s="32" t="str">
        <f aca="true">IF(K276=1,IF(E276="",0,TODAY()-E276)+ROW()/100000,"")</f>
        <v/>
      </c>
      <c r="O276" s="32" t="str">
        <f aca="false">IF(N276="","",RANK(N276,$N$2:$N$1000))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4"/>
      <c r="F277" s="34"/>
      <c r="G277" s="35" t="str">
        <f aca="true">IF(OR(E277="",J277=0),"",IF(F277&lt;&gt;"",F277-E277,TODAY()-E277))</f>
        <v/>
      </c>
      <c r="H277" s="29"/>
      <c r="I277" s="33"/>
      <c r="J277" s="32" t="n">
        <f aca="false">IF(OR(D277="",D277="Planned"),0,1)</f>
        <v>0</v>
      </c>
      <c r="K277" s="32" t="n">
        <f aca="false">IF(OR(D277="Under review",D277="Revision requested"),1,0)</f>
        <v>0</v>
      </c>
      <c r="L277" s="32" t="str">
        <f aca="false">IF(AND(J277=1,E277&lt;&gt;""),E277+ROW()/100000,"")</f>
        <v/>
      </c>
      <c r="M277" s="32" t="str">
        <f aca="false">IF(D277="Planned",ROW(),"")</f>
        <v/>
      </c>
      <c r="N277" s="32" t="str">
        <f aca="true">IF(K277=1,IF(E277="",0,TODAY()-E277)+ROW()/100000,"")</f>
        <v/>
      </c>
      <c r="O277" s="32" t="str">
        <f aca="false">IF(N277="","",RANK(N277,$N$2:$N$1000))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4"/>
      <c r="F278" s="34"/>
      <c r="G278" s="35" t="str">
        <f aca="true">IF(OR(E278="",J278=0),"",IF(F278&lt;&gt;"",F278-E278,TODAY()-E278))</f>
        <v/>
      </c>
      <c r="H278" s="29"/>
      <c r="I278" s="33"/>
      <c r="J278" s="32" t="n">
        <f aca="false">IF(OR(D278="",D278="Planned"),0,1)</f>
        <v>0</v>
      </c>
      <c r="K278" s="32" t="n">
        <f aca="false">IF(OR(D278="Under review",D278="Revision requested"),1,0)</f>
        <v>0</v>
      </c>
      <c r="L278" s="32" t="str">
        <f aca="false">IF(AND(J278=1,E278&lt;&gt;""),E278+ROW()/100000,"")</f>
        <v/>
      </c>
      <c r="M278" s="32" t="str">
        <f aca="false">IF(D278="Planned",ROW(),"")</f>
        <v/>
      </c>
      <c r="N278" s="32" t="str">
        <f aca="true">IF(K278=1,IF(E278="",0,TODAY()-E278)+ROW()/100000,"")</f>
        <v/>
      </c>
      <c r="O278" s="32" t="str">
        <f aca="false">IF(N278="","",RANK(N278,$N$2:$N$1000))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4"/>
      <c r="F279" s="34"/>
      <c r="G279" s="35" t="str">
        <f aca="true">IF(OR(E279="",J279=0),"",IF(F279&lt;&gt;"",F279-E279,TODAY()-E279))</f>
        <v/>
      </c>
      <c r="H279" s="29"/>
      <c r="I279" s="33"/>
      <c r="J279" s="32" t="n">
        <f aca="false">IF(OR(D279="",D279="Planned"),0,1)</f>
        <v>0</v>
      </c>
      <c r="K279" s="32" t="n">
        <f aca="false">IF(OR(D279="Under review",D279="Revision requested"),1,0)</f>
        <v>0</v>
      </c>
      <c r="L279" s="32" t="str">
        <f aca="false">IF(AND(J279=1,E279&lt;&gt;""),E279+ROW()/100000,"")</f>
        <v/>
      </c>
      <c r="M279" s="32" t="str">
        <f aca="false">IF(D279="Planned",ROW(),"")</f>
        <v/>
      </c>
      <c r="N279" s="32" t="str">
        <f aca="true">IF(K279=1,IF(E279="",0,TODAY()-E279)+ROW()/100000,"")</f>
        <v/>
      </c>
      <c r="O279" s="32" t="str">
        <f aca="false">IF(N279="","",RANK(N279,$N$2:$N$1000))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4"/>
      <c r="F280" s="34"/>
      <c r="G280" s="35" t="str">
        <f aca="true">IF(OR(E280="",J280=0),"",IF(F280&lt;&gt;"",F280-E280,TODAY()-E280))</f>
        <v/>
      </c>
      <c r="H280" s="29"/>
      <c r="I280" s="33"/>
      <c r="J280" s="32" t="n">
        <f aca="false">IF(OR(D280="",D280="Planned"),0,1)</f>
        <v>0</v>
      </c>
      <c r="K280" s="32" t="n">
        <f aca="false">IF(OR(D280="Under review",D280="Revision requested"),1,0)</f>
        <v>0</v>
      </c>
      <c r="L280" s="32" t="str">
        <f aca="false">IF(AND(J280=1,E280&lt;&gt;""),E280+ROW()/100000,"")</f>
        <v/>
      </c>
      <c r="M280" s="32" t="str">
        <f aca="false">IF(D280="Planned",ROW(),"")</f>
        <v/>
      </c>
      <c r="N280" s="32" t="str">
        <f aca="true">IF(K280=1,IF(E280="",0,TODAY()-E280)+ROW()/100000,"")</f>
        <v/>
      </c>
      <c r="O280" s="32" t="str">
        <f aca="false">IF(N280="","",RANK(N280,$N$2:$N$1000))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4"/>
      <c r="F281" s="34"/>
      <c r="G281" s="35" t="str">
        <f aca="true">IF(OR(E281="",J281=0),"",IF(F281&lt;&gt;"",F281-E281,TODAY()-E281))</f>
        <v/>
      </c>
      <c r="H281" s="29"/>
      <c r="I281" s="33"/>
      <c r="J281" s="32" t="n">
        <f aca="false">IF(OR(D281="",D281="Planned"),0,1)</f>
        <v>0</v>
      </c>
      <c r="K281" s="32" t="n">
        <f aca="false">IF(OR(D281="Under review",D281="Revision requested"),1,0)</f>
        <v>0</v>
      </c>
      <c r="L281" s="32" t="str">
        <f aca="false">IF(AND(J281=1,E281&lt;&gt;""),E281+ROW()/100000,"")</f>
        <v/>
      </c>
      <c r="M281" s="32" t="str">
        <f aca="false">IF(D281="Planned",ROW(),"")</f>
        <v/>
      </c>
      <c r="N281" s="32" t="str">
        <f aca="true">IF(K281=1,IF(E281="",0,TODAY()-E281)+ROW()/100000,"")</f>
        <v/>
      </c>
      <c r="O281" s="32" t="str">
        <f aca="false">IF(N281="","",RANK(N281,$N$2:$N$1000))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4"/>
      <c r="F282" s="34"/>
      <c r="G282" s="35" t="str">
        <f aca="true">IF(OR(E282="",J282=0),"",IF(F282&lt;&gt;"",F282-E282,TODAY()-E282))</f>
        <v/>
      </c>
      <c r="H282" s="29"/>
      <c r="I282" s="33"/>
      <c r="J282" s="32" t="n">
        <f aca="false">IF(OR(D282="",D282="Planned"),0,1)</f>
        <v>0</v>
      </c>
      <c r="K282" s="32" t="n">
        <f aca="false">IF(OR(D282="Under review",D282="Revision requested"),1,0)</f>
        <v>0</v>
      </c>
      <c r="L282" s="32" t="str">
        <f aca="false">IF(AND(J282=1,E282&lt;&gt;""),E282+ROW()/100000,"")</f>
        <v/>
      </c>
      <c r="M282" s="32" t="str">
        <f aca="false">IF(D282="Planned",ROW(),"")</f>
        <v/>
      </c>
      <c r="N282" s="32" t="str">
        <f aca="true">IF(K282=1,IF(E282="",0,TODAY()-E282)+ROW()/100000,"")</f>
        <v/>
      </c>
      <c r="O282" s="32" t="str">
        <f aca="false">IF(N282="","",RANK(N282,$N$2:$N$1000))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4"/>
      <c r="F283" s="34"/>
      <c r="G283" s="35" t="str">
        <f aca="true">IF(OR(E283="",J283=0),"",IF(F283&lt;&gt;"",F283-E283,TODAY()-E283))</f>
        <v/>
      </c>
      <c r="H283" s="29"/>
      <c r="I283" s="33"/>
      <c r="J283" s="32" t="n">
        <f aca="false">IF(OR(D283="",D283="Planned"),0,1)</f>
        <v>0</v>
      </c>
      <c r="K283" s="32" t="n">
        <f aca="false">IF(OR(D283="Under review",D283="Revision requested"),1,0)</f>
        <v>0</v>
      </c>
      <c r="L283" s="32" t="str">
        <f aca="false">IF(AND(J283=1,E283&lt;&gt;""),E283+ROW()/100000,"")</f>
        <v/>
      </c>
      <c r="M283" s="32" t="str">
        <f aca="false">IF(D283="Planned",ROW(),"")</f>
        <v/>
      </c>
      <c r="N283" s="32" t="str">
        <f aca="true">IF(K283=1,IF(E283="",0,TODAY()-E283)+ROW()/100000,"")</f>
        <v/>
      </c>
      <c r="O283" s="32" t="str">
        <f aca="false">IF(N283="","",RANK(N283,$N$2:$N$1000))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4"/>
      <c r="F284" s="34"/>
      <c r="G284" s="35" t="str">
        <f aca="true">IF(OR(E284="",J284=0),"",IF(F284&lt;&gt;"",F284-E284,TODAY()-E284))</f>
        <v/>
      </c>
      <c r="H284" s="29"/>
      <c r="I284" s="33"/>
      <c r="J284" s="32" t="n">
        <f aca="false">IF(OR(D284="",D284="Planned"),0,1)</f>
        <v>0</v>
      </c>
      <c r="K284" s="32" t="n">
        <f aca="false">IF(OR(D284="Under review",D284="Revision requested"),1,0)</f>
        <v>0</v>
      </c>
      <c r="L284" s="32" t="str">
        <f aca="false">IF(AND(J284=1,E284&lt;&gt;""),E284+ROW()/100000,"")</f>
        <v/>
      </c>
      <c r="M284" s="32" t="str">
        <f aca="false">IF(D284="Planned",ROW(),"")</f>
        <v/>
      </c>
      <c r="N284" s="32" t="str">
        <f aca="true">IF(K284=1,IF(E284="",0,TODAY()-E284)+ROW()/100000,"")</f>
        <v/>
      </c>
      <c r="O284" s="32" t="str">
        <f aca="false">IF(N284="","",RANK(N284,$N$2:$N$1000))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4"/>
      <c r="F285" s="34"/>
      <c r="G285" s="35" t="str">
        <f aca="true">IF(OR(E285="",J285=0),"",IF(F285&lt;&gt;"",F285-E285,TODAY()-E285))</f>
        <v/>
      </c>
      <c r="H285" s="29"/>
      <c r="I285" s="33"/>
      <c r="J285" s="32" t="n">
        <f aca="false">IF(OR(D285="",D285="Planned"),0,1)</f>
        <v>0</v>
      </c>
      <c r="K285" s="32" t="n">
        <f aca="false">IF(OR(D285="Under review",D285="Revision requested"),1,0)</f>
        <v>0</v>
      </c>
      <c r="L285" s="32" t="str">
        <f aca="false">IF(AND(J285=1,E285&lt;&gt;""),E285+ROW()/100000,"")</f>
        <v/>
      </c>
      <c r="M285" s="32" t="str">
        <f aca="false">IF(D285="Planned",ROW(),"")</f>
        <v/>
      </c>
      <c r="N285" s="32" t="str">
        <f aca="true">IF(K285=1,IF(E285="",0,TODAY()-E285)+ROW()/100000,"")</f>
        <v/>
      </c>
      <c r="O285" s="32" t="str">
        <f aca="false">IF(N285="","",RANK(N285,$N$2:$N$1000))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4"/>
      <c r="F286" s="34"/>
      <c r="G286" s="35" t="str">
        <f aca="true">IF(OR(E286="",J286=0),"",IF(F286&lt;&gt;"",F286-E286,TODAY()-E286))</f>
        <v/>
      </c>
      <c r="H286" s="29"/>
      <c r="I286" s="33"/>
      <c r="J286" s="32" t="n">
        <f aca="false">IF(OR(D286="",D286="Planned"),0,1)</f>
        <v>0</v>
      </c>
      <c r="K286" s="32" t="n">
        <f aca="false">IF(OR(D286="Under review",D286="Revision requested"),1,0)</f>
        <v>0</v>
      </c>
      <c r="L286" s="32" t="str">
        <f aca="false">IF(AND(J286=1,E286&lt;&gt;""),E286+ROW()/100000,"")</f>
        <v/>
      </c>
      <c r="M286" s="32" t="str">
        <f aca="false">IF(D286="Planned",ROW(),"")</f>
        <v/>
      </c>
      <c r="N286" s="32" t="str">
        <f aca="true">IF(K286=1,IF(E286="",0,TODAY()-E286)+ROW()/100000,"")</f>
        <v/>
      </c>
      <c r="O286" s="32" t="str">
        <f aca="false">IF(N286="","",RANK(N286,$N$2:$N$1000))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4"/>
      <c r="F287" s="34"/>
      <c r="G287" s="35" t="str">
        <f aca="true">IF(OR(E287="",J287=0),"",IF(F287&lt;&gt;"",F287-E287,TODAY()-E287))</f>
        <v/>
      </c>
      <c r="H287" s="29"/>
      <c r="I287" s="33"/>
      <c r="J287" s="32" t="n">
        <f aca="false">IF(OR(D287="",D287="Planned"),0,1)</f>
        <v>0</v>
      </c>
      <c r="K287" s="32" t="n">
        <f aca="false">IF(OR(D287="Under review",D287="Revision requested"),1,0)</f>
        <v>0</v>
      </c>
      <c r="L287" s="32" t="str">
        <f aca="false">IF(AND(J287=1,E287&lt;&gt;""),E287+ROW()/100000,"")</f>
        <v/>
      </c>
      <c r="M287" s="32" t="str">
        <f aca="false">IF(D287="Planned",ROW(),"")</f>
        <v/>
      </c>
      <c r="N287" s="32" t="str">
        <f aca="true">IF(K287=1,IF(E287="",0,TODAY()-E287)+ROW()/100000,"")</f>
        <v/>
      </c>
      <c r="O287" s="32" t="str">
        <f aca="false">IF(N287="","",RANK(N287,$N$2:$N$1000))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4"/>
      <c r="F288" s="34"/>
      <c r="G288" s="35" t="str">
        <f aca="true">IF(OR(E288="",J288=0),"",IF(F288&lt;&gt;"",F288-E288,TODAY()-E288))</f>
        <v/>
      </c>
      <c r="H288" s="29"/>
      <c r="I288" s="33"/>
      <c r="J288" s="32" t="n">
        <f aca="false">IF(OR(D288="",D288="Planned"),0,1)</f>
        <v>0</v>
      </c>
      <c r="K288" s="32" t="n">
        <f aca="false">IF(OR(D288="Under review",D288="Revision requested"),1,0)</f>
        <v>0</v>
      </c>
      <c r="L288" s="32" t="str">
        <f aca="false">IF(AND(J288=1,E288&lt;&gt;""),E288+ROW()/100000,"")</f>
        <v/>
      </c>
      <c r="M288" s="32" t="str">
        <f aca="false">IF(D288="Planned",ROW(),"")</f>
        <v/>
      </c>
      <c r="N288" s="32" t="str">
        <f aca="true">IF(K288=1,IF(E288="",0,TODAY()-E288)+ROW()/100000,"")</f>
        <v/>
      </c>
      <c r="O288" s="32" t="str">
        <f aca="false">IF(N288="","",RANK(N288,$N$2:$N$1000))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4"/>
      <c r="F289" s="34"/>
      <c r="G289" s="35" t="str">
        <f aca="true">IF(OR(E289="",J289=0),"",IF(F289&lt;&gt;"",F289-E289,TODAY()-E289))</f>
        <v/>
      </c>
      <c r="H289" s="29"/>
      <c r="I289" s="33"/>
      <c r="J289" s="32" t="n">
        <f aca="false">IF(OR(D289="",D289="Planned"),0,1)</f>
        <v>0</v>
      </c>
      <c r="K289" s="32" t="n">
        <f aca="false">IF(OR(D289="Under review",D289="Revision requested"),1,0)</f>
        <v>0</v>
      </c>
      <c r="L289" s="32" t="str">
        <f aca="false">IF(AND(J289=1,E289&lt;&gt;""),E289+ROW()/100000,"")</f>
        <v/>
      </c>
      <c r="M289" s="32" t="str">
        <f aca="false">IF(D289="Planned",ROW(),"")</f>
        <v/>
      </c>
      <c r="N289" s="32" t="str">
        <f aca="true">IF(K289=1,IF(E289="",0,TODAY()-E289)+ROW()/100000,"")</f>
        <v/>
      </c>
      <c r="O289" s="32" t="str">
        <f aca="false">IF(N289="","",RANK(N289,$N$2:$N$1000))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4"/>
      <c r="F290" s="34"/>
      <c r="G290" s="35" t="str">
        <f aca="true">IF(OR(E290="",J290=0),"",IF(F290&lt;&gt;"",F290-E290,TODAY()-E290))</f>
        <v/>
      </c>
      <c r="H290" s="29"/>
      <c r="I290" s="33"/>
      <c r="J290" s="32" t="n">
        <f aca="false">IF(OR(D290="",D290="Planned"),0,1)</f>
        <v>0</v>
      </c>
      <c r="K290" s="32" t="n">
        <f aca="false">IF(OR(D290="Under review",D290="Revision requested"),1,0)</f>
        <v>0</v>
      </c>
      <c r="L290" s="32" t="str">
        <f aca="false">IF(AND(J290=1,E290&lt;&gt;""),E290+ROW()/100000,"")</f>
        <v/>
      </c>
      <c r="M290" s="32" t="str">
        <f aca="false">IF(D290="Planned",ROW(),"")</f>
        <v/>
      </c>
      <c r="N290" s="32" t="str">
        <f aca="true">IF(K290=1,IF(E290="",0,TODAY()-E290)+ROW()/100000,"")</f>
        <v/>
      </c>
      <c r="O290" s="32" t="str">
        <f aca="false">IF(N290="","",RANK(N290,$N$2:$N$1000))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4"/>
      <c r="F291" s="34"/>
      <c r="G291" s="35" t="str">
        <f aca="true">IF(OR(E291="",J291=0),"",IF(F291&lt;&gt;"",F291-E291,TODAY()-E291))</f>
        <v/>
      </c>
      <c r="H291" s="29"/>
      <c r="I291" s="33"/>
      <c r="J291" s="32" t="n">
        <f aca="false">IF(OR(D291="",D291="Planned"),0,1)</f>
        <v>0</v>
      </c>
      <c r="K291" s="32" t="n">
        <f aca="false">IF(OR(D291="Under review",D291="Revision requested"),1,0)</f>
        <v>0</v>
      </c>
      <c r="L291" s="32" t="str">
        <f aca="false">IF(AND(J291=1,E291&lt;&gt;""),E291+ROW()/100000,"")</f>
        <v/>
      </c>
      <c r="M291" s="32" t="str">
        <f aca="false">IF(D291="Planned",ROW(),"")</f>
        <v/>
      </c>
      <c r="N291" s="32" t="str">
        <f aca="true">IF(K291=1,IF(E291="",0,TODAY()-E291)+ROW()/100000,"")</f>
        <v/>
      </c>
      <c r="O291" s="32" t="str">
        <f aca="false">IF(N291="","",RANK(N291,$N$2:$N$1000))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4"/>
      <c r="F292" s="34"/>
      <c r="G292" s="35" t="str">
        <f aca="true">IF(OR(E292="",J292=0),"",IF(F292&lt;&gt;"",F292-E292,TODAY()-E292))</f>
        <v/>
      </c>
      <c r="H292" s="29"/>
      <c r="I292" s="33"/>
      <c r="J292" s="32" t="n">
        <f aca="false">IF(OR(D292="",D292="Planned"),0,1)</f>
        <v>0</v>
      </c>
      <c r="K292" s="32" t="n">
        <f aca="false">IF(OR(D292="Under review",D292="Revision requested"),1,0)</f>
        <v>0</v>
      </c>
      <c r="L292" s="32" t="str">
        <f aca="false">IF(AND(J292=1,E292&lt;&gt;""),E292+ROW()/100000,"")</f>
        <v/>
      </c>
      <c r="M292" s="32" t="str">
        <f aca="false">IF(D292="Planned",ROW(),"")</f>
        <v/>
      </c>
      <c r="N292" s="32" t="str">
        <f aca="true">IF(K292=1,IF(E292="",0,TODAY()-E292)+ROW()/100000,"")</f>
        <v/>
      </c>
      <c r="O292" s="32" t="str">
        <f aca="false">IF(N292="","",RANK(N292,$N$2:$N$1000))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4"/>
      <c r="F293" s="34"/>
      <c r="G293" s="35" t="str">
        <f aca="true">IF(OR(E293="",J293=0),"",IF(F293&lt;&gt;"",F293-E293,TODAY()-E293))</f>
        <v/>
      </c>
      <c r="H293" s="29"/>
      <c r="I293" s="33"/>
      <c r="J293" s="32" t="n">
        <f aca="false">IF(OR(D293="",D293="Planned"),0,1)</f>
        <v>0</v>
      </c>
      <c r="K293" s="32" t="n">
        <f aca="false">IF(OR(D293="Under review",D293="Revision requested"),1,0)</f>
        <v>0</v>
      </c>
      <c r="L293" s="32" t="str">
        <f aca="false">IF(AND(J293=1,E293&lt;&gt;""),E293+ROW()/100000,"")</f>
        <v/>
      </c>
      <c r="M293" s="32" t="str">
        <f aca="false">IF(D293="Planned",ROW(),"")</f>
        <v/>
      </c>
      <c r="N293" s="32" t="str">
        <f aca="true">IF(K293=1,IF(E293="",0,TODAY()-E293)+ROW()/100000,"")</f>
        <v/>
      </c>
      <c r="O293" s="32" t="str">
        <f aca="false">IF(N293="","",RANK(N293,$N$2:$N$1000))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4"/>
      <c r="F294" s="34"/>
      <c r="G294" s="35" t="str">
        <f aca="true">IF(OR(E294="",J294=0),"",IF(F294&lt;&gt;"",F294-E294,TODAY()-E294))</f>
        <v/>
      </c>
      <c r="H294" s="29"/>
      <c r="I294" s="33"/>
      <c r="J294" s="32" t="n">
        <f aca="false">IF(OR(D294="",D294="Planned"),0,1)</f>
        <v>0</v>
      </c>
      <c r="K294" s="32" t="n">
        <f aca="false">IF(OR(D294="Under review",D294="Revision requested"),1,0)</f>
        <v>0</v>
      </c>
      <c r="L294" s="32" t="str">
        <f aca="false">IF(AND(J294=1,E294&lt;&gt;""),E294+ROW()/100000,"")</f>
        <v/>
      </c>
      <c r="M294" s="32" t="str">
        <f aca="false">IF(D294="Planned",ROW(),"")</f>
        <v/>
      </c>
      <c r="N294" s="32" t="str">
        <f aca="true">IF(K294=1,IF(E294="",0,TODAY()-E294)+ROW()/100000,"")</f>
        <v/>
      </c>
      <c r="O294" s="32" t="str">
        <f aca="false">IF(N294="","",RANK(N294,$N$2:$N$1000))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4"/>
      <c r="F295" s="34"/>
      <c r="G295" s="35" t="str">
        <f aca="true">IF(OR(E295="",J295=0),"",IF(F295&lt;&gt;"",F295-E295,TODAY()-E295))</f>
        <v/>
      </c>
      <c r="H295" s="29"/>
      <c r="I295" s="33"/>
      <c r="J295" s="32" t="n">
        <f aca="false">IF(OR(D295="",D295="Planned"),0,1)</f>
        <v>0</v>
      </c>
      <c r="K295" s="32" t="n">
        <f aca="false">IF(OR(D295="Under review",D295="Revision requested"),1,0)</f>
        <v>0</v>
      </c>
      <c r="L295" s="32" t="str">
        <f aca="false">IF(AND(J295=1,E295&lt;&gt;""),E295+ROW()/100000,"")</f>
        <v/>
      </c>
      <c r="M295" s="32" t="str">
        <f aca="false">IF(D295="Planned",ROW(),"")</f>
        <v/>
      </c>
      <c r="N295" s="32" t="str">
        <f aca="true">IF(K295=1,IF(E295="",0,TODAY()-E295)+ROW()/100000,"")</f>
        <v/>
      </c>
      <c r="O295" s="32" t="str">
        <f aca="false">IF(N295="","",RANK(N295,$N$2:$N$1000))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4"/>
      <c r="F296" s="34"/>
      <c r="G296" s="35" t="str">
        <f aca="true">IF(OR(E296="",J296=0),"",IF(F296&lt;&gt;"",F296-E296,TODAY()-E296))</f>
        <v/>
      </c>
      <c r="H296" s="29"/>
      <c r="I296" s="33"/>
      <c r="J296" s="32" t="n">
        <f aca="false">IF(OR(D296="",D296="Planned"),0,1)</f>
        <v>0</v>
      </c>
      <c r="K296" s="32" t="n">
        <f aca="false">IF(OR(D296="Under review",D296="Revision requested"),1,0)</f>
        <v>0</v>
      </c>
      <c r="L296" s="32" t="str">
        <f aca="false">IF(AND(J296=1,E296&lt;&gt;""),E296+ROW()/100000,"")</f>
        <v/>
      </c>
      <c r="M296" s="32" t="str">
        <f aca="false">IF(D296="Planned",ROW(),"")</f>
        <v/>
      </c>
      <c r="N296" s="32" t="str">
        <f aca="true">IF(K296=1,IF(E296="",0,TODAY()-E296)+ROW()/100000,"")</f>
        <v/>
      </c>
      <c r="O296" s="32" t="str">
        <f aca="false">IF(N296="","",RANK(N296,$N$2:$N$1000))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4"/>
      <c r="F297" s="34"/>
      <c r="G297" s="35" t="str">
        <f aca="true">IF(OR(E297="",J297=0),"",IF(F297&lt;&gt;"",F297-E297,TODAY()-E297))</f>
        <v/>
      </c>
      <c r="H297" s="29"/>
      <c r="I297" s="33"/>
      <c r="J297" s="32" t="n">
        <f aca="false">IF(OR(D297="",D297="Planned"),0,1)</f>
        <v>0</v>
      </c>
      <c r="K297" s="32" t="n">
        <f aca="false">IF(OR(D297="Under review",D297="Revision requested"),1,0)</f>
        <v>0</v>
      </c>
      <c r="L297" s="32" t="str">
        <f aca="false">IF(AND(J297=1,E297&lt;&gt;""),E297+ROW()/100000,"")</f>
        <v/>
      </c>
      <c r="M297" s="32" t="str">
        <f aca="false">IF(D297="Planned",ROW(),"")</f>
        <v/>
      </c>
      <c r="N297" s="32" t="str">
        <f aca="true">IF(K297=1,IF(E297="",0,TODAY()-E297)+ROW()/100000,"")</f>
        <v/>
      </c>
      <c r="O297" s="32" t="str">
        <f aca="false">IF(N297="","",RANK(N297,$N$2:$N$1000))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4"/>
      <c r="F298" s="34"/>
      <c r="G298" s="35" t="str">
        <f aca="true">IF(OR(E298="",J298=0),"",IF(F298&lt;&gt;"",F298-E298,TODAY()-E298))</f>
        <v/>
      </c>
      <c r="H298" s="29"/>
      <c r="I298" s="33"/>
      <c r="J298" s="32" t="n">
        <f aca="false">IF(OR(D298="",D298="Planned"),0,1)</f>
        <v>0</v>
      </c>
      <c r="K298" s="32" t="n">
        <f aca="false">IF(OR(D298="Under review",D298="Revision requested"),1,0)</f>
        <v>0</v>
      </c>
      <c r="L298" s="32" t="str">
        <f aca="false">IF(AND(J298=1,E298&lt;&gt;""),E298+ROW()/100000,"")</f>
        <v/>
      </c>
      <c r="M298" s="32" t="str">
        <f aca="false">IF(D298="Planned",ROW(),"")</f>
        <v/>
      </c>
      <c r="N298" s="32" t="str">
        <f aca="true">IF(K298=1,IF(E298="",0,TODAY()-E298)+ROW()/100000,"")</f>
        <v/>
      </c>
      <c r="O298" s="32" t="str">
        <f aca="false">IF(N298="","",RANK(N298,$N$2:$N$1000))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4"/>
      <c r="F299" s="34"/>
      <c r="G299" s="35" t="str">
        <f aca="true">IF(OR(E299="",J299=0),"",IF(F299&lt;&gt;"",F299-E299,TODAY()-E299))</f>
        <v/>
      </c>
      <c r="H299" s="29"/>
      <c r="I299" s="33"/>
      <c r="J299" s="32" t="n">
        <f aca="false">IF(OR(D299="",D299="Planned"),0,1)</f>
        <v>0</v>
      </c>
      <c r="K299" s="32" t="n">
        <f aca="false">IF(OR(D299="Under review",D299="Revision requested"),1,0)</f>
        <v>0</v>
      </c>
      <c r="L299" s="32" t="str">
        <f aca="false">IF(AND(J299=1,E299&lt;&gt;""),E299+ROW()/100000,"")</f>
        <v/>
      </c>
      <c r="M299" s="32" t="str">
        <f aca="false">IF(D299="Planned",ROW(),"")</f>
        <v/>
      </c>
      <c r="N299" s="32" t="str">
        <f aca="true">IF(K299=1,IF(E299="",0,TODAY()-E299)+ROW()/100000,"")</f>
        <v/>
      </c>
      <c r="O299" s="32" t="str">
        <f aca="false">IF(N299="","",RANK(N299,$N$2:$N$1000))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4"/>
      <c r="F300" s="34"/>
      <c r="G300" s="35" t="str">
        <f aca="true">IF(OR(E300="",J300=0),"",IF(F300&lt;&gt;"",F300-E300,TODAY()-E300))</f>
        <v/>
      </c>
      <c r="H300" s="29"/>
      <c r="I300" s="33"/>
      <c r="J300" s="32" t="n">
        <f aca="false">IF(OR(D300="",D300="Planned"),0,1)</f>
        <v>0</v>
      </c>
      <c r="K300" s="32" t="n">
        <f aca="false">IF(OR(D300="Under review",D300="Revision requested"),1,0)</f>
        <v>0</v>
      </c>
      <c r="L300" s="32" t="str">
        <f aca="false">IF(AND(J300=1,E300&lt;&gt;""),E300+ROW()/100000,"")</f>
        <v/>
      </c>
      <c r="M300" s="32" t="str">
        <f aca="false">IF(D300="Planned",ROW(),"")</f>
        <v/>
      </c>
      <c r="N300" s="32" t="str">
        <f aca="true">IF(K300=1,IF(E300="",0,TODAY()-E300)+ROW()/100000,"")</f>
        <v/>
      </c>
      <c r="O300" s="32" t="str">
        <f aca="false">IF(N300="","",RANK(N300,$N$2:$N$1000))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4"/>
      <c r="F301" s="34"/>
      <c r="G301" s="35" t="str">
        <f aca="true">IF(OR(E301="",J301=0),"",IF(F301&lt;&gt;"",F301-E301,TODAY()-E301))</f>
        <v/>
      </c>
      <c r="H301" s="29"/>
      <c r="I301" s="33"/>
      <c r="J301" s="32" t="n">
        <f aca="false">IF(OR(D301="",D301="Planned"),0,1)</f>
        <v>0</v>
      </c>
      <c r="K301" s="32" t="n">
        <f aca="false">IF(OR(D301="Under review",D301="Revision requested"),1,0)</f>
        <v>0</v>
      </c>
      <c r="L301" s="32" t="str">
        <f aca="false">IF(AND(J301=1,E301&lt;&gt;""),E301+ROW()/100000,"")</f>
        <v/>
      </c>
      <c r="M301" s="32" t="str">
        <f aca="false">IF(D301="Planned",ROW(),"")</f>
        <v/>
      </c>
      <c r="N301" s="32" t="str">
        <f aca="true">IF(K301=1,IF(E301="",0,TODAY()-E301)+ROW()/100000,"")</f>
        <v/>
      </c>
      <c r="O301" s="32" t="str">
        <f aca="false">IF(N301="","",RANK(N301,$N$2:$N$1000))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4"/>
      <c r="F302" s="34"/>
      <c r="G302" s="35" t="str">
        <f aca="true">IF(OR(E302="",J302=0),"",IF(F302&lt;&gt;"",F302-E302,TODAY()-E302))</f>
        <v/>
      </c>
      <c r="H302" s="29"/>
      <c r="I302" s="33"/>
      <c r="J302" s="32" t="n">
        <f aca="false">IF(OR(D302="",D302="Planned"),0,1)</f>
        <v>0</v>
      </c>
      <c r="K302" s="32" t="n">
        <f aca="false">IF(OR(D302="Under review",D302="Revision requested"),1,0)</f>
        <v>0</v>
      </c>
      <c r="L302" s="32" t="str">
        <f aca="false">IF(AND(J302=1,E302&lt;&gt;""),E302+ROW()/100000,"")</f>
        <v/>
      </c>
      <c r="M302" s="32" t="str">
        <f aca="false">IF(D302="Planned",ROW(),"")</f>
        <v/>
      </c>
      <c r="N302" s="32" t="str">
        <f aca="true">IF(K302=1,IF(E302="",0,TODAY()-E302)+ROW()/100000,"")</f>
        <v/>
      </c>
      <c r="O302" s="32" t="str">
        <f aca="false">IF(N302="","",RANK(N302,$N$2:$N$1000))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4"/>
      <c r="F303" s="34"/>
      <c r="G303" s="35" t="str">
        <f aca="true">IF(OR(E303="",J303=0),"",IF(F303&lt;&gt;"",F303-E303,TODAY()-E303))</f>
        <v/>
      </c>
      <c r="H303" s="29"/>
      <c r="I303" s="33"/>
      <c r="J303" s="32" t="n">
        <f aca="false">IF(OR(D303="",D303="Planned"),0,1)</f>
        <v>0</v>
      </c>
      <c r="K303" s="32" t="n">
        <f aca="false">IF(OR(D303="Under review",D303="Revision requested"),1,0)</f>
        <v>0</v>
      </c>
      <c r="L303" s="32" t="str">
        <f aca="false">IF(AND(J303=1,E303&lt;&gt;""),E303+ROW()/100000,"")</f>
        <v/>
      </c>
      <c r="M303" s="32" t="str">
        <f aca="false">IF(D303="Planned",ROW(),"")</f>
        <v/>
      </c>
      <c r="N303" s="32" t="str">
        <f aca="true">IF(K303=1,IF(E303="",0,TODAY()-E303)+ROW()/100000,"")</f>
        <v/>
      </c>
      <c r="O303" s="32" t="str">
        <f aca="false">IF(N303="","",RANK(N303,$N$2:$N$1000))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4"/>
      <c r="F304" s="34"/>
      <c r="G304" s="35" t="str">
        <f aca="true">IF(OR(E304="",J304=0),"",IF(F304&lt;&gt;"",F304-E304,TODAY()-E304))</f>
        <v/>
      </c>
      <c r="H304" s="29"/>
      <c r="I304" s="33"/>
      <c r="J304" s="32" t="n">
        <f aca="false">IF(OR(D304="",D304="Planned"),0,1)</f>
        <v>0</v>
      </c>
      <c r="K304" s="32" t="n">
        <f aca="false">IF(OR(D304="Under review",D304="Revision requested"),1,0)</f>
        <v>0</v>
      </c>
      <c r="L304" s="32" t="str">
        <f aca="false">IF(AND(J304=1,E304&lt;&gt;""),E304+ROW()/100000,"")</f>
        <v/>
      </c>
      <c r="M304" s="32" t="str">
        <f aca="false">IF(D304="Planned",ROW(),"")</f>
        <v/>
      </c>
      <c r="N304" s="32" t="str">
        <f aca="true">IF(K304=1,IF(E304="",0,TODAY()-E304)+ROW()/100000,"")</f>
        <v/>
      </c>
      <c r="O304" s="32" t="str">
        <f aca="false">IF(N304="","",RANK(N304,$N$2:$N$1000))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4"/>
      <c r="F305" s="34"/>
      <c r="G305" s="35" t="str">
        <f aca="true">IF(OR(E305="",J305=0),"",IF(F305&lt;&gt;"",F305-E305,TODAY()-E305))</f>
        <v/>
      </c>
      <c r="H305" s="29"/>
      <c r="I305" s="33"/>
      <c r="J305" s="32" t="n">
        <f aca="false">IF(OR(D305="",D305="Planned"),0,1)</f>
        <v>0</v>
      </c>
      <c r="K305" s="32" t="n">
        <f aca="false">IF(OR(D305="Under review",D305="Revision requested"),1,0)</f>
        <v>0</v>
      </c>
      <c r="L305" s="32" t="str">
        <f aca="false">IF(AND(J305=1,E305&lt;&gt;""),E305+ROW()/100000,"")</f>
        <v/>
      </c>
      <c r="M305" s="32" t="str">
        <f aca="false">IF(D305="Planned",ROW(),"")</f>
        <v/>
      </c>
      <c r="N305" s="32" t="str">
        <f aca="true">IF(K305=1,IF(E305="",0,TODAY()-E305)+ROW()/100000,"")</f>
        <v/>
      </c>
      <c r="O305" s="32" t="str">
        <f aca="false">IF(N305="","",RANK(N305,$N$2:$N$1000))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4"/>
      <c r="F306" s="34"/>
      <c r="G306" s="35" t="str">
        <f aca="true">IF(OR(E306="",J306=0),"",IF(F306&lt;&gt;"",F306-E306,TODAY()-E306))</f>
        <v/>
      </c>
      <c r="H306" s="29"/>
      <c r="I306" s="33"/>
      <c r="J306" s="32" t="n">
        <f aca="false">IF(OR(D306="",D306="Planned"),0,1)</f>
        <v>0</v>
      </c>
      <c r="K306" s="32" t="n">
        <f aca="false">IF(OR(D306="Under review",D306="Revision requested"),1,0)</f>
        <v>0</v>
      </c>
      <c r="L306" s="32" t="str">
        <f aca="false">IF(AND(J306=1,E306&lt;&gt;""),E306+ROW()/100000,"")</f>
        <v/>
      </c>
      <c r="M306" s="32" t="str">
        <f aca="false">IF(D306="Planned",ROW(),"")</f>
        <v/>
      </c>
      <c r="N306" s="32" t="str">
        <f aca="true">IF(K306=1,IF(E306="",0,TODAY()-E306)+ROW()/100000,"")</f>
        <v/>
      </c>
      <c r="O306" s="32" t="str">
        <f aca="false">IF(N306="","",RANK(N306,$N$2:$N$1000))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4"/>
      <c r="F307" s="34"/>
      <c r="G307" s="35" t="str">
        <f aca="true">IF(OR(E307="",J307=0),"",IF(F307&lt;&gt;"",F307-E307,TODAY()-E307))</f>
        <v/>
      </c>
      <c r="H307" s="29"/>
      <c r="I307" s="33"/>
      <c r="J307" s="32" t="n">
        <f aca="false">IF(OR(D307="",D307="Planned"),0,1)</f>
        <v>0</v>
      </c>
      <c r="K307" s="32" t="n">
        <f aca="false">IF(OR(D307="Under review",D307="Revision requested"),1,0)</f>
        <v>0</v>
      </c>
      <c r="L307" s="32" t="str">
        <f aca="false">IF(AND(J307=1,E307&lt;&gt;""),E307+ROW()/100000,"")</f>
        <v/>
      </c>
      <c r="M307" s="32" t="str">
        <f aca="false">IF(D307="Planned",ROW(),"")</f>
        <v/>
      </c>
      <c r="N307" s="32" t="str">
        <f aca="true">IF(K307=1,IF(E307="",0,TODAY()-E307)+ROW()/100000,"")</f>
        <v/>
      </c>
      <c r="O307" s="32" t="str">
        <f aca="false">IF(N307="","",RANK(N307,$N$2:$N$1000))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4"/>
      <c r="F308" s="34"/>
      <c r="G308" s="35" t="str">
        <f aca="true">IF(OR(E308="",J308=0),"",IF(F308&lt;&gt;"",F308-E308,TODAY()-E308))</f>
        <v/>
      </c>
      <c r="H308" s="29"/>
      <c r="I308" s="33"/>
      <c r="J308" s="32" t="n">
        <f aca="false">IF(OR(D308="",D308="Planned"),0,1)</f>
        <v>0</v>
      </c>
      <c r="K308" s="32" t="n">
        <f aca="false">IF(OR(D308="Under review",D308="Revision requested"),1,0)</f>
        <v>0</v>
      </c>
      <c r="L308" s="32" t="str">
        <f aca="false">IF(AND(J308=1,E308&lt;&gt;""),E308+ROW()/100000,"")</f>
        <v/>
      </c>
      <c r="M308" s="32" t="str">
        <f aca="false">IF(D308="Planned",ROW(),"")</f>
        <v/>
      </c>
      <c r="N308" s="32" t="str">
        <f aca="true">IF(K308=1,IF(E308="",0,TODAY()-E308)+ROW()/100000,"")</f>
        <v/>
      </c>
      <c r="O308" s="32" t="str">
        <f aca="false">IF(N308="","",RANK(N308,$N$2:$N$1000))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4"/>
      <c r="F309" s="34"/>
      <c r="G309" s="35" t="str">
        <f aca="true">IF(OR(E309="",J309=0),"",IF(F309&lt;&gt;"",F309-E309,TODAY()-E309))</f>
        <v/>
      </c>
      <c r="H309" s="29"/>
      <c r="I309" s="33"/>
      <c r="J309" s="32" t="n">
        <f aca="false">IF(OR(D309="",D309="Planned"),0,1)</f>
        <v>0</v>
      </c>
      <c r="K309" s="32" t="n">
        <f aca="false">IF(OR(D309="Under review",D309="Revision requested"),1,0)</f>
        <v>0</v>
      </c>
      <c r="L309" s="32" t="str">
        <f aca="false">IF(AND(J309=1,E309&lt;&gt;""),E309+ROW()/100000,"")</f>
        <v/>
      </c>
      <c r="M309" s="32" t="str">
        <f aca="false">IF(D309="Planned",ROW(),"")</f>
        <v/>
      </c>
      <c r="N309" s="32" t="str">
        <f aca="true">IF(K309=1,IF(E309="",0,TODAY()-E309)+ROW()/100000,"")</f>
        <v/>
      </c>
      <c r="O309" s="32" t="str">
        <f aca="false">IF(N309="","",RANK(N309,$N$2:$N$1000))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4"/>
      <c r="F310" s="34"/>
      <c r="G310" s="35" t="str">
        <f aca="true">IF(OR(E310="",J310=0),"",IF(F310&lt;&gt;"",F310-E310,TODAY()-E310))</f>
        <v/>
      </c>
      <c r="H310" s="29"/>
      <c r="I310" s="33"/>
      <c r="J310" s="32" t="n">
        <f aca="false">IF(OR(D310="",D310="Planned"),0,1)</f>
        <v>0</v>
      </c>
      <c r="K310" s="32" t="n">
        <f aca="false">IF(OR(D310="Under review",D310="Revision requested"),1,0)</f>
        <v>0</v>
      </c>
      <c r="L310" s="32" t="str">
        <f aca="false">IF(AND(J310=1,E310&lt;&gt;""),E310+ROW()/100000,"")</f>
        <v/>
      </c>
      <c r="M310" s="32" t="str">
        <f aca="false">IF(D310="Planned",ROW(),"")</f>
        <v/>
      </c>
      <c r="N310" s="32" t="str">
        <f aca="true">IF(K310=1,IF(E310="",0,TODAY()-E310)+ROW()/100000,"")</f>
        <v/>
      </c>
      <c r="O310" s="32" t="str">
        <f aca="false">IF(N310="","",RANK(N310,$N$2:$N$1000))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4"/>
      <c r="F311" s="34"/>
      <c r="G311" s="35" t="str">
        <f aca="true">IF(OR(E311="",J311=0),"",IF(F311&lt;&gt;"",F311-E311,TODAY()-E311))</f>
        <v/>
      </c>
      <c r="H311" s="29"/>
      <c r="I311" s="33"/>
      <c r="J311" s="32" t="n">
        <f aca="false">IF(OR(D311="",D311="Planned"),0,1)</f>
        <v>0</v>
      </c>
      <c r="K311" s="32" t="n">
        <f aca="false">IF(OR(D311="Under review",D311="Revision requested"),1,0)</f>
        <v>0</v>
      </c>
      <c r="L311" s="32" t="str">
        <f aca="false">IF(AND(J311=1,E311&lt;&gt;""),E311+ROW()/100000,"")</f>
        <v/>
      </c>
      <c r="M311" s="32" t="str">
        <f aca="false">IF(D311="Planned",ROW(),"")</f>
        <v/>
      </c>
      <c r="N311" s="32" t="str">
        <f aca="true">IF(K311=1,IF(E311="",0,TODAY()-E311)+ROW()/100000,"")</f>
        <v/>
      </c>
      <c r="O311" s="32" t="str">
        <f aca="false">IF(N311="","",RANK(N311,$N$2:$N$1000))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4"/>
      <c r="F312" s="34"/>
      <c r="G312" s="35" t="str">
        <f aca="true">IF(OR(E312="",J312=0),"",IF(F312&lt;&gt;"",F312-E312,TODAY()-E312))</f>
        <v/>
      </c>
      <c r="H312" s="29"/>
      <c r="I312" s="33"/>
      <c r="J312" s="32" t="n">
        <f aca="false">IF(OR(D312="",D312="Planned"),0,1)</f>
        <v>0</v>
      </c>
      <c r="K312" s="32" t="n">
        <f aca="false">IF(OR(D312="Under review",D312="Revision requested"),1,0)</f>
        <v>0</v>
      </c>
      <c r="L312" s="32" t="str">
        <f aca="false">IF(AND(J312=1,E312&lt;&gt;""),E312+ROW()/100000,"")</f>
        <v/>
      </c>
      <c r="M312" s="32" t="str">
        <f aca="false">IF(D312="Planned",ROW(),"")</f>
        <v/>
      </c>
      <c r="N312" s="32" t="str">
        <f aca="true">IF(K312=1,IF(E312="",0,TODAY()-E312)+ROW()/100000,"")</f>
        <v/>
      </c>
      <c r="O312" s="32" t="str">
        <f aca="false">IF(N312="","",RANK(N312,$N$2:$N$1000))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4"/>
      <c r="F313" s="34"/>
      <c r="G313" s="35" t="str">
        <f aca="true">IF(OR(E313="",J313=0),"",IF(F313&lt;&gt;"",F313-E313,TODAY()-E313))</f>
        <v/>
      </c>
      <c r="H313" s="29"/>
      <c r="I313" s="33"/>
      <c r="J313" s="32" t="n">
        <f aca="false">IF(OR(D313="",D313="Planned"),0,1)</f>
        <v>0</v>
      </c>
      <c r="K313" s="32" t="n">
        <f aca="false">IF(OR(D313="Under review",D313="Revision requested"),1,0)</f>
        <v>0</v>
      </c>
      <c r="L313" s="32" t="str">
        <f aca="false">IF(AND(J313=1,E313&lt;&gt;""),E313+ROW()/100000,"")</f>
        <v/>
      </c>
      <c r="M313" s="32" t="str">
        <f aca="false">IF(D313="Planned",ROW(),"")</f>
        <v/>
      </c>
      <c r="N313" s="32" t="str">
        <f aca="true">IF(K313=1,IF(E313="",0,TODAY()-E313)+ROW()/100000,"")</f>
        <v/>
      </c>
      <c r="O313" s="32" t="str">
        <f aca="false">IF(N313="","",RANK(N313,$N$2:$N$1000))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4"/>
      <c r="F314" s="34"/>
      <c r="G314" s="35" t="str">
        <f aca="true">IF(OR(E314="",J314=0),"",IF(F314&lt;&gt;"",F314-E314,TODAY()-E314))</f>
        <v/>
      </c>
      <c r="H314" s="29"/>
      <c r="I314" s="33"/>
      <c r="J314" s="32" t="n">
        <f aca="false">IF(OR(D314="",D314="Planned"),0,1)</f>
        <v>0</v>
      </c>
      <c r="K314" s="32" t="n">
        <f aca="false">IF(OR(D314="Under review",D314="Revision requested"),1,0)</f>
        <v>0</v>
      </c>
      <c r="L314" s="32" t="str">
        <f aca="false">IF(AND(J314=1,E314&lt;&gt;""),E314+ROW()/100000,"")</f>
        <v/>
      </c>
      <c r="M314" s="32" t="str">
        <f aca="false">IF(D314="Planned",ROW(),"")</f>
        <v/>
      </c>
      <c r="N314" s="32" t="str">
        <f aca="true">IF(K314=1,IF(E314="",0,TODAY()-E314)+ROW()/100000,"")</f>
        <v/>
      </c>
      <c r="O314" s="32" t="str">
        <f aca="false">IF(N314="","",RANK(N314,$N$2:$N$1000))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4"/>
      <c r="F315" s="34"/>
      <c r="G315" s="35" t="str">
        <f aca="true">IF(OR(E315="",J315=0),"",IF(F315&lt;&gt;"",F315-E315,TODAY()-E315))</f>
        <v/>
      </c>
      <c r="H315" s="29"/>
      <c r="I315" s="33"/>
      <c r="J315" s="32" t="n">
        <f aca="false">IF(OR(D315="",D315="Planned"),0,1)</f>
        <v>0</v>
      </c>
      <c r="K315" s="32" t="n">
        <f aca="false">IF(OR(D315="Under review",D315="Revision requested"),1,0)</f>
        <v>0</v>
      </c>
      <c r="L315" s="32" t="str">
        <f aca="false">IF(AND(J315=1,E315&lt;&gt;""),E315+ROW()/100000,"")</f>
        <v/>
      </c>
      <c r="M315" s="32" t="str">
        <f aca="false">IF(D315="Planned",ROW(),"")</f>
        <v/>
      </c>
      <c r="N315" s="32" t="str">
        <f aca="true">IF(K315=1,IF(E315="",0,TODAY()-E315)+ROW()/100000,"")</f>
        <v/>
      </c>
      <c r="O315" s="32" t="str">
        <f aca="false">IF(N315="","",RANK(N315,$N$2:$N$1000))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4"/>
      <c r="F316" s="34"/>
      <c r="G316" s="35" t="str">
        <f aca="true">IF(OR(E316="",J316=0),"",IF(F316&lt;&gt;"",F316-E316,TODAY()-E316))</f>
        <v/>
      </c>
      <c r="H316" s="29"/>
      <c r="I316" s="33"/>
      <c r="J316" s="32" t="n">
        <f aca="false">IF(OR(D316="",D316="Planned"),0,1)</f>
        <v>0</v>
      </c>
      <c r="K316" s="32" t="n">
        <f aca="false">IF(OR(D316="Under review",D316="Revision requested"),1,0)</f>
        <v>0</v>
      </c>
      <c r="L316" s="32" t="str">
        <f aca="false">IF(AND(J316=1,E316&lt;&gt;""),E316+ROW()/100000,"")</f>
        <v/>
      </c>
      <c r="M316" s="32" t="str">
        <f aca="false">IF(D316="Planned",ROW(),"")</f>
        <v/>
      </c>
      <c r="N316" s="32" t="str">
        <f aca="true">IF(K316=1,IF(E316="",0,TODAY()-E316)+ROW()/100000,"")</f>
        <v/>
      </c>
      <c r="O316" s="32" t="str">
        <f aca="false">IF(N316="","",RANK(N316,$N$2:$N$1000))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4"/>
      <c r="F317" s="34"/>
      <c r="G317" s="35" t="str">
        <f aca="true">IF(OR(E317="",J317=0),"",IF(F317&lt;&gt;"",F317-E317,TODAY()-E317))</f>
        <v/>
      </c>
      <c r="H317" s="29"/>
      <c r="I317" s="33"/>
      <c r="J317" s="32" t="n">
        <f aca="false">IF(OR(D317="",D317="Planned"),0,1)</f>
        <v>0</v>
      </c>
      <c r="K317" s="32" t="n">
        <f aca="false">IF(OR(D317="Under review",D317="Revision requested"),1,0)</f>
        <v>0</v>
      </c>
      <c r="L317" s="32" t="str">
        <f aca="false">IF(AND(J317=1,E317&lt;&gt;""),E317+ROW()/100000,"")</f>
        <v/>
      </c>
      <c r="M317" s="32" t="str">
        <f aca="false">IF(D317="Planned",ROW(),"")</f>
        <v/>
      </c>
      <c r="N317" s="32" t="str">
        <f aca="true">IF(K317=1,IF(E317="",0,TODAY()-E317)+ROW()/100000,"")</f>
        <v/>
      </c>
      <c r="O317" s="32" t="str">
        <f aca="false">IF(N317="","",RANK(N317,$N$2:$N$1000))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4"/>
      <c r="F318" s="34"/>
      <c r="G318" s="35" t="str">
        <f aca="true">IF(OR(E318="",J318=0),"",IF(F318&lt;&gt;"",F318-E318,TODAY()-E318))</f>
        <v/>
      </c>
      <c r="H318" s="29"/>
      <c r="I318" s="33"/>
      <c r="J318" s="32" t="n">
        <f aca="false">IF(OR(D318="",D318="Planned"),0,1)</f>
        <v>0</v>
      </c>
      <c r="K318" s="32" t="n">
        <f aca="false">IF(OR(D318="Under review",D318="Revision requested"),1,0)</f>
        <v>0</v>
      </c>
      <c r="L318" s="32" t="str">
        <f aca="false">IF(AND(J318=1,E318&lt;&gt;""),E318+ROW()/100000,"")</f>
        <v/>
      </c>
      <c r="M318" s="32" t="str">
        <f aca="false">IF(D318="Planned",ROW(),"")</f>
        <v/>
      </c>
      <c r="N318" s="32" t="str">
        <f aca="true">IF(K318=1,IF(E318="",0,TODAY()-E318)+ROW()/100000,"")</f>
        <v/>
      </c>
      <c r="O318" s="32" t="str">
        <f aca="false">IF(N318="","",RANK(N318,$N$2:$N$1000))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4"/>
      <c r="F319" s="34"/>
      <c r="G319" s="35" t="str">
        <f aca="true">IF(OR(E319="",J319=0),"",IF(F319&lt;&gt;"",F319-E319,TODAY()-E319))</f>
        <v/>
      </c>
      <c r="H319" s="29"/>
      <c r="I319" s="33"/>
      <c r="J319" s="32" t="n">
        <f aca="false">IF(OR(D319="",D319="Planned"),0,1)</f>
        <v>0</v>
      </c>
      <c r="K319" s="32" t="n">
        <f aca="false">IF(OR(D319="Under review",D319="Revision requested"),1,0)</f>
        <v>0</v>
      </c>
      <c r="L319" s="32" t="str">
        <f aca="false">IF(AND(J319=1,E319&lt;&gt;""),E319+ROW()/100000,"")</f>
        <v/>
      </c>
      <c r="M319" s="32" t="str">
        <f aca="false">IF(D319="Planned",ROW(),"")</f>
        <v/>
      </c>
      <c r="N319" s="32" t="str">
        <f aca="true">IF(K319=1,IF(E319="",0,TODAY()-E319)+ROW()/100000,"")</f>
        <v/>
      </c>
      <c r="O319" s="32" t="str">
        <f aca="false">IF(N319="","",RANK(N319,$N$2:$N$1000))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4"/>
      <c r="F320" s="34"/>
      <c r="G320" s="35" t="str">
        <f aca="true">IF(OR(E320="",J320=0),"",IF(F320&lt;&gt;"",F320-E320,TODAY()-E320))</f>
        <v/>
      </c>
      <c r="H320" s="29"/>
      <c r="I320" s="33"/>
      <c r="J320" s="32" t="n">
        <f aca="false">IF(OR(D320="",D320="Planned"),0,1)</f>
        <v>0</v>
      </c>
      <c r="K320" s="32" t="n">
        <f aca="false">IF(OR(D320="Under review",D320="Revision requested"),1,0)</f>
        <v>0</v>
      </c>
      <c r="L320" s="32" t="str">
        <f aca="false">IF(AND(J320=1,E320&lt;&gt;""),E320+ROW()/100000,"")</f>
        <v/>
      </c>
      <c r="M320" s="32" t="str">
        <f aca="false">IF(D320="Planned",ROW(),"")</f>
        <v/>
      </c>
      <c r="N320" s="32" t="str">
        <f aca="true">IF(K320=1,IF(E320="",0,TODAY()-E320)+ROW()/100000,"")</f>
        <v/>
      </c>
      <c r="O320" s="32" t="str">
        <f aca="false">IF(N320="","",RANK(N320,$N$2:$N$1000))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4"/>
      <c r="F321" s="34"/>
      <c r="G321" s="35" t="str">
        <f aca="true">IF(OR(E321="",J321=0),"",IF(F321&lt;&gt;"",F321-E321,TODAY()-E321))</f>
        <v/>
      </c>
      <c r="H321" s="29"/>
      <c r="I321" s="33"/>
      <c r="J321" s="32" t="n">
        <f aca="false">IF(OR(D321="",D321="Planned"),0,1)</f>
        <v>0</v>
      </c>
      <c r="K321" s="32" t="n">
        <f aca="false">IF(OR(D321="Under review",D321="Revision requested"),1,0)</f>
        <v>0</v>
      </c>
      <c r="L321" s="32" t="str">
        <f aca="false">IF(AND(J321=1,E321&lt;&gt;""),E321+ROW()/100000,"")</f>
        <v/>
      </c>
      <c r="M321" s="32" t="str">
        <f aca="false">IF(D321="Planned",ROW(),"")</f>
        <v/>
      </c>
      <c r="N321" s="32" t="str">
        <f aca="true">IF(K321=1,IF(E321="",0,TODAY()-E321)+ROW()/100000,"")</f>
        <v/>
      </c>
      <c r="O321" s="32" t="str">
        <f aca="false">IF(N321="","",RANK(N321,$N$2:$N$1000))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4"/>
      <c r="F322" s="34"/>
      <c r="G322" s="35" t="str">
        <f aca="true">IF(OR(E322="",J322=0),"",IF(F322&lt;&gt;"",F322-E322,TODAY()-E322))</f>
        <v/>
      </c>
      <c r="H322" s="29"/>
      <c r="I322" s="33"/>
      <c r="J322" s="32" t="n">
        <f aca="false">IF(OR(D322="",D322="Planned"),0,1)</f>
        <v>0</v>
      </c>
      <c r="K322" s="32" t="n">
        <f aca="false">IF(OR(D322="Under review",D322="Revision requested"),1,0)</f>
        <v>0</v>
      </c>
      <c r="L322" s="32" t="str">
        <f aca="false">IF(AND(J322=1,E322&lt;&gt;""),E322+ROW()/100000,"")</f>
        <v/>
      </c>
      <c r="M322" s="32" t="str">
        <f aca="false">IF(D322="Planned",ROW(),"")</f>
        <v/>
      </c>
      <c r="N322" s="32" t="str">
        <f aca="true">IF(K322=1,IF(E322="",0,TODAY()-E322)+ROW()/100000,"")</f>
        <v/>
      </c>
      <c r="O322" s="32" t="str">
        <f aca="false">IF(N322="","",RANK(N322,$N$2:$N$1000))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4"/>
      <c r="F323" s="34"/>
      <c r="G323" s="35" t="str">
        <f aca="true">IF(OR(E323="",J323=0),"",IF(F323&lt;&gt;"",F323-E323,TODAY()-E323))</f>
        <v/>
      </c>
      <c r="H323" s="29"/>
      <c r="I323" s="33"/>
      <c r="J323" s="32" t="n">
        <f aca="false">IF(OR(D323="",D323="Planned"),0,1)</f>
        <v>0</v>
      </c>
      <c r="K323" s="32" t="n">
        <f aca="false">IF(OR(D323="Under review",D323="Revision requested"),1,0)</f>
        <v>0</v>
      </c>
      <c r="L323" s="32" t="str">
        <f aca="false">IF(AND(J323=1,E323&lt;&gt;""),E323+ROW()/100000,"")</f>
        <v/>
      </c>
      <c r="M323" s="32" t="str">
        <f aca="false">IF(D323="Planned",ROW(),"")</f>
        <v/>
      </c>
      <c r="N323" s="32" t="str">
        <f aca="true">IF(K323=1,IF(E323="",0,TODAY()-E323)+ROW()/100000,"")</f>
        <v/>
      </c>
      <c r="O323" s="32" t="str">
        <f aca="false">IF(N323="","",RANK(N323,$N$2:$N$1000))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4"/>
      <c r="F324" s="34"/>
      <c r="G324" s="35" t="str">
        <f aca="true">IF(OR(E324="",J324=0),"",IF(F324&lt;&gt;"",F324-E324,TODAY()-E324))</f>
        <v/>
      </c>
      <c r="H324" s="29"/>
      <c r="I324" s="33"/>
      <c r="J324" s="32" t="n">
        <f aca="false">IF(OR(D324="",D324="Planned"),0,1)</f>
        <v>0</v>
      </c>
      <c r="K324" s="32" t="n">
        <f aca="false">IF(OR(D324="Under review",D324="Revision requested"),1,0)</f>
        <v>0</v>
      </c>
      <c r="L324" s="32" t="str">
        <f aca="false">IF(AND(J324=1,E324&lt;&gt;""),E324+ROW()/100000,"")</f>
        <v/>
      </c>
      <c r="M324" s="32" t="str">
        <f aca="false">IF(D324="Planned",ROW(),"")</f>
        <v/>
      </c>
      <c r="N324" s="32" t="str">
        <f aca="true">IF(K324=1,IF(E324="",0,TODAY()-E324)+ROW()/100000,"")</f>
        <v/>
      </c>
      <c r="O324" s="32" t="str">
        <f aca="false">IF(N324="","",RANK(N324,$N$2:$N$1000))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4"/>
      <c r="F325" s="34"/>
      <c r="G325" s="35" t="str">
        <f aca="true">IF(OR(E325="",J325=0),"",IF(F325&lt;&gt;"",F325-E325,TODAY()-E325))</f>
        <v/>
      </c>
      <c r="H325" s="29"/>
      <c r="I325" s="33"/>
      <c r="J325" s="32" t="n">
        <f aca="false">IF(OR(D325="",D325="Planned"),0,1)</f>
        <v>0</v>
      </c>
      <c r="K325" s="32" t="n">
        <f aca="false">IF(OR(D325="Under review",D325="Revision requested"),1,0)</f>
        <v>0</v>
      </c>
      <c r="L325" s="32" t="str">
        <f aca="false">IF(AND(J325=1,E325&lt;&gt;""),E325+ROW()/100000,"")</f>
        <v/>
      </c>
      <c r="M325" s="32" t="str">
        <f aca="false">IF(D325="Planned",ROW(),"")</f>
        <v/>
      </c>
      <c r="N325" s="32" t="str">
        <f aca="true">IF(K325=1,IF(E325="",0,TODAY()-E325)+ROW()/100000,"")</f>
        <v/>
      </c>
      <c r="O325" s="32" t="str">
        <f aca="false">IF(N325="","",RANK(N325,$N$2:$N$1000))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4"/>
      <c r="F326" s="34"/>
      <c r="G326" s="35" t="str">
        <f aca="true">IF(OR(E326="",J326=0),"",IF(F326&lt;&gt;"",F326-E326,TODAY()-E326))</f>
        <v/>
      </c>
      <c r="H326" s="29"/>
      <c r="I326" s="33"/>
      <c r="J326" s="32" t="n">
        <f aca="false">IF(OR(D326="",D326="Planned"),0,1)</f>
        <v>0</v>
      </c>
      <c r="K326" s="32" t="n">
        <f aca="false">IF(OR(D326="Under review",D326="Revision requested"),1,0)</f>
        <v>0</v>
      </c>
      <c r="L326" s="32" t="str">
        <f aca="false">IF(AND(J326=1,E326&lt;&gt;""),E326+ROW()/100000,"")</f>
        <v/>
      </c>
      <c r="M326" s="32" t="str">
        <f aca="false">IF(D326="Planned",ROW(),"")</f>
        <v/>
      </c>
      <c r="N326" s="32" t="str">
        <f aca="true">IF(K326=1,IF(E326="",0,TODAY()-E326)+ROW()/100000,"")</f>
        <v/>
      </c>
      <c r="O326" s="32" t="str">
        <f aca="false">IF(N326="","",RANK(N326,$N$2:$N$1000))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4"/>
      <c r="F327" s="34"/>
      <c r="G327" s="35" t="str">
        <f aca="true">IF(OR(E327="",J327=0),"",IF(F327&lt;&gt;"",F327-E327,TODAY()-E327))</f>
        <v/>
      </c>
      <c r="H327" s="29"/>
      <c r="I327" s="33"/>
      <c r="J327" s="32" t="n">
        <f aca="false">IF(OR(D327="",D327="Planned"),0,1)</f>
        <v>0</v>
      </c>
      <c r="K327" s="32" t="n">
        <f aca="false">IF(OR(D327="Under review",D327="Revision requested"),1,0)</f>
        <v>0</v>
      </c>
      <c r="L327" s="32" t="str">
        <f aca="false">IF(AND(J327=1,E327&lt;&gt;""),E327+ROW()/100000,"")</f>
        <v/>
      </c>
      <c r="M327" s="32" t="str">
        <f aca="false">IF(D327="Planned",ROW(),"")</f>
        <v/>
      </c>
      <c r="N327" s="32" t="str">
        <f aca="true">IF(K327=1,IF(E327="",0,TODAY()-E327)+ROW()/100000,"")</f>
        <v/>
      </c>
      <c r="O327" s="32" t="str">
        <f aca="false">IF(N327="","",RANK(N327,$N$2:$N$1000))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4"/>
      <c r="F328" s="34"/>
      <c r="G328" s="35" t="str">
        <f aca="true">IF(OR(E328="",J328=0),"",IF(F328&lt;&gt;"",F328-E328,TODAY()-E328))</f>
        <v/>
      </c>
      <c r="H328" s="29"/>
      <c r="I328" s="33"/>
      <c r="J328" s="32" t="n">
        <f aca="false">IF(OR(D328="",D328="Planned"),0,1)</f>
        <v>0</v>
      </c>
      <c r="K328" s="32" t="n">
        <f aca="false">IF(OR(D328="Under review",D328="Revision requested"),1,0)</f>
        <v>0</v>
      </c>
      <c r="L328" s="32" t="str">
        <f aca="false">IF(AND(J328=1,E328&lt;&gt;""),E328+ROW()/100000,"")</f>
        <v/>
      </c>
      <c r="M328" s="32" t="str">
        <f aca="false">IF(D328="Planned",ROW(),"")</f>
        <v/>
      </c>
      <c r="N328" s="32" t="str">
        <f aca="true">IF(K328=1,IF(E328="",0,TODAY()-E328)+ROW()/100000,"")</f>
        <v/>
      </c>
      <c r="O328" s="32" t="str">
        <f aca="false">IF(N328="","",RANK(N328,$N$2:$N$1000))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4"/>
      <c r="F329" s="34"/>
      <c r="G329" s="35" t="str">
        <f aca="true">IF(OR(E329="",J329=0),"",IF(F329&lt;&gt;"",F329-E329,TODAY()-E329))</f>
        <v/>
      </c>
      <c r="H329" s="29"/>
      <c r="I329" s="33"/>
      <c r="J329" s="32" t="n">
        <f aca="false">IF(OR(D329="",D329="Planned"),0,1)</f>
        <v>0</v>
      </c>
      <c r="K329" s="32" t="n">
        <f aca="false">IF(OR(D329="Under review",D329="Revision requested"),1,0)</f>
        <v>0</v>
      </c>
      <c r="L329" s="32" t="str">
        <f aca="false">IF(AND(J329=1,E329&lt;&gt;""),E329+ROW()/100000,"")</f>
        <v/>
      </c>
      <c r="M329" s="32" t="str">
        <f aca="false">IF(D329="Planned",ROW(),"")</f>
        <v/>
      </c>
      <c r="N329" s="32" t="str">
        <f aca="true">IF(K329=1,IF(E329="",0,TODAY()-E329)+ROW()/100000,"")</f>
        <v/>
      </c>
      <c r="O329" s="32" t="str">
        <f aca="false">IF(N329="","",RANK(N329,$N$2:$N$1000))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4"/>
      <c r="F330" s="34"/>
      <c r="G330" s="35" t="str">
        <f aca="true">IF(OR(E330="",J330=0),"",IF(F330&lt;&gt;"",F330-E330,TODAY()-E330))</f>
        <v/>
      </c>
      <c r="H330" s="29"/>
      <c r="I330" s="33"/>
      <c r="J330" s="32" t="n">
        <f aca="false">IF(OR(D330="",D330="Planned"),0,1)</f>
        <v>0</v>
      </c>
      <c r="K330" s="32" t="n">
        <f aca="false">IF(OR(D330="Under review",D330="Revision requested"),1,0)</f>
        <v>0</v>
      </c>
      <c r="L330" s="32" t="str">
        <f aca="false">IF(AND(J330=1,E330&lt;&gt;""),E330+ROW()/100000,"")</f>
        <v/>
      </c>
      <c r="M330" s="32" t="str">
        <f aca="false">IF(D330="Planned",ROW(),"")</f>
        <v/>
      </c>
      <c r="N330" s="32" t="str">
        <f aca="true">IF(K330=1,IF(E330="",0,TODAY()-E330)+ROW()/100000,"")</f>
        <v/>
      </c>
      <c r="O330" s="32" t="str">
        <f aca="false">IF(N330="","",RANK(N330,$N$2:$N$1000))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4"/>
      <c r="F331" s="34"/>
      <c r="G331" s="35" t="str">
        <f aca="true">IF(OR(E331="",J331=0),"",IF(F331&lt;&gt;"",F331-E331,TODAY()-E331))</f>
        <v/>
      </c>
      <c r="H331" s="29"/>
      <c r="I331" s="33"/>
      <c r="J331" s="32" t="n">
        <f aca="false">IF(OR(D331="",D331="Planned"),0,1)</f>
        <v>0</v>
      </c>
      <c r="K331" s="32" t="n">
        <f aca="false">IF(OR(D331="Under review",D331="Revision requested"),1,0)</f>
        <v>0</v>
      </c>
      <c r="L331" s="32" t="str">
        <f aca="false">IF(AND(J331=1,E331&lt;&gt;""),E331+ROW()/100000,"")</f>
        <v/>
      </c>
      <c r="M331" s="32" t="str">
        <f aca="false">IF(D331="Planned",ROW(),"")</f>
        <v/>
      </c>
      <c r="N331" s="32" t="str">
        <f aca="true">IF(K331=1,IF(E331="",0,TODAY()-E331)+ROW()/100000,"")</f>
        <v/>
      </c>
      <c r="O331" s="32" t="str">
        <f aca="false">IF(N331="","",RANK(N331,$N$2:$N$1000))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4"/>
      <c r="F332" s="34"/>
      <c r="G332" s="35" t="str">
        <f aca="true">IF(OR(E332="",J332=0),"",IF(F332&lt;&gt;"",F332-E332,TODAY()-E332))</f>
        <v/>
      </c>
      <c r="H332" s="29"/>
      <c r="I332" s="33"/>
      <c r="J332" s="32" t="n">
        <f aca="false">IF(OR(D332="",D332="Planned"),0,1)</f>
        <v>0</v>
      </c>
      <c r="K332" s="32" t="n">
        <f aca="false">IF(OR(D332="Under review",D332="Revision requested"),1,0)</f>
        <v>0</v>
      </c>
      <c r="L332" s="32" t="str">
        <f aca="false">IF(AND(J332=1,E332&lt;&gt;""),E332+ROW()/100000,"")</f>
        <v/>
      </c>
      <c r="M332" s="32" t="str">
        <f aca="false">IF(D332="Planned",ROW(),"")</f>
        <v/>
      </c>
      <c r="N332" s="32" t="str">
        <f aca="true">IF(K332=1,IF(E332="",0,TODAY()-E332)+ROW()/100000,"")</f>
        <v/>
      </c>
      <c r="O332" s="32" t="str">
        <f aca="false">IF(N332="","",RANK(N332,$N$2:$N$1000))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4"/>
      <c r="F333" s="34"/>
      <c r="G333" s="35" t="str">
        <f aca="true">IF(OR(E333="",J333=0),"",IF(F333&lt;&gt;"",F333-E333,TODAY()-E333))</f>
        <v/>
      </c>
      <c r="H333" s="29"/>
      <c r="I333" s="33"/>
      <c r="J333" s="32" t="n">
        <f aca="false">IF(OR(D333="",D333="Planned"),0,1)</f>
        <v>0</v>
      </c>
      <c r="K333" s="32" t="n">
        <f aca="false">IF(OR(D333="Under review",D333="Revision requested"),1,0)</f>
        <v>0</v>
      </c>
      <c r="L333" s="32" t="str">
        <f aca="false">IF(AND(J333=1,E333&lt;&gt;""),E333+ROW()/100000,"")</f>
        <v/>
      </c>
      <c r="M333" s="32" t="str">
        <f aca="false">IF(D333="Planned",ROW(),"")</f>
        <v/>
      </c>
      <c r="N333" s="32" t="str">
        <f aca="true">IF(K333=1,IF(E333="",0,TODAY()-E333)+ROW()/100000,"")</f>
        <v/>
      </c>
      <c r="O333" s="32" t="str">
        <f aca="false">IF(N333="","",RANK(N333,$N$2:$N$1000))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4"/>
      <c r="F334" s="34"/>
      <c r="G334" s="35" t="str">
        <f aca="true">IF(OR(E334="",J334=0),"",IF(F334&lt;&gt;"",F334-E334,TODAY()-E334))</f>
        <v/>
      </c>
      <c r="H334" s="29"/>
      <c r="I334" s="33"/>
      <c r="J334" s="32" t="n">
        <f aca="false">IF(OR(D334="",D334="Planned"),0,1)</f>
        <v>0</v>
      </c>
      <c r="K334" s="32" t="n">
        <f aca="false">IF(OR(D334="Under review",D334="Revision requested"),1,0)</f>
        <v>0</v>
      </c>
      <c r="L334" s="32" t="str">
        <f aca="false">IF(AND(J334=1,E334&lt;&gt;""),E334+ROW()/100000,"")</f>
        <v/>
      </c>
      <c r="M334" s="32" t="str">
        <f aca="false">IF(D334="Planned",ROW(),"")</f>
        <v/>
      </c>
      <c r="N334" s="32" t="str">
        <f aca="true">IF(K334=1,IF(E334="",0,TODAY()-E334)+ROW()/100000,"")</f>
        <v/>
      </c>
      <c r="O334" s="32" t="str">
        <f aca="false">IF(N334="","",RANK(N334,$N$2:$N$1000))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4"/>
      <c r="F335" s="34"/>
      <c r="G335" s="35" t="str">
        <f aca="true">IF(OR(E335="",J335=0),"",IF(F335&lt;&gt;"",F335-E335,TODAY()-E335))</f>
        <v/>
      </c>
      <c r="H335" s="29"/>
      <c r="I335" s="33"/>
      <c r="J335" s="32" t="n">
        <f aca="false">IF(OR(D335="",D335="Planned"),0,1)</f>
        <v>0</v>
      </c>
      <c r="K335" s="32" t="n">
        <f aca="false">IF(OR(D335="Under review",D335="Revision requested"),1,0)</f>
        <v>0</v>
      </c>
      <c r="L335" s="32" t="str">
        <f aca="false">IF(AND(J335=1,E335&lt;&gt;""),E335+ROW()/100000,"")</f>
        <v/>
      </c>
      <c r="M335" s="32" t="str">
        <f aca="false">IF(D335="Planned",ROW(),"")</f>
        <v/>
      </c>
      <c r="N335" s="32" t="str">
        <f aca="true">IF(K335=1,IF(E335="",0,TODAY()-E335)+ROW()/100000,"")</f>
        <v/>
      </c>
      <c r="O335" s="32" t="str">
        <f aca="false">IF(N335="","",RANK(N335,$N$2:$N$1000))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4"/>
      <c r="F336" s="34"/>
      <c r="G336" s="35" t="str">
        <f aca="true">IF(OR(E336="",J336=0),"",IF(F336&lt;&gt;"",F336-E336,TODAY()-E336))</f>
        <v/>
      </c>
      <c r="H336" s="29"/>
      <c r="I336" s="33"/>
      <c r="J336" s="32" t="n">
        <f aca="false">IF(OR(D336="",D336="Planned"),0,1)</f>
        <v>0</v>
      </c>
      <c r="K336" s="32" t="n">
        <f aca="false">IF(OR(D336="Under review",D336="Revision requested"),1,0)</f>
        <v>0</v>
      </c>
      <c r="L336" s="32" t="str">
        <f aca="false">IF(AND(J336=1,E336&lt;&gt;""),E336+ROW()/100000,"")</f>
        <v/>
      </c>
      <c r="M336" s="32" t="str">
        <f aca="false">IF(D336="Planned",ROW(),"")</f>
        <v/>
      </c>
      <c r="N336" s="32" t="str">
        <f aca="true">IF(K336=1,IF(E336="",0,TODAY()-E336)+ROW()/100000,"")</f>
        <v/>
      </c>
      <c r="O336" s="32" t="str">
        <f aca="false">IF(N336="","",RANK(N336,$N$2:$N$1000))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4"/>
      <c r="F337" s="34"/>
      <c r="G337" s="35" t="str">
        <f aca="true">IF(OR(E337="",J337=0),"",IF(F337&lt;&gt;"",F337-E337,TODAY()-E337))</f>
        <v/>
      </c>
      <c r="H337" s="29"/>
      <c r="I337" s="33"/>
      <c r="J337" s="32" t="n">
        <f aca="false">IF(OR(D337="",D337="Planned"),0,1)</f>
        <v>0</v>
      </c>
      <c r="K337" s="32" t="n">
        <f aca="false">IF(OR(D337="Under review",D337="Revision requested"),1,0)</f>
        <v>0</v>
      </c>
      <c r="L337" s="32" t="str">
        <f aca="false">IF(AND(J337=1,E337&lt;&gt;""),E337+ROW()/100000,"")</f>
        <v/>
      </c>
      <c r="M337" s="32" t="str">
        <f aca="false">IF(D337="Planned",ROW(),"")</f>
        <v/>
      </c>
      <c r="N337" s="32" t="str">
        <f aca="true">IF(K337=1,IF(E337="",0,TODAY()-E337)+ROW()/100000,"")</f>
        <v/>
      </c>
      <c r="O337" s="32" t="str">
        <f aca="false">IF(N337="","",RANK(N337,$N$2:$N$1000))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4"/>
      <c r="F338" s="34"/>
      <c r="G338" s="35" t="str">
        <f aca="true">IF(OR(E338="",J338=0),"",IF(F338&lt;&gt;"",F338-E338,TODAY()-E338))</f>
        <v/>
      </c>
      <c r="H338" s="29"/>
      <c r="I338" s="33"/>
      <c r="J338" s="32" t="n">
        <f aca="false">IF(OR(D338="",D338="Planned"),0,1)</f>
        <v>0</v>
      </c>
      <c r="K338" s="32" t="n">
        <f aca="false">IF(OR(D338="Under review",D338="Revision requested"),1,0)</f>
        <v>0</v>
      </c>
      <c r="L338" s="32" t="str">
        <f aca="false">IF(AND(J338=1,E338&lt;&gt;""),E338+ROW()/100000,"")</f>
        <v/>
      </c>
      <c r="M338" s="32" t="str">
        <f aca="false">IF(D338="Planned",ROW(),"")</f>
        <v/>
      </c>
      <c r="N338" s="32" t="str">
        <f aca="true">IF(K338=1,IF(E338="",0,TODAY()-E338)+ROW()/100000,"")</f>
        <v/>
      </c>
      <c r="O338" s="32" t="str">
        <f aca="false">IF(N338="","",RANK(N338,$N$2:$N$1000))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4"/>
      <c r="F339" s="34"/>
      <c r="G339" s="35" t="str">
        <f aca="true">IF(OR(E339="",J339=0),"",IF(F339&lt;&gt;"",F339-E339,TODAY()-E339))</f>
        <v/>
      </c>
      <c r="H339" s="29"/>
      <c r="I339" s="33"/>
      <c r="J339" s="32" t="n">
        <f aca="false">IF(OR(D339="",D339="Planned"),0,1)</f>
        <v>0</v>
      </c>
      <c r="K339" s="32" t="n">
        <f aca="false">IF(OR(D339="Under review",D339="Revision requested"),1,0)</f>
        <v>0</v>
      </c>
      <c r="L339" s="32" t="str">
        <f aca="false">IF(AND(J339=1,E339&lt;&gt;""),E339+ROW()/100000,"")</f>
        <v/>
      </c>
      <c r="M339" s="32" t="str">
        <f aca="false">IF(D339="Planned",ROW(),"")</f>
        <v/>
      </c>
      <c r="N339" s="32" t="str">
        <f aca="true">IF(K339=1,IF(E339="",0,TODAY()-E339)+ROW()/100000,"")</f>
        <v/>
      </c>
      <c r="O339" s="32" t="str">
        <f aca="false">IF(N339="","",RANK(N339,$N$2:$N$1000))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4"/>
      <c r="F340" s="34"/>
      <c r="G340" s="35" t="str">
        <f aca="true">IF(OR(E340="",J340=0),"",IF(F340&lt;&gt;"",F340-E340,TODAY()-E340))</f>
        <v/>
      </c>
      <c r="H340" s="29"/>
      <c r="I340" s="33"/>
      <c r="J340" s="32" t="n">
        <f aca="false">IF(OR(D340="",D340="Planned"),0,1)</f>
        <v>0</v>
      </c>
      <c r="K340" s="32" t="n">
        <f aca="false">IF(OR(D340="Under review",D340="Revision requested"),1,0)</f>
        <v>0</v>
      </c>
      <c r="L340" s="32" t="str">
        <f aca="false">IF(AND(J340=1,E340&lt;&gt;""),E340+ROW()/100000,"")</f>
        <v/>
      </c>
      <c r="M340" s="32" t="str">
        <f aca="false">IF(D340="Planned",ROW(),"")</f>
        <v/>
      </c>
      <c r="N340" s="32" t="str">
        <f aca="true">IF(K340=1,IF(E340="",0,TODAY()-E340)+ROW()/100000,"")</f>
        <v/>
      </c>
      <c r="O340" s="32" t="str">
        <f aca="false">IF(N340="","",RANK(N340,$N$2:$N$1000))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4"/>
      <c r="F341" s="34"/>
      <c r="G341" s="35" t="str">
        <f aca="true">IF(OR(E341="",J341=0),"",IF(F341&lt;&gt;"",F341-E341,TODAY()-E341))</f>
        <v/>
      </c>
      <c r="H341" s="29"/>
      <c r="I341" s="33"/>
      <c r="J341" s="32" t="n">
        <f aca="false">IF(OR(D341="",D341="Planned"),0,1)</f>
        <v>0</v>
      </c>
      <c r="K341" s="32" t="n">
        <f aca="false">IF(OR(D341="Under review",D341="Revision requested"),1,0)</f>
        <v>0</v>
      </c>
      <c r="L341" s="32" t="str">
        <f aca="false">IF(AND(J341=1,E341&lt;&gt;""),E341+ROW()/100000,"")</f>
        <v/>
      </c>
      <c r="M341" s="32" t="str">
        <f aca="false">IF(D341="Planned",ROW(),"")</f>
        <v/>
      </c>
      <c r="N341" s="32" t="str">
        <f aca="true">IF(K341=1,IF(E341="",0,TODAY()-E341)+ROW()/100000,"")</f>
        <v/>
      </c>
      <c r="O341" s="32" t="str">
        <f aca="false">IF(N341="","",RANK(N341,$N$2:$N$1000))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4"/>
      <c r="F342" s="34"/>
      <c r="G342" s="35" t="str">
        <f aca="true">IF(OR(E342="",J342=0),"",IF(F342&lt;&gt;"",F342-E342,TODAY()-E342))</f>
        <v/>
      </c>
      <c r="H342" s="29"/>
      <c r="I342" s="33"/>
      <c r="J342" s="32" t="n">
        <f aca="false">IF(OR(D342="",D342="Planned"),0,1)</f>
        <v>0</v>
      </c>
      <c r="K342" s="32" t="n">
        <f aca="false">IF(OR(D342="Under review",D342="Revision requested"),1,0)</f>
        <v>0</v>
      </c>
      <c r="L342" s="32" t="str">
        <f aca="false">IF(AND(J342=1,E342&lt;&gt;""),E342+ROW()/100000,"")</f>
        <v/>
      </c>
      <c r="M342" s="32" t="str">
        <f aca="false">IF(D342="Planned",ROW(),"")</f>
        <v/>
      </c>
      <c r="N342" s="32" t="str">
        <f aca="true">IF(K342=1,IF(E342="",0,TODAY()-E342)+ROW()/100000,"")</f>
        <v/>
      </c>
      <c r="O342" s="32" t="str">
        <f aca="false">IF(N342="","",RANK(N342,$N$2:$N$1000))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4"/>
      <c r="F343" s="34"/>
      <c r="G343" s="35" t="str">
        <f aca="true">IF(OR(E343="",J343=0),"",IF(F343&lt;&gt;"",F343-E343,TODAY()-E343))</f>
        <v/>
      </c>
      <c r="H343" s="29"/>
      <c r="I343" s="33"/>
      <c r="J343" s="32" t="n">
        <f aca="false">IF(OR(D343="",D343="Planned"),0,1)</f>
        <v>0</v>
      </c>
      <c r="K343" s="32" t="n">
        <f aca="false">IF(OR(D343="Under review",D343="Revision requested"),1,0)</f>
        <v>0</v>
      </c>
      <c r="L343" s="32" t="str">
        <f aca="false">IF(AND(J343=1,E343&lt;&gt;""),E343+ROW()/100000,"")</f>
        <v/>
      </c>
      <c r="M343" s="32" t="str">
        <f aca="false">IF(D343="Planned",ROW(),"")</f>
        <v/>
      </c>
      <c r="N343" s="32" t="str">
        <f aca="true">IF(K343=1,IF(E343="",0,TODAY()-E343)+ROW()/100000,"")</f>
        <v/>
      </c>
      <c r="O343" s="32" t="str">
        <f aca="false">IF(N343="","",RANK(N343,$N$2:$N$1000))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4"/>
      <c r="F344" s="34"/>
      <c r="G344" s="35" t="str">
        <f aca="true">IF(OR(E344="",J344=0),"",IF(F344&lt;&gt;"",F344-E344,TODAY()-E344))</f>
        <v/>
      </c>
      <c r="H344" s="29"/>
      <c r="I344" s="33"/>
      <c r="J344" s="32" t="n">
        <f aca="false">IF(OR(D344="",D344="Planned"),0,1)</f>
        <v>0</v>
      </c>
      <c r="K344" s="32" t="n">
        <f aca="false">IF(OR(D344="Under review",D344="Revision requested"),1,0)</f>
        <v>0</v>
      </c>
      <c r="L344" s="32" t="str">
        <f aca="false">IF(AND(J344=1,E344&lt;&gt;""),E344+ROW()/100000,"")</f>
        <v/>
      </c>
      <c r="M344" s="32" t="str">
        <f aca="false">IF(D344="Planned",ROW(),"")</f>
        <v/>
      </c>
      <c r="N344" s="32" t="str">
        <f aca="true">IF(K344=1,IF(E344="",0,TODAY()-E344)+ROW()/100000,"")</f>
        <v/>
      </c>
      <c r="O344" s="32" t="str">
        <f aca="false">IF(N344="","",RANK(N344,$N$2:$N$1000))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4"/>
      <c r="F345" s="34"/>
      <c r="G345" s="35" t="str">
        <f aca="true">IF(OR(E345="",J345=0),"",IF(F345&lt;&gt;"",F345-E345,TODAY()-E345))</f>
        <v/>
      </c>
      <c r="H345" s="29"/>
      <c r="I345" s="33"/>
      <c r="J345" s="32" t="n">
        <f aca="false">IF(OR(D345="",D345="Planned"),0,1)</f>
        <v>0</v>
      </c>
      <c r="K345" s="32" t="n">
        <f aca="false">IF(OR(D345="Under review",D345="Revision requested"),1,0)</f>
        <v>0</v>
      </c>
      <c r="L345" s="32" t="str">
        <f aca="false">IF(AND(J345=1,E345&lt;&gt;""),E345+ROW()/100000,"")</f>
        <v/>
      </c>
      <c r="M345" s="32" t="str">
        <f aca="false">IF(D345="Planned",ROW(),"")</f>
        <v/>
      </c>
      <c r="N345" s="32" t="str">
        <f aca="true">IF(K345=1,IF(E345="",0,TODAY()-E345)+ROW()/100000,"")</f>
        <v/>
      </c>
      <c r="O345" s="32" t="str">
        <f aca="false">IF(N345="","",RANK(N345,$N$2:$N$1000))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4"/>
      <c r="F346" s="34"/>
      <c r="G346" s="35" t="str">
        <f aca="true">IF(OR(E346="",J346=0),"",IF(F346&lt;&gt;"",F346-E346,TODAY()-E346))</f>
        <v/>
      </c>
      <c r="H346" s="29"/>
      <c r="I346" s="33"/>
      <c r="J346" s="32" t="n">
        <f aca="false">IF(OR(D346="",D346="Planned"),0,1)</f>
        <v>0</v>
      </c>
      <c r="K346" s="32" t="n">
        <f aca="false">IF(OR(D346="Under review",D346="Revision requested"),1,0)</f>
        <v>0</v>
      </c>
      <c r="L346" s="32" t="str">
        <f aca="false">IF(AND(J346=1,E346&lt;&gt;""),E346+ROW()/100000,"")</f>
        <v/>
      </c>
      <c r="M346" s="32" t="str">
        <f aca="false">IF(D346="Planned",ROW(),"")</f>
        <v/>
      </c>
      <c r="N346" s="32" t="str">
        <f aca="true">IF(K346=1,IF(E346="",0,TODAY()-E346)+ROW()/100000,"")</f>
        <v/>
      </c>
      <c r="O346" s="32" t="str">
        <f aca="false">IF(N346="","",RANK(N346,$N$2:$N$1000))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4"/>
      <c r="F347" s="34"/>
      <c r="G347" s="35" t="str">
        <f aca="true">IF(OR(E347="",J347=0),"",IF(F347&lt;&gt;"",F347-E347,TODAY()-E347))</f>
        <v/>
      </c>
      <c r="H347" s="29"/>
      <c r="I347" s="33"/>
      <c r="J347" s="32" t="n">
        <f aca="false">IF(OR(D347="",D347="Planned"),0,1)</f>
        <v>0</v>
      </c>
      <c r="K347" s="32" t="n">
        <f aca="false">IF(OR(D347="Under review",D347="Revision requested"),1,0)</f>
        <v>0</v>
      </c>
      <c r="L347" s="32" t="str">
        <f aca="false">IF(AND(J347=1,E347&lt;&gt;""),E347+ROW()/100000,"")</f>
        <v/>
      </c>
      <c r="M347" s="32" t="str">
        <f aca="false">IF(D347="Planned",ROW(),"")</f>
        <v/>
      </c>
      <c r="N347" s="32" t="str">
        <f aca="true">IF(K347=1,IF(E347="",0,TODAY()-E347)+ROW()/100000,"")</f>
        <v/>
      </c>
      <c r="O347" s="32" t="str">
        <f aca="false">IF(N347="","",RANK(N347,$N$2:$N$1000))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4"/>
      <c r="F348" s="34"/>
      <c r="G348" s="35" t="str">
        <f aca="true">IF(OR(E348="",J348=0),"",IF(F348&lt;&gt;"",F348-E348,TODAY()-E348))</f>
        <v/>
      </c>
      <c r="H348" s="29"/>
      <c r="I348" s="33"/>
      <c r="J348" s="32" t="n">
        <f aca="false">IF(OR(D348="",D348="Planned"),0,1)</f>
        <v>0</v>
      </c>
      <c r="K348" s="32" t="n">
        <f aca="false">IF(OR(D348="Under review",D348="Revision requested"),1,0)</f>
        <v>0</v>
      </c>
      <c r="L348" s="32" t="str">
        <f aca="false">IF(AND(J348=1,E348&lt;&gt;""),E348+ROW()/100000,"")</f>
        <v/>
      </c>
      <c r="M348" s="32" t="str">
        <f aca="false">IF(D348="Planned",ROW(),"")</f>
        <v/>
      </c>
      <c r="N348" s="32" t="str">
        <f aca="true">IF(K348=1,IF(E348="",0,TODAY()-E348)+ROW()/100000,"")</f>
        <v/>
      </c>
      <c r="O348" s="32" t="str">
        <f aca="false">IF(N348="","",RANK(N348,$N$2:$N$1000))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4"/>
      <c r="F349" s="34"/>
      <c r="G349" s="35" t="str">
        <f aca="true">IF(OR(E349="",J349=0),"",IF(F349&lt;&gt;"",F349-E349,TODAY()-E349))</f>
        <v/>
      </c>
      <c r="H349" s="29"/>
      <c r="I349" s="33"/>
      <c r="J349" s="32" t="n">
        <f aca="false">IF(OR(D349="",D349="Planned"),0,1)</f>
        <v>0</v>
      </c>
      <c r="K349" s="32" t="n">
        <f aca="false">IF(OR(D349="Under review",D349="Revision requested"),1,0)</f>
        <v>0</v>
      </c>
      <c r="L349" s="32" t="str">
        <f aca="false">IF(AND(J349=1,E349&lt;&gt;""),E349+ROW()/100000,"")</f>
        <v/>
      </c>
      <c r="M349" s="32" t="str">
        <f aca="false">IF(D349="Planned",ROW(),"")</f>
        <v/>
      </c>
      <c r="N349" s="32" t="str">
        <f aca="true">IF(K349=1,IF(E349="",0,TODAY()-E349)+ROW()/100000,"")</f>
        <v/>
      </c>
      <c r="O349" s="32" t="str">
        <f aca="false">IF(N349="","",RANK(N349,$N$2:$N$1000))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4"/>
      <c r="F350" s="34"/>
      <c r="G350" s="35" t="str">
        <f aca="true">IF(OR(E350="",J350=0),"",IF(F350&lt;&gt;"",F350-E350,TODAY()-E350))</f>
        <v/>
      </c>
      <c r="H350" s="29"/>
      <c r="I350" s="33"/>
      <c r="J350" s="32" t="n">
        <f aca="false">IF(OR(D350="",D350="Planned"),0,1)</f>
        <v>0</v>
      </c>
      <c r="K350" s="32" t="n">
        <f aca="false">IF(OR(D350="Under review",D350="Revision requested"),1,0)</f>
        <v>0</v>
      </c>
      <c r="L350" s="32" t="str">
        <f aca="false">IF(AND(J350=1,E350&lt;&gt;""),E350+ROW()/100000,"")</f>
        <v/>
      </c>
      <c r="M350" s="32" t="str">
        <f aca="false">IF(D350="Planned",ROW(),"")</f>
        <v/>
      </c>
      <c r="N350" s="32" t="str">
        <f aca="true">IF(K350=1,IF(E350="",0,TODAY()-E350)+ROW()/100000,"")</f>
        <v/>
      </c>
      <c r="O350" s="32" t="str">
        <f aca="false">IF(N350="","",RANK(N350,$N$2:$N$1000))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4"/>
      <c r="F351" s="34"/>
      <c r="G351" s="35" t="str">
        <f aca="true">IF(OR(E351="",J351=0),"",IF(F351&lt;&gt;"",F351-E351,TODAY()-E351))</f>
        <v/>
      </c>
      <c r="H351" s="29"/>
      <c r="I351" s="33"/>
      <c r="J351" s="32" t="n">
        <f aca="false">IF(OR(D351="",D351="Planned"),0,1)</f>
        <v>0</v>
      </c>
      <c r="K351" s="32" t="n">
        <f aca="false">IF(OR(D351="Under review",D351="Revision requested"),1,0)</f>
        <v>0</v>
      </c>
      <c r="L351" s="32" t="str">
        <f aca="false">IF(AND(J351=1,E351&lt;&gt;""),E351+ROW()/100000,"")</f>
        <v/>
      </c>
      <c r="M351" s="32" t="str">
        <f aca="false">IF(D351="Planned",ROW(),"")</f>
        <v/>
      </c>
      <c r="N351" s="32" t="str">
        <f aca="true">IF(K351=1,IF(E351="",0,TODAY()-E351)+ROW()/100000,"")</f>
        <v/>
      </c>
      <c r="O351" s="32" t="str">
        <f aca="false">IF(N351="","",RANK(N351,$N$2:$N$1000))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4"/>
      <c r="F352" s="34"/>
      <c r="G352" s="35" t="str">
        <f aca="true">IF(OR(E352="",J352=0),"",IF(F352&lt;&gt;"",F352-E352,TODAY()-E352))</f>
        <v/>
      </c>
      <c r="H352" s="29"/>
      <c r="I352" s="33"/>
      <c r="J352" s="32" t="n">
        <f aca="false">IF(OR(D352="",D352="Planned"),0,1)</f>
        <v>0</v>
      </c>
      <c r="K352" s="32" t="n">
        <f aca="false">IF(OR(D352="Under review",D352="Revision requested"),1,0)</f>
        <v>0</v>
      </c>
      <c r="L352" s="32" t="str">
        <f aca="false">IF(AND(J352=1,E352&lt;&gt;""),E352+ROW()/100000,"")</f>
        <v/>
      </c>
      <c r="M352" s="32" t="str">
        <f aca="false">IF(D352="Planned",ROW(),"")</f>
        <v/>
      </c>
      <c r="N352" s="32" t="str">
        <f aca="true">IF(K352=1,IF(E352="",0,TODAY()-E352)+ROW()/100000,"")</f>
        <v/>
      </c>
      <c r="O352" s="32" t="str">
        <f aca="false">IF(N352="","",RANK(N352,$N$2:$N$1000))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4"/>
      <c r="F353" s="34"/>
      <c r="G353" s="35" t="str">
        <f aca="true">IF(OR(E353="",J353=0),"",IF(F353&lt;&gt;"",F353-E353,TODAY()-E353))</f>
        <v/>
      </c>
      <c r="H353" s="29"/>
      <c r="I353" s="33"/>
      <c r="J353" s="32" t="n">
        <f aca="false">IF(OR(D353="",D353="Planned"),0,1)</f>
        <v>0</v>
      </c>
      <c r="K353" s="32" t="n">
        <f aca="false">IF(OR(D353="Under review",D353="Revision requested"),1,0)</f>
        <v>0</v>
      </c>
      <c r="L353" s="32" t="str">
        <f aca="false">IF(AND(J353=1,E353&lt;&gt;""),E353+ROW()/100000,"")</f>
        <v/>
      </c>
      <c r="M353" s="32" t="str">
        <f aca="false">IF(D353="Planned",ROW(),"")</f>
        <v/>
      </c>
      <c r="N353" s="32" t="str">
        <f aca="true">IF(K353=1,IF(E353="",0,TODAY()-E353)+ROW()/100000,"")</f>
        <v/>
      </c>
      <c r="O353" s="32" t="str">
        <f aca="false">IF(N353="","",RANK(N353,$N$2:$N$1000))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4"/>
      <c r="F354" s="34"/>
      <c r="G354" s="35" t="str">
        <f aca="true">IF(OR(E354="",J354=0),"",IF(F354&lt;&gt;"",F354-E354,TODAY()-E354))</f>
        <v/>
      </c>
      <c r="H354" s="29"/>
      <c r="I354" s="33"/>
      <c r="J354" s="32" t="n">
        <f aca="false">IF(OR(D354="",D354="Planned"),0,1)</f>
        <v>0</v>
      </c>
      <c r="K354" s="32" t="n">
        <f aca="false">IF(OR(D354="Under review",D354="Revision requested"),1,0)</f>
        <v>0</v>
      </c>
      <c r="L354" s="32" t="str">
        <f aca="false">IF(AND(J354=1,E354&lt;&gt;""),E354+ROW()/100000,"")</f>
        <v/>
      </c>
      <c r="M354" s="32" t="str">
        <f aca="false">IF(D354="Planned",ROW(),"")</f>
        <v/>
      </c>
      <c r="N354" s="32" t="str">
        <f aca="true">IF(K354=1,IF(E354="",0,TODAY()-E354)+ROW()/100000,"")</f>
        <v/>
      </c>
      <c r="O354" s="32" t="str">
        <f aca="false">IF(N354="","",RANK(N354,$N$2:$N$1000))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4"/>
      <c r="F355" s="34"/>
      <c r="G355" s="35" t="str">
        <f aca="true">IF(OR(E355="",J355=0),"",IF(F355&lt;&gt;"",F355-E355,TODAY()-E355))</f>
        <v/>
      </c>
      <c r="H355" s="29"/>
      <c r="I355" s="33"/>
      <c r="J355" s="32" t="n">
        <f aca="false">IF(OR(D355="",D355="Planned"),0,1)</f>
        <v>0</v>
      </c>
      <c r="K355" s="32" t="n">
        <f aca="false">IF(OR(D355="Under review",D355="Revision requested"),1,0)</f>
        <v>0</v>
      </c>
      <c r="L355" s="32" t="str">
        <f aca="false">IF(AND(J355=1,E355&lt;&gt;""),E355+ROW()/100000,"")</f>
        <v/>
      </c>
      <c r="M355" s="32" t="str">
        <f aca="false">IF(D355="Planned",ROW(),"")</f>
        <v/>
      </c>
      <c r="N355" s="32" t="str">
        <f aca="true">IF(K355=1,IF(E355="",0,TODAY()-E355)+ROW()/100000,"")</f>
        <v/>
      </c>
      <c r="O355" s="32" t="str">
        <f aca="false">IF(N355="","",RANK(N355,$N$2:$N$1000))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4"/>
      <c r="F356" s="34"/>
      <c r="G356" s="35" t="str">
        <f aca="true">IF(OR(E356="",J356=0),"",IF(F356&lt;&gt;"",F356-E356,TODAY()-E356))</f>
        <v/>
      </c>
      <c r="H356" s="29"/>
      <c r="I356" s="33"/>
      <c r="J356" s="32" t="n">
        <f aca="false">IF(OR(D356="",D356="Planned"),0,1)</f>
        <v>0</v>
      </c>
      <c r="K356" s="32" t="n">
        <f aca="false">IF(OR(D356="Under review",D356="Revision requested"),1,0)</f>
        <v>0</v>
      </c>
      <c r="L356" s="32" t="str">
        <f aca="false">IF(AND(J356=1,E356&lt;&gt;""),E356+ROW()/100000,"")</f>
        <v/>
      </c>
      <c r="M356" s="32" t="str">
        <f aca="false">IF(D356="Planned",ROW(),"")</f>
        <v/>
      </c>
      <c r="N356" s="32" t="str">
        <f aca="true">IF(K356=1,IF(E356="",0,TODAY()-E356)+ROW()/100000,"")</f>
        <v/>
      </c>
      <c r="O356" s="32" t="str">
        <f aca="false">IF(N356="","",RANK(N356,$N$2:$N$1000))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4"/>
      <c r="F357" s="34"/>
      <c r="G357" s="35" t="str">
        <f aca="true">IF(OR(E357="",J357=0),"",IF(F357&lt;&gt;"",F357-E357,TODAY()-E357))</f>
        <v/>
      </c>
      <c r="H357" s="29"/>
      <c r="I357" s="33"/>
      <c r="J357" s="32" t="n">
        <f aca="false">IF(OR(D357="",D357="Planned"),0,1)</f>
        <v>0</v>
      </c>
      <c r="K357" s="32" t="n">
        <f aca="false">IF(OR(D357="Under review",D357="Revision requested"),1,0)</f>
        <v>0</v>
      </c>
      <c r="L357" s="32" t="str">
        <f aca="false">IF(AND(J357=1,E357&lt;&gt;""),E357+ROW()/100000,"")</f>
        <v/>
      </c>
      <c r="M357" s="32" t="str">
        <f aca="false">IF(D357="Planned",ROW(),"")</f>
        <v/>
      </c>
      <c r="N357" s="32" t="str">
        <f aca="true">IF(K357=1,IF(E357="",0,TODAY()-E357)+ROW()/100000,"")</f>
        <v/>
      </c>
      <c r="O357" s="32" t="str">
        <f aca="false">IF(N357="","",RANK(N357,$N$2:$N$1000))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4"/>
      <c r="F358" s="34"/>
      <c r="G358" s="35" t="str">
        <f aca="true">IF(OR(E358="",J358=0),"",IF(F358&lt;&gt;"",F358-E358,TODAY()-E358))</f>
        <v/>
      </c>
      <c r="H358" s="29"/>
      <c r="I358" s="33"/>
      <c r="J358" s="32" t="n">
        <f aca="false">IF(OR(D358="",D358="Planned"),0,1)</f>
        <v>0</v>
      </c>
      <c r="K358" s="32" t="n">
        <f aca="false">IF(OR(D358="Under review",D358="Revision requested"),1,0)</f>
        <v>0</v>
      </c>
      <c r="L358" s="32" t="str">
        <f aca="false">IF(AND(J358=1,E358&lt;&gt;""),E358+ROW()/100000,"")</f>
        <v/>
      </c>
      <c r="M358" s="32" t="str">
        <f aca="false">IF(D358="Planned",ROW(),"")</f>
        <v/>
      </c>
      <c r="N358" s="32" t="str">
        <f aca="true">IF(K358=1,IF(E358="",0,TODAY()-E358)+ROW()/100000,"")</f>
        <v/>
      </c>
      <c r="O358" s="32" t="str">
        <f aca="false">IF(N358="","",RANK(N358,$N$2:$N$1000))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4"/>
      <c r="F359" s="34"/>
      <c r="G359" s="35" t="str">
        <f aca="true">IF(OR(E359="",J359=0),"",IF(F359&lt;&gt;"",F359-E359,TODAY()-E359))</f>
        <v/>
      </c>
      <c r="H359" s="29"/>
      <c r="I359" s="33"/>
      <c r="J359" s="32" t="n">
        <f aca="false">IF(OR(D359="",D359="Planned"),0,1)</f>
        <v>0</v>
      </c>
      <c r="K359" s="32" t="n">
        <f aca="false">IF(OR(D359="Under review",D359="Revision requested"),1,0)</f>
        <v>0</v>
      </c>
      <c r="L359" s="32" t="str">
        <f aca="false">IF(AND(J359=1,E359&lt;&gt;""),E359+ROW()/100000,"")</f>
        <v/>
      </c>
      <c r="M359" s="32" t="str">
        <f aca="false">IF(D359="Planned",ROW(),"")</f>
        <v/>
      </c>
      <c r="N359" s="32" t="str">
        <f aca="true">IF(K359=1,IF(E359="",0,TODAY()-E359)+ROW()/100000,"")</f>
        <v/>
      </c>
      <c r="O359" s="32" t="str">
        <f aca="false">IF(N359="","",RANK(N359,$N$2:$N$1000))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4"/>
      <c r="F360" s="34"/>
      <c r="G360" s="35" t="str">
        <f aca="true">IF(OR(E360="",J360=0),"",IF(F360&lt;&gt;"",F360-E360,TODAY()-E360))</f>
        <v/>
      </c>
      <c r="H360" s="29"/>
      <c r="I360" s="33"/>
      <c r="J360" s="32" t="n">
        <f aca="false">IF(OR(D360="",D360="Planned"),0,1)</f>
        <v>0</v>
      </c>
      <c r="K360" s="32" t="n">
        <f aca="false">IF(OR(D360="Under review",D360="Revision requested"),1,0)</f>
        <v>0</v>
      </c>
      <c r="L360" s="32" t="str">
        <f aca="false">IF(AND(J360=1,E360&lt;&gt;""),E360+ROW()/100000,"")</f>
        <v/>
      </c>
      <c r="M360" s="32" t="str">
        <f aca="false">IF(D360="Planned",ROW(),"")</f>
        <v/>
      </c>
      <c r="N360" s="32" t="str">
        <f aca="true">IF(K360=1,IF(E360="",0,TODAY()-E360)+ROW()/100000,"")</f>
        <v/>
      </c>
      <c r="O360" s="32" t="str">
        <f aca="false">IF(N360="","",RANK(N360,$N$2:$N$1000))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4"/>
      <c r="F361" s="34"/>
      <c r="G361" s="35" t="str">
        <f aca="true">IF(OR(E361="",J361=0),"",IF(F361&lt;&gt;"",F361-E361,TODAY()-E361))</f>
        <v/>
      </c>
      <c r="H361" s="29"/>
      <c r="I361" s="33"/>
      <c r="J361" s="32" t="n">
        <f aca="false">IF(OR(D361="",D361="Planned"),0,1)</f>
        <v>0</v>
      </c>
      <c r="K361" s="32" t="n">
        <f aca="false">IF(OR(D361="Under review",D361="Revision requested"),1,0)</f>
        <v>0</v>
      </c>
      <c r="L361" s="32" t="str">
        <f aca="false">IF(AND(J361=1,E361&lt;&gt;""),E361+ROW()/100000,"")</f>
        <v/>
      </c>
      <c r="M361" s="32" t="str">
        <f aca="false">IF(D361="Planned",ROW(),"")</f>
        <v/>
      </c>
      <c r="N361" s="32" t="str">
        <f aca="true">IF(K361=1,IF(E361="",0,TODAY()-E361)+ROW()/100000,"")</f>
        <v/>
      </c>
      <c r="O361" s="32" t="str">
        <f aca="false">IF(N361="","",RANK(N361,$N$2:$N$1000))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4"/>
      <c r="F362" s="34"/>
      <c r="G362" s="35" t="str">
        <f aca="true">IF(OR(E362="",J362=0),"",IF(F362&lt;&gt;"",F362-E362,TODAY()-E362))</f>
        <v/>
      </c>
      <c r="H362" s="29"/>
      <c r="I362" s="33"/>
      <c r="J362" s="32" t="n">
        <f aca="false">IF(OR(D362="",D362="Planned"),0,1)</f>
        <v>0</v>
      </c>
      <c r="K362" s="32" t="n">
        <f aca="false">IF(OR(D362="Under review",D362="Revision requested"),1,0)</f>
        <v>0</v>
      </c>
      <c r="L362" s="32" t="str">
        <f aca="false">IF(AND(J362=1,E362&lt;&gt;""),E362+ROW()/100000,"")</f>
        <v/>
      </c>
      <c r="M362" s="32" t="str">
        <f aca="false">IF(D362="Planned",ROW(),"")</f>
        <v/>
      </c>
      <c r="N362" s="32" t="str">
        <f aca="true">IF(K362=1,IF(E362="",0,TODAY()-E362)+ROW()/100000,"")</f>
        <v/>
      </c>
      <c r="O362" s="32" t="str">
        <f aca="false">IF(N362="","",RANK(N362,$N$2:$N$1000))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4"/>
      <c r="F363" s="34"/>
      <c r="G363" s="35" t="str">
        <f aca="true">IF(OR(E363="",J363=0),"",IF(F363&lt;&gt;"",F363-E363,TODAY()-E363))</f>
        <v/>
      </c>
      <c r="H363" s="29"/>
      <c r="I363" s="33"/>
      <c r="J363" s="32" t="n">
        <f aca="false">IF(OR(D363="",D363="Planned"),0,1)</f>
        <v>0</v>
      </c>
      <c r="K363" s="32" t="n">
        <f aca="false">IF(OR(D363="Under review",D363="Revision requested"),1,0)</f>
        <v>0</v>
      </c>
      <c r="L363" s="32" t="str">
        <f aca="false">IF(AND(J363=1,E363&lt;&gt;""),E363+ROW()/100000,"")</f>
        <v/>
      </c>
      <c r="M363" s="32" t="str">
        <f aca="false">IF(D363="Planned",ROW(),"")</f>
        <v/>
      </c>
      <c r="N363" s="32" t="str">
        <f aca="true">IF(K363=1,IF(E363="",0,TODAY()-E363)+ROW()/100000,"")</f>
        <v/>
      </c>
      <c r="O363" s="32" t="str">
        <f aca="false">IF(N363="","",RANK(N363,$N$2:$N$1000))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4"/>
      <c r="F364" s="34"/>
      <c r="G364" s="35" t="str">
        <f aca="true">IF(OR(E364="",J364=0),"",IF(F364&lt;&gt;"",F364-E364,TODAY()-E364))</f>
        <v/>
      </c>
      <c r="H364" s="29"/>
      <c r="I364" s="33"/>
      <c r="J364" s="32" t="n">
        <f aca="false">IF(OR(D364="",D364="Planned"),0,1)</f>
        <v>0</v>
      </c>
      <c r="K364" s="32" t="n">
        <f aca="false">IF(OR(D364="Under review",D364="Revision requested"),1,0)</f>
        <v>0</v>
      </c>
      <c r="L364" s="32" t="str">
        <f aca="false">IF(AND(J364=1,E364&lt;&gt;""),E364+ROW()/100000,"")</f>
        <v/>
      </c>
      <c r="M364" s="32" t="str">
        <f aca="false">IF(D364="Planned",ROW(),"")</f>
        <v/>
      </c>
      <c r="N364" s="32" t="str">
        <f aca="true">IF(K364=1,IF(E364="",0,TODAY()-E364)+ROW()/100000,"")</f>
        <v/>
      </c>
      <c r="O364" s="32" t="str">
        <f aca="false">IF(N364="","",RANK(N364,$N$2:$N$1000))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4"/>
      <c r="F365" s="34"/>
      <c r="G365" s="35" t="str">
        <f aca="true">IF(OR(E365="",J365=0),"",IF(F365&lt;&gt;"",F365-E365,TODAY()-E365))</f>
        <v/>
      </c>
      <c r="H365" s="29"/>
      <c r="I365" s="33"/>
      <c r="J365" s="32" t="n">
        <f aca="false">IF(OR(D365="",D365="Planned"),0,1)</f>
        <v>0</v>
      </c>
      <c r="K365" s="32" t="n">
        <f aca="false">IF(OR(D365="Under review",D365="Revision requested"),1,0)</f>
        <v>0</v>
      </c>
      <c r="L365" s="32" t="str">
        <f aca="false">IF(AND(J365=1,E365&lt;&gt;""),E365+ROW()/100000,"")</f>
        <v/>
      </c>
      <c r="M365" s="32" t="str">
        <f aca="false">IF(D365="Planned",ROW(),"")</f>
        <v/>
      </c>
      <c r="N365" s="32" t="str">
        <f aca="true">IF(K365=1,IF(E365="",0,TODAY()-E365)+ROW()/100000,"")</f>
        <v/>
      </c>
      <c r="O365" s="32" t="str">
        <f aca="false">IF(N365="","",RANK(N365,$N$2:$N$1000))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4"/>
      <c r="F366" s="34"/>
      <c r="G366" s="35" t="str">
        <f aca="true">IF(OR(E366="",J366=0),"",IF(F366&lt;&gt;"",F366-E366,TODAY()-E366))</f>
        <v/>
      </c>
      <c r="H366" s="29"/>
      <c r="I366" s="33"/>
      <c r="J366" s="32" t="n">
        <f aca="false">IF(OR(D366="",D366="Planned"),0,1)</f>
        <v>0</v>
      </c>
      <c r="K366" s="32" t="n">
        <f aca="false">IF(OR(D366="Under review",D366="Revision requested"),1,0)</f>
        <v>0</v>
      </c>
      <c r="L366" s="32" t="str">
        <f aca="false">IF(AND(J366=1,E366&lt;&gt;""),E366+ROW()/100000,"")</f>
        <v/>
      </c>
      <c r="M366" s="32" t="str">
        <f aca="false">IF(D366="Planned",ROW(),"")</f>
        <v/>
      </c>
      <c r="N366" s="32" t="str">
        <f aca="true">IF(K366=1,IF(E366="",0,TODAY()-E366)+ROW()/100000,"")</f>
        <v/>
      </c>
      <c r="O366" s="32" t="str">
        <f aca="false">IF(N366="","",RANK(N366,$N$2:$N$1000))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4"/>
      <c r="F367" s="34"/>
      <c r="G367" s="35" t="str">
        <f aca="true">IF(OR(E367="",J367=0),"",IF(F367&lt;&gt;"",F367-E367,TODAY()-E367))</f>
        <v/>
      </c>
      <c r="H367" s="29"/>
      <c r="I367" s="33"/>
      <c r="J367" s="32" t="n">
        <f aca="false">IF(OR(D367="",D367="Planned"),0,1)</f>
        <v>0</v>
      </c>
      <c r="K367" s="32" t="n">
        <f aca="false">IF(OR(D367="Under review",D367="Revision requested"),1,0)</f>
        <v>0</v>
      </c>
      <c r="L367" s="32" t="str">
        <f aca="false">IF(AND(J367=1,E367&lt;&gt;""),E367+ROW()/100000,"")</f>
        <v/>
      </c>
      <c r="M367" s="32" t="str">
        <f aca="false">IF(D367="Planned",ROW(),"")</f>
        <v/>
      </c>
      <c r="N367" s="32" t="str">
        <f aca="true">IF(K367=1,IF(E367="",0,TODAY()-E367)+ROW()/100000,"")</f>
        <v/>
      </c>
      <c r="O367" s="32" t="str">
        <f aca="false">IF(N367="","",RANK(N367,$N$2:$N$1000))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4"/>
      <c r="F368" s="34"/>
      <c r="G368" s="35" t="str">
        <f aca="true">IF(OR(E368="",J368=0),"",IF(F368&lt;&gt;"",F368-E368,TODAY()-E368))</f>
        <v/>
      </c>
      <c r="H368" s="29"/>
      <c r="I368" s="33"/>
      <c r="J368" s="32" t="n">
        <f aca="false">IF(OR(D368="",D368="Planned"),0,1)</f>
        <v>0</v>
      </c>
      <c r="K368" s="32" t="n">
        <f aca="false">IF(OR(D368="Under review",D368="Revision requested"),1,0)</f>
        <v>0</v>
      </c>
      <c r="L368" s="32" t="str">
        <f aca="false">IF(AND(J368=1,E368&lt;&gt;""),E368+ROW()/100000,"")</f>
        <v/>
      </c>
      <c r="M368" s="32" t="str">
        <f aca="false">IF(D368="Planned",ROW(),"")</f>
        <v/>
      </c>
      <c r="N368" s="32" t="str">
        <f aca="true">IF(K368=1,IF(E368="",0,TODAY()-E368)+ROW()/100000,"")</f>
        <v/>
      </c>
      <c r="O368" s="32" t="str">
        <f aca="false">IF(N368="","",RANK(N368,$N$2:$N$1000))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4"/>
      <c r="F369" s="34"/>
      <c r="G369" s="35" t="str">
        <f aca="true">IF(OR(E369="",J369=0),"",IF(F369&lt;&gt;"",F369-E369,TODAY()-E369))</f>
        <v/>
      </c>
      <c r="H369" s="29"/>
      <c r="I369" s="33"/>
      <c r="J369" s="32" t="n">
        <f aca="false">IF(OR(D369="",D369="Planned"),0,1)</f>
        <v>0</v>
      </c>
      <c r="K369" s="32" t="n">
        <f aca="false">IF(OR(D369="Under review",D369="Revision requested"),1,0)</f>
        <v>0</v>
      </c>
      <c r="L369" s="32" t="str">
        <f aca="false">IF(AND(J369=1,E369&lt;&gt;""),E369+ROW()/100000,"")</f>
        <v/>
      </c>
      <c r="M369" s="32" t="str">
        <f aca="false">IF(D369="Planned",ROW(),"")</f>
        <v/>
      </c>
      <c r="N369" s="32" t="str">
        <f aca="true">IF(K369=1,IF(E369="",0,TODAY()-E369)+ROW()/100000,"")</f>
        <v/>
      </c>
      <c r="O369" s="32" t="str">
        <f aca="false">IF(N369="","",RANK(N369,$N$2:$N$1000))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4"/>
      <c r="F370" s="34"/>
      <c r="G370" s="35" t="str">
        <f aca="true">IF(OR(E370="",J370=0),"",IF(F370&lt;&gt;"",F370-E370,TODAY()-E370))</f>
        <v/>
      </c>
      <c r="H370" s="29"/>
      <c r="I370" s="33"/>
      <c r="J370" s="32" t="n">
        <f aca="false">IF(OR(D370="",D370="Planned"),0,1)</f>
        <v>0</v>
      </c>
      <c r="K370" s="32" t="n">
        <f aca="false">IF(OR(D370="Under review",D370="Revision requested"),1,0)</f>
        <v>0</v>
      </c>
      <c r="L370" s="32" t="str">
        <f aca="false">IF(AND(J370=1,E370&lt;&gt;""),E370+ROW()/100000,"")</f>
        <v/>
      </c>
      <c r="M370" s="32" t="str">
        <f aca="false">IF(D370="Planned",ROW(),"")</f>
        <v/>
      </c>
      <c r="N370" s="32" t="str">
        <f aca="true">IF(K370=1,IF(E370="",0,TODAY()-E370)+ROW()/100000,"")</f>
        <v/>
      </c>
      <c r="O370" s="32" t="str">
        <f aca="false">IF(N370="","",RANK(N370,$N$2:$N$1000))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4"/>
      <c r="F371" s="34"/>
      <c r="G371" s="35" t="str">
        <f aca="true">IF(OR(E371="",J371=0),"",IF(F371&lt;&gt;"",F371-E371,TODAY()-E371))</f>
        <v/>
      </c>
      <c r="H371" s="29"/>
      <c r="I371" s="33"/>
      <c r="J371" s="32" t="n">
        <f aca="false">IF(OR(D371="",D371="Planned"),0,1)</f>
        <v>0</v>
      </c>
      <c r="K371" s="32" t="n">
        <f aca="false">IF(OR(D371="Under review",D371="Revision requested"),1,0)</f>
        <v>0</v>
      </c>
      <c r="L371" s="32" t="str">
        <f aca="false">IF(AND(J371=1,E371&lt;&gt;""),E371+ROW()/100000,"")</f>
        <v/>
      </c>
      <c r="M371" s="32" t="str">
        <f aca="false">IF(D371="Planned",ROW(),"")</f>
        <v/>
      </c>
      <c r="N371" s="32" t="str">
        <f aca="true">IF(K371=1,IF(E371="",0,TODAY()-E371)+ROW()/100000,"")</f>
        <v/>
      </c>
      <c r="O371" s="32" t="str">
        <f aca="false">IF(N371="","",RANK(N371,$N$2:$N$1000))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4"/>
      <c r="F372" s="34"/>
      <c r="G372" s="35" t="str">
        <f aca="true">IF(OR(E372="",J372=0),"",IF(F372&lt;&gt;"",F372-E372,TODAY()-E372))</f>
        <v/>
      </c>
      <c r="H372" s="29"/>
      <c r="I372" s="33"/>
      <c r="J372" s="32" t="n">
        <f aca="false">IF(OR(D372="",D372="Planned"),0,1)</f>
        <v>0</v>
      </c>
      <c r="K372" s="32" t="n">
        <f aca="false">IF(OR(D372="Under review",D372="Revision requested"),1,0)</f>
        <v>0</v>
      </c>
      <c r="L372" s="32" t="str">
        <f aca="false">IF(AND(J372=1,E372&lt;&gt;""),E372+ROW()/100000,"")</f>
        <v/>
      </c>
      <c r="M372" s="32" t="str">
        <f aca="false">IF(D372="Planned",ROW(),"")</f>
        <v/>
      </c>
      <c r="N372" s="32" t="str">
        <f aca="true">IF(K372=1,IF(E372="",0,TODAY()-E372)+ROW()/100000,"")</f>
        <v/>
      </c>
      <c r="O372" s="32" t="str">
        <f aca="false">IF(N372="","",RANK(N372,$N$2:$N$1000))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4"/>
      <c r="F373" s="34"/>
      <c r="G373" s="35" t="str">
        <f aca="true">IF(OR(E373="",J373=0),"",IF(F373&lt;&gt;"",F373-E373,TODAY()-E373))</f>
        <v/>
      </c>
      <c r="H373" s="29"/>
      <c r="I373" s="33"/>
      <c r="J373" s="32" t="n">
        <f aca="false">IF(OR(D373="",D373="Planned"),0,1)</f>
        <v>0</v>
      </c>
      <c r="K373" s="32" t="n">
        <f aca="false">IF(OR(D373="Under review",D373="Revision requested"),1,0)</f>
        <v>0</v>
      </c>
      <c r="L373" s="32" t="str">
        <f aca="false">IF(AND(J373=1,E373&lt;&gt;""),E373+ROW()/100000,"")</f>
        <v/>
      </c>
      <c r="M373" s="32" t="str">
        <f aca="false">IF(D373="Planned",ROW(),"")</f>
        <v/>
      </c>
      <c r="N373" s="32" t="str">
        <f aca="true">IF(K373=1,IF(E373="",0,TODAY()-E373)+ROW()/100000,"")</f>
        <v/>
      </c>
      <c r="O373" s="32" t="str">
        <f aca="false">IF(N373="","",RANK(N373,$N$2:$N$1000))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4"/>
      <c r="F374" s="34"/>
      <c r="G374" s="35" t="str">
        <f aca="true">IF(OR(E374="",J374=0),"",IF(F374&lt;&gt;"",F374-E374,TODAY()-E374))</f>
        <v/>
      </c>
      <c r="H374" s="29"/>
      <c r="I374" s="33"/>
      <c r="J374" s="32" t="n">
        <f aca="false">IF(OR(D374="",D374="Planned"),0,1)</f>
        <v>0</v>
      </c>
      <c r="K374" s="32" t="n">
        <f aca="false">IF(OR(D374="Under review",D374="Revision requested"),1,0)</f>
        <v>0</v>
      </c>
      <c r="L374" s="32" t="str">
        <f aca="false">IF(AND(J374=1,E374&lt;&gt;""),E374+ROW()/100000,"")</f>
        <v/>
      </c>
      <c r="M374" s="32" t="str">
        <f aca="false">IF(D374="Planned",ROW(),"")</f>
        <v/>
      </c>
      <c r="N374" s="32" t="str">
        <f aca="true">IF(K374=1,IF(E374="",0,TODAY()-E374)+ROW()/100000,"")</f>
        <v/>
      </c>
      <c r="O374" s="32" t="str">
        <f aca="false">IF(N374="","",RANK(N374,$N$2:$N$1000))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4"/>
      <c r="F375" s="34"/>
      <c r="G375" s="35" t="str">
        <f aca="true">IF(OR(E375="",J375=0),"",IF(F375&lt;&gt;"",F375-E375,TODAY()-E375))</f>
        <v/>
      </c>
      <c r="H375" s="29"/>
      <c r="I375" s="33"/>
      <c r="J375" s="32" t="n">
        <f aca="false">IF(OR(D375="",D375="Planned"),0,1)</f>
        <v>0</v>
      </c>
      <c r="K375" s="32" t="n">
        <f aca="false">IF(OR(D375="Under review",D375="Revision requested"),1,0)</f>
        <v>0</v>
      </c>
      <c r="L375" s="32" t="str">
        <f aca="false">IF(AND(J375=1,E375&lt;&gt;""),E375+ROW()/100000,"")</f>
        <v/>
      </c>
      <c r="M375" s="32" t="str">
        <f aca="false">IF(D375="Planned",ROW(),"")</f>
        <v/>
      </c>
      <c r="N375" s="32" t="str">
        <f aca="true">IF(K375=1,IF(E375="",0,TODAY()-E375)+ROW()/100000,"")</f>
        <v/>
      </c>
      <c r="O375" s="32" t="str">
        <f aca="false">IF(N375="","",RANK(N375,$N$2:$N$1000))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4"/>
      <c r="F376" s="34"/>
      <c r="G376" s="35" t="str">
        <f aca="true">IF(OR(E376="",J376=0),"",IF(F376&lt;&gt;"",F376-E376,TODAY()-E376))</f>
        <v/>
      </c>
      <c r="H376" s="29"/>
      <c r="I376" s="33"/>
      <c r="J376" s="32" t="n">
        <f aca="false">IF(OR(D376="",D376="Planned"),0,1)</f>
        <v>0</v>
      </c>
      <c r="K376" s="32" t="n">
        <f aca="false">IF(OR(D376="Under review",D376="Revision requested"),1,0)</f>
        <v>0</v>
      </c>
      <c r="L376" s="32" t="str">
        <f aca="false">IF(AND(J376=1,E376&lt;&gt;""),E376+ROW()/100000,"")</f>
        <v/>
      </c>
      <c r="M376" s="32" t="str">
        <f aca="false">IF(D376="Planned",ROW(),"")</f>
        <v/>
      </c>
      <c r="N376" s="32" t="str">
        <f aca="true">IF(K376=1,IF(E376="",0,TODAY()-E376)+ROW()/100000,"")</f>
        <v/>
      </c>
      <c r="O376" s="32" t="str">
        <f aca="false">IF(N376="","",RANK(N376,$N$2:$N$1000))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4"/>
      <c r="F377" s="34"/>
      <c r="G377" s="35" t="str">
        <f aca="true">IF(OR(E377="",J377=0),"",IF(F377&lt;&gt;"",F377-E377,TODAY()-E377))</f>
        <v/>
      </c>
      <c r="H377" s="29"/>
      <c r="I377" s="33"/>
      <c r="J377" s="32" t="n">
        <f aca="false">IF(OR(D377="",D377="Planned"),0,1)</f>
        <v>0</v>
      </c>
      <c r="K377" s="32" t="n">
        <f aca="false">IF(OR(D377="Under review",D377="Revision requested"),1,0)</f>
        <v>0</v>
      </c>
      <c r="L377" s="32" t="str">
        <f aca="false">IF(AND(J377=1,E377&lt;&gt;""),E377+ROW()/100000,"")</f>
        <v/>
      </c>
      <c r="M377" s="32" t="str">
        <f aca="false">IF(D377="Planned",ROW(),"")</f>
        <v/>
      </c>
      <c r="N377" s="32" t="str">
        <f aca="true">IF(K377=1,IF(E377="",0,TODAY()-E377)+ROW()/100000,"")</f>
        <v/>
      </c>
      <c r="O377" s="32" t="str">
        <f aca="false">IF(N377="","",RANK(N377,$N$2:$N$1000))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4"/>
      <c r="F378" s="34"/>
      <c r="G378" s="35" t="str">
        <f aca="true">IF(OR(E378="",J378=0),"",IF(F378&lt;&gt;"",F378-E378,TODAY()-E378))</f>
        <v/>
      </c>
      <c r="H378" s="29"/>
      <c r="I378" s="33"/>
      <c r="J378" s="32" t="n">
        <f aca="false">IF(OR(D378="",D378="Planned"),0,1)</f>
        <v>0</v>
      </c>
      <c r="K378" s="32" t="n">
        <f aca="false">IF(OR(D378="Under review",D378="Revision requested"),1,0)</f>
        <v>0</v>
      </c>
      <c r="L378" s="32" t="str">
        <f aca="false">IF(AND(J378=1,E378&lt;&gt;""),E378+ROW()/100000,"")</f>
        <v/>
      </c>
      <c r="M378" s="32" t="str">
        <f aca="false">IF(D378="Planned",ROW(),"")</f>
        <v/>
      </c>
      <c r="N378" s="32" t="str">
        <f aca="true">IF(K378=1,IF(E378="",0,TODAY()-E378)+ROW()/100000,"")</f>
        <v/>
      </c>
      <c r="O378" s="32" t="str">
        <f aca="false">IF(N378="","",RANK(N378,$N$2:$N$1000))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4"/>
      <c r="F379" s="34"/>
      <c r="G379" s="35" t="str">
        <f aca="true">IF(OR(E379="",J379=0),"",IF(F379&lt;&gt;"",F379-E379,TODAY()-E379))</f>
        <v/>
      </c>
      <c r="H379" s="29"/>
      <c r="I379" s="33"/>
      <c r="J379" s="32" t="n">
        <f aca="false">IF(OR(D379="",D379="Planned"),0,1)</f>
        <v>0</v>
      </c>
      <c r="K379" s="32" t="n">
        <f aca="false">IF(OR(D379="Under review",D379="Revision requested"),1,0)</f>
        <v>0</v>
      </c>
      <c r="L379" s="32" t="str">
        <f aca="false">IF(AND(J379=1,E379&lt;&gt;""),E379+ROW()/100000,"")</f>
        <v/>
      </c>
      <c r="M379" s="32" t="str">
        <f aca="false">IF(D379="Planned",ROW(),"")</f>
        <v/>
      </c>
      <c r="N379" s="32" t="str">
        <f aca="true">IF(K379=1,IF(E379="",0,TODAY()-E379)+ROW()/100000,"")</f>
        <v/>
      </c>
      <c r="O379" s="32" t="str">
        <f aca="false">IF(N379="","",RANK(N379,$N$2:$N$1000))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4"/>
      <c r="F380" s="34"/>
      <c r="G380" s="35" t="str">
        <f aca="true">IF(OR(E380="",J380=0),"",IF(F380&lt;&gt;"",F380-E380,TODAY()-E380))</f>
        <v/>
      </c>
      <c r="H380" s="29"/>
      <c r="I380" s="33"/>
      <c r="J380" s="32" t="n">
        <f aca="false">IF(OR(D380="",D380="Planned"),0,1)</f>
        <v>0</v>
      </c>
      <c r="K380" s="32" t="n">
        <f aca="false">IF(OR(D380="Under review",D380="Revision requested"),1,0)</f>
        <v>0</v>
      </c>
      <c r="L380" s="32" t="str">
        <f aca="false">IF(AND(J380=1,E380&lt;&gt;""),E380+ROW()/100000,"")</f>
        <v/>
      </c>
      <c r="M380" s="32" t="str">
        <f aca="false">IF(D380="Planned",ROW(),"")</f>
        <v/>
      </c>
      <c r="N380" s="32" t="str">
        <f aca="true">IF(K380=1,IF(E380="",0,TODAY()-E380)+ROW()/100000,"")</f>
        <v/>
      </c>
      <c r="O380" s="32" t="str">
        <f aca="false">IF(N380="","",RANK(N380,$N$2:$N$1000))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4"/>
      <c r="F381" s="34"/>
      <c r="G381" s="35" t="str">
        <f aca="true">IF(OR(E381="",J381=0),"",IF(F381&lt;&gt;"",F381-E381,TODAY()-E381))</f>
        <v/>
      </c>
      <c r="H381" s="29"/>
      <c r="I381" s="33"/>
      <c r="J381" s="32" t="n">
        <f aca="false">IF(OR(D381="",D381="Planned"),0,1)</f>
        <v>0</v>
      </c>
      <c r="K381" s="32" t="n">
        <f aca="false">IF(OR(D381="Under review",D381="Revision requested"),1,0)</f>
        <v>0</v>
      </c>
      <c r="L381" s="32" t="str">
        <f aca="false">IF(AND(J381=1,E381&lt;&gt;""),E381+ROW()/100000,"")</f>
        <v/>
      </c>
      <c r="M381" s="32" t="str">
        <f aca="false">IF(D381="Planned",ROW(),"")</f>
        <v/>
      </c>
      <c r="N381" s="32" t="str">
        <f aca="true">IF(K381=1,IF(E381="",0,TODAY()-E381)+ROW()/100000,"")</f>
        <v/>
      </c>
      <c r="O381" s="32" t="str">
        <f aca="false">IF(N381="","",RANK(N381,$N$2:$N$1000))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4"/>
      <c r="F382" s="34"/>
      <c r="G382" s="35" t="str">
        <f aca="true">IF(OR(E382="",J382=0),"",IF(F382&lt;&gt;"",F382-E382,TODAY()-E382))</f>
        <v/>
      </c>
      <c r="H382" s="29"/>
      <c r="I382" s="33"/>
      <c r="J382" s="32" t="n">
        <f aca="false">IF(OR(D382="",D382="Planned"),0,1)</f>
        <v>0</v>
      </c>
      <c r="K382" s="32" t="n">
        <f aca="false">IF(OR(D382="Under review",D382="Revision requested"),1,0)</f>
        <v>0</v>
      </c>
      <c r="L382" s="32" t="str">
        <f aca="false">IF(AND(J382=1,E382&lt;&gt;""),E382+ROW()/100000,"")</f>
        <v/>
      </c>
      <c r="M382" s="32" t="str">
        <f aca="false">IF(D382="Planned",ROW(),"")</f>
        <v/>
      </c>
      <c r="N382" s="32" t="str">
        <f aca="true">IF(K382=1,IF(E382="",0,TODAY()-E382)+ROW()/100000,"")</f>
        <v/>
      </c>
      <c r="O382" s="32" t="str">
        <f aca="false">IF(N382="","",RANK(N382,$N$2:$N$1000))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4"/>
      <c r="F383" s="34"/>
      <c r="G383" s="35" t="str">
        <f aca="true">IF(OR(E383="",J383=0),"",IF(F383&lt;&gt;"",F383-E383,TODAY()-E383))</f>
        <v/>
      </c>
      <c r="H383" s="29"/>
      <c r="I383" s="33"/>
      <c r="J383" s="32" t="n">
        <f aca="false">IF(OR(D383="",D383="Planned"),0,1)</f>
        <v>0</v>
      </c>
      <c r="K383" s="32" t="n">
        <f aca="false">IF(OR(D383="Under review",D383="Revision requested"),1,0)</f>
        <v>0</v>
      </c>
      <c r="L383" s="32" t="str">
        <f aca="false">IF(AND(J383=1,E383&lt;&gt;""),E383+ROW()/100000,"")</f>
        <v/>
      </c>
      <c r="M383" s="32" t="str">
        <f aca="false">IF(D383="Planned",ROW(),"")</f>
        <v/>
      </c>
      <c r="N383" s="32" t="str">
        <f aca="true">IF(K383=1,IF(E383="",0,TODAY()-E383)+ROW()/100000,"")</f>
        <v/>
      </c>
      <c r="O383" s="32" t="str">
        <f aca="false">IF(N383="","",RANK(N383,$N$2:$N$1000))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4"/>
      <c r="F384" s="34"/>
      <c r="G384" s="35" t="str">
        <f aca="true">IF(OR(E384="",J384=0),"",IF(F384&lt;&gt;"",F384-E384,TODAY()-E384))</f>
        <v/>
      </c>
      <c r="H384" s="29"/>
      <c r="I384" s="33"/>
      <c r="J384" s="32" t="n">
        <f aca="false">IF(OR(D384="",D384="Planned"),0,1)</f>
        <v>0</v>
      </c>
      <c r="K384" s="32" t="n">
        <f aca="false">IF(OR(D384="Under review",D384="Revision requested"),1,0)</f>
        <v>0</v>
      </c>
      <c r="L384" s="32" t="str">
        <f aca="false">IF(AND(J384=1,E384&lt;&gt;""),E384+ROW()/100000,"")</f>
        <v/>
      </c>
      <c r="M384" s="32" t="str">
        <f aca="false">IF(D384="Planned",ROW(),"")</f>
        <v/>
      </c>
      <c r="N384" s="32" t="str">
        <f aca="true">IF(K384=1,IF(E384="",0,TODAY()-E384)+ROW()/100000,"")</f>
        <v/>
      </c>
      <c r="O384" s="32" t="str">
        <f aca="false">IF(N384="","",RANK(N384,$N$2:$N$1000))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4"/>
      <c r="F385" s="34"/>
      <c r="G385" s="35" t="str">
        <f aca="true">IF(OR(E385="",J385=0),"",IF(F385&lt;&gt;"",F385-E385,TODAY()-E385))</f>
        <v/>
      </c>
      <c r="H385" s="29"/>
      <c r="I385" s="33"/>
      <c r="J385" s="32" t="n">
        <f aca="false">IF(OR(D385="",D385="Planned"),0,1)</f>
        <v>0</v>
      </c>
      <c r="K385" s="32" t="n">
        <f aca="false">IF(OR(D385="Under review",D385="Revision requested"),1,0)</f>
        <v>0</v>
      </c>
      <c r="L385" s="32" t="str">
        <f aca="false">IF(AND(J385=1,E385&lt;&gt;""),E385+ROW()/100000,"")</f>
        <v/>
      </c>
      <c r="M385" s="32" t="str">
        <f aca="false">IF(D385="Planned",ROW(),"")</f>
        <v/>
      </c>
      <c r="N385" s="32" t="str">
        <f aca="true">IF(K385=1,IF(E385="",0,TODAY()-E385)+ROW()/100000,"")</f>
        <v/>
      </c>
      <c r="O385" s="32" t="str">
        <f aca="false">IF(N385="","",RANK(N385,$N$2:$N$1000))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4"/>
      <c r="F386" s="34"/>
      <c r="G386" s="35" t="str">
        <f aca="true">IF(OR(E386="",J386=0),"",IF(F386&lt;&gt;"",F386-E386,TODAY()-E386))</f>
        <v/>
      </c>
      <c r="H386" s="29"/>
      <c r="I386" s="33"/>
      <c r="J386" s="32" t="n">
        <f aca="false">IF(OR(D386="",D386="Planned"),0,1)</f>
        <v>0</v>
      </c>
      <c r="K386" s="32" t="n">
        <f aca="false">IF(OR(D386="Under review",D386="Revision requested"),1,0)</f>
        <v>0</v>
      </c>
      <c r="L386" s="32" t="str">
        <f aca="false">IF(AND(J386=1,E386&lt;&gt;""),E386+ROW()/100000,"")</f>
        <v/>
      </c>
      <c r="M386" s="32" t="str">
        <f aca="false">IF(D386="Planned",ROW(),"")</f>
        <v/>
      </c>
      <c r="N386" s="32" t="str">
        <f aca="true">IF(K386=1,IF(E386="",0,TODAY()-E386)+ROW()/100000,"")</f>
        <v/>
      </c>
      <c r="O386" s="32" t="str">
        <f aca="false">IF(N386="","",RANK(N386,$N$2:$N$1000))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4"/>
      <c r="F387" s="34"/>
      <c r="G387" s="35" t="str">
        <f aca="true">IF(OR(E387="",J387=0),"",IF(F387&lt;&gt;"",F387-E387,TODAY()-E387))</f>
        <v/>
      </c>
      <c r="H387" s="29"/>
      <c r="I387" s="33"/>
      <c r="J387" s="32" t="n">
        <f aca="false">IF(OR(D387="",D387="Planned"),0,1)</f>
        <v>0</v>
      </c>
      <c r="K387" s="32" t="n">
        <f aca="false">IF(OR(D387="Under review",D387="Revision requested"),1,0)</f>
        <v>0</v>
      </c>
      <c r="L387" s="32" t="str">
        <f aca="false">IF(AND(J387=1,E387&lt;&gt;""),E387+ROW()/100000,"")</f>
        <v/>
      </c>
      <c r="M387" s="32" t="str">
        <f aca="false">IF(D387="Planned",ROW(),"")</f>
        <v/>
      </c>
      <c r="N387" s="32" t="str">
        <f aca="true">IF(K387=1,IF(E387="",0,TODAY()-E387)+ROW()/100000,"")</f>
        <v/>
      </c>
      <c r="O387" s="32" t="str">
        <f aca="false">IF(N387="","",RANK(N387,$N$2:$N$1000))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4"/>
      <c r="F388" s="34"/>
      <c r="G388" s="35" t="str">
        <f aca="true">IF(OR(E388="",J388=0),"",IF(F388&lt;&gt;"",F388-E388,TODAY()-E388))</f>
        <v/>
      </c>
      <c r="H388" s="29"/>
      <c r="I388" s="33"/>
      <c r="J388" s="32" t="n">
        <f aca="false">IF(OR(D388="",D388="Planned"),0,1)</f>
        <v>0</v>
      </c>
      <c r="K388" s="32" t="n">
        <f aca="false">IF(OR(D388="Under review",D388="Revision requested"),1,0)</f>
        <v>0</v>
      </c>
      <c r="L388" s="32" t="str">
        <f aca="false">IF(AND(J388=1,E388&lt;&gt;""),E388+ROW()/100000,"")</f>
        <v/>
      </c>
      <c r="M388" s="32" t="str">
        <f aca="false">IF(D388="Planned",ROW(),"")</f>
        <v/>
      </c>
      <c r="N388" s="32" t="str">
        <f aca="true">IF(K388=1,IF(E388="",0,TODAY()-E388)+ROW()/100000,"")</f>
        <v/>
      </c>
      <c r="O388" s="32" t="str">
        <f aca="false">IF(N388="","",RANK(N388,$N$2:$N$1000))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4"/>
      <c r="F389" s="34"/>
      <c r="G389" s="35" t="str">
        <f aca="true">IF(OR(E389="",J389=0),"",IF(F389&lt;&gt;"",F389-E389,TODAY()-E389))</f>
        <v/>
      </c>
      <c r="H389" s="29"/>
      <c r="I389" s="33"/>
      <c r="J389" s="32" t="n">
        <f aca="false">IF(OR(D389="",D389="Planned"),0,1)</f>
        <v>0</v>
      </c>
      <c r="K389" s="32" t="n">
        <f aca="false">IF(OR(D389="Under review",D389="Revision requested"),1,0)</f>
        <v>0</v>
      </c>
      <c r="L389" s="32" t="str">
        <f aca="false">IF(AND(J389=1,E389&lt;&gt;""),E389+ROW()/100000,"")</f>
        <v/>
      </c>
      <c r="M389" s="32" t="str">
        <f aca="false">IF(D389="Planned",ROW(),"")</f>
        <v/>
      </c>
      <c r="N389" s="32" t="str">
        <f aca="true">IF(K389=1,IF(E389="",0,TODAY()-E389)+ROW()/100000,"")</f>
        <v/>
      </c>
      <c r="O389" s="32" t="str">
        <f aca="false">IF(N389="","",RANK(N389,$N$2:$N$1000))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4"/>
      <c r="F390" s="34"/>
      <c r="G390" s="35" t="str">
        <f aca="true">IF(OR(E390="",J390=0),"",IF(F390&lt;&gt;"",F390-E390,TODAY()-E390))</f>
        <v/>
      </c>
      <c r="H390" s="29"/>
      <c r="I390" s="33"/>
      <c r="J390" s="32" t="n">
        <f aca="false">IF(OR(D390="",D390="Planned"),0,1)</f>
        <v>0</v>
      </c>
      <c r="K390" s="32" t="n">
        <f aca="false">IF(OR(D390="Under review",D390="Revision requested"),1,0)</f>
        <v>0</v>
      </c>
      <c r="L390" s="32" t="str">
        <f aca="false">IF(AND(J390=1,E390&lt;&gt;""),E390+ROW()/100000,"")</f>
        <v/>
      </c>
      <c r="M390" s="32" t="str">
        <f aca="false">IF(D390="Planned",ROW(),"")</f>
        <v/>
      </c>
      <c r="N390" s="32" t="str">
        <f aca="true">IF(K390=1,IF(E390="",0,TODAY()-E390)+ROW()/100000,"")</f>
        <v/>
      </c>
      <c r="O390" s="32" t="str">
        <f aca="false">IF(N390="","",RANK(N390,$N$2:$N$1000))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4"/>
      <c r="F391" s="34"/>
      <c r="G391" s="35" t="str">
        <f aca="true">IF(OR(E391="",J391=0),"",IF(F391&lt;&gt;"",F391-E391,TODAY()-E391))</f>
        <v/>
      </c>
      <c r="H391" s="29"/>
      <c r="I391" s="33"/>
      <c r="J391" s="32" t="n">
        <f aca="false">IF(OR(D391="",D391="Planned"),0,1)</f>
        <v>0</v>
      </c>
      <c r="K391" s="32" t="n">
        <f aca="false">IF(OR(D391="Under review",D391="Revision requested"),1,0)</f>
        <v>0</v>
      </c>
      <c r="L391" s="32" t="str">
        <f aca="false">IF(AND(J391=1,E391&lt;&gt;""),E391+ROW()/100000,"")</f>
        <v/>
      </c>
      <c r="M391" s="32" t="str">
        <f aca="false">IF(D391="Planned",ROW(),"")</f>
        <v/>
      </c>
      <c r="N391" s="32" t="str">
        <f aca="true">IF(K391=1,IF(E391="",0,TODAY()-E391)+ROW()/100000,"")</f>
        <v/>
      </c>
      <c r="O391" s="32" t="str">
        <f aca="false">IF(N391="","",RANK(N391,$N$2:$N$1000))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4"/>
      <c r="F392" s="34"/>
      <c r="G392" s="35" t="str">
        <f aca="true">IF(OR(E392="",J392=0),"",IF(F392&lt;&gt;"",F392-E392,TODAY()-E392))</f>
        <v/>
      </c>
      <c r="H392" s="29"/>
      <c r="I392" s="33"/>
      <c r="J392" s="32" t="n">
        <f aca="false">IF(OR(D392="",D392="Planned"),0,1)</f>
        <v>0</v>
      </c>
      <c r="K392" s="32" t="n">
        <f aca="false">IF(OR(D392="Under review",D392="Revision requested"),1,0)</f>
        <v>0</v>
      </c>
      <c r="L392" s="32" t="str">
        <f aca="false">IF(AND(J392=1,E392&lt;&gt;""),E392+ROW()/100000,"")</f>
        <v/>
      </c>
      <c r="M392" s="32" t="str">
        <f aca="false">IF(D392="Planned",ROW(),"")</f>
        <v/>
      </c>
      <c r="N392" s="32" t="str">
        <f aca="true">IF(K392=1,IF(E392="",0,TODAY()-E392)+ROW()/100000,"")</f>
        <v/>
      </c>
      <c r="O392" s="32" t="str">
        <f aca="false">IF(N392="","",RANK(N392,$N$2:$N$1000))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4"/>
      <c r="F393" s="34"/>
      <c r="G393" s="35" t="str">
        <f aca="true">IF(OR(E393="",J393=0),"",IF(F393&lt;&gt;"",F393-E393,TODAY()-E393))</f>
        <v/>
      </c>
      <c r="H393" s="29"/>
      <c r="I393" s="33"/>
      <c r="J393" s="32" t="n">
        <f aca="false">IF(OR(D393="",D393="Planned"),0,1)</f>
        <v>0</v>
      </c>
      <c r="K393" s="32" t="n">
        <f aca="false">IF(OR(D393="Under review",D393="Revision requested"),1,0)</f>
        <v>0</v>
      </c>
      <c r="L393" s="32" t="str">
        <f aca="false">IF(AND(J393=1,E393&lt;&gt;""),E393+ROW()/100000,"")</f>
        <v/>
      </c>
      <c r="M393" s="32" t="str">
        <f aca="false">IF(D393="Planned",ROW(),"")</f>
        <v/>
      </c>
      <c r="N393" s="32" t="str">
        <f aca="true">IF(K393=1,IF(E393="",0,TODAY()-E393)+ROW()/100000,"")</f>
        <v/>
      </c>
      <c r="O393" s="32" t="str">
        <f aca="false">IF(N393="","",RANK(N393,$N$2:$N$1000))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4"/>
      <c r="F394" s="34"/>
      <c r="G394" s="35" t="str">
        <f aca="true">IF(OR(E394="",J394=0),"",IF(F394&lt;&gt;"",F394-E394,TODAY()-E394))</f>
        <v/>
      </c>
      <c r="H394" s="29"/>
      <c r="I394" s="33"/>
      <c r="J394" s="32" t="n">
        <f aca="false">IF(OR(D394="",D394="Planned"),0,1)</f>
        <v>0</v>
      </c>
      <c r="K394" s="32" t="n">
        <f aca="false">IF(OR(D394="Under review",D394="Revision requested"),1,0)</f>
        <v>0</v>
      </c>
      <c r="L394" s="32" t="str">
        <f aca="false">IF(AND(J394=1,E394&lt;&gt;""),E394+ROW()/100000,"")</f>
        <v/>
      </c>
      <c r="M394" s="32" t="str">
        <f aca="false">IF(D394="Planned",ROW(),"")</f>
        <v/>
      </c>
      <c r="N394" s="32" t="str">
        <f aca="true">IF(K394=1,IF(E394="",0,TODAY()-E394)+ROW()/100000,"")</f>
        <v/>
      </c>
      <c r="O394" s="32" t="str">
        <f aca="false">IF(N394="","",RANK(N394,$N$2:$N$1000))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4"/>
      <c r="F395" s="34"/>
      <c r="G395" s="35" t="str">
        <f aca="true">IF(OR(E395="",J395=0),"",IF(F395&lt;&gt;"",F395-E395,TODAY()-E395))</f>
        <v/>
      </c>
      <c r="H395" s="29"/>
      <c r="I395" s="33"/>
      <c r="J395" s="32" t="n">
        <f aca="false">IF(OR(D395="",D395="Planned"),0,1)</f>
        <v>0</v>
      </c>
      <c r="K395" s="32" t="n">
        <f aca="false">IF(OR(D395="Under review",D395="Revision requested"),1,0)</f>
        <v>0</v>
      </c>
      <c r="L395" s="32" t="str">
        <f aca="false">IF(AND(J395=1,E395&lt;&gt;""),E395+ROW()/100000,"")</f>
        <v/>
      </c>
      <c r="M395" s="32" t="str">
        <f aca="false">IF(D395="Planned",ROW(),"")</f>
        <v/>
      </c>
      <c r="N395" s="32" t="str">
        <f aca="true">IF(K395=1,IF(E395="",0,TODAY()-E395)+ROW()/100000,"")</f>
        <v/>
      </c>
      <c r="O395" s="32" t="str">
        <f aca="false">IF(N395="","",RANK(N395,$N$2:$N$1000))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4"/>
      <c r="F396" s="34"/>
      <c r="G396" s="35" t="str">
        <f aca="true">IF(OR(E396="",J396=0),"",IF(F396&lt;&gt;"",F396-E396,TODAY()-E396))</f>
        <v/>
      </c>
      <c r="H396" s="29"/>
      <c r="I396" s="33"/>
      <c r="J396" s="32" t="n">
        <f aca="false">IF(OR(D396="",D396="Planned"),0,1)</f>
        <v>0</v>
      </c>
      <c r="K396" s="32" t="n">
        <f aca="false">IF(OR(D396="Under review",D396="Revision requested"),1,0)</f>
        <v>0</v>
      </c>
      <c r="L396" s="32" t="str">
        <f aca="false">IF(AND(J396=1,E396&lt;&gt;""),E396+ROW()/100000,"")</f>
        <v/>
      </c>
      <c r="M396" s="32" t="str">
        <f aca="false">IF(D396="Planned",ROW(),"")</f>
        <v/>
      </c>
      <c r="N396" s="32" t="str">
        <f aca="true">IF(K396=1,IF(E396="",0,TODAY()-E396)+ROW()/100000,"")</f>
        <v/>
      </c>
      <c r="O396" s="32" t="str">
        <f aca="false">IF(N396="","",RANK(N396,$N$2:$N$1000))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4"/>
      <c r="F397" s="34"/>
      <c r="G397" s="35" t="str">
        <f aca="true">IF(OR(E397="",J397=0),"",IF(F397&lt;&gt;"",F397-E397,TODAY()-E397))</f>
        <v/>
      </c>
      <c r="H397" s="29"/>
      <c r="I397" s="33"/>
      <c r="J397" s="32" t="n">
        <f aca="false">IF(OR(D397="",D397="Planned"),0,1)</f>
        <v>0</v>
      </c>
      <c r="K397" s="32" t="n">
        <f aca="false">IF(OR(D397="Under review",D397="Revision requested"),1,0)</f>
        <v>0</v>
      </c>
      <c r="L397" s="32" t="str">
        <f aca="false">IF(AND(J397=1,E397&lt;&gt;""),E397+ROW()/100000,"")</f>
        <v/>
      </c>
      <c r="M397" s="32" t="str">
        <f aca="false">IF(D397="Planned",ROW(),"")</f>
        <v/>
      </c>
      <c r="N397" s="32" t="str">
        <f aca="true">IF(K397=1,IF(E397="",0,TODAY()-E397)+ROW()/100000,"")</f>
        <v/>
      </c>
      <c r="O397" s="32" t="str">
        <f aca="false">IF(N397="","",RANK(N397,$N$2:$N$1000))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4"/>
      <c r="F398" s="34"/>
      <c r="G398" s="35" t="str">
        <f aca="true">IF(OR(E398="",J398=0),"",IF(F398&lt;&gt;"",F398-E398,TODAY()-E398))</f>
        <v/>
      </c>
      <c r="H398" s="29"/>
      <c r="I398" s="33"/>
      <c r="J398" s="32" t="n">
        <f aca="false">IF(OR(D398="",D398="Planned"),0,1)</f>
        <v>0</v>
      </c>
      <c r="K398" s="32" t="n">
        <f aca="false">IF(OR(D398="Under review",D398="Revision requested"),1,0)</f>
        <v>0</v>
      </c>
      <c r="L398" s="32" t="str">
        <f aca="false">IF(AND(J398=1,E398&lt;&gt;""),E398+ROW()/100000,"")</f>
        <v/>
      </c>
      <c r="M398" s="32" t="str">
        <f aca="false">IF(D398="Planned",ROW(),"")</f>
        <v/>
      </c>
      <c r="N398" s="32" t="str">
        <f aca="true">IF(K398=1,IF(E398="",0,TODAY()-E398)+ROW()/100000,"")</f>
        <v/>
      </c>
      <c r="O398" s="32" t="str">
        <f aca="false">IF(N398="","",RANK(N398,$N$2:$N$1000))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4"/>
      <c r="F399" s="34"/>
      <c r="G399" s="35" t="str">
        <f aca="true">IF(OR(E399="",J399=0),"",IF(F399&lt;&gt;"",F399-E399,TODAY()-E399))</f>
        <v/>
      </c>
      <c r="H399" s="29"/>
      <c r="I399" s="33"/>
      <c r="J399" s="32" t="n">
        <f aca="false">IF(OR(D399="",D399="Planned"),0,1)</f>
        <v>0</v>
      </c>
      <c r="K399" s="32" t="n">
        <f aca="false">IF(OR(D399="Under review",D399="Revision requested"),1,0)</f>
        <v>0</v>
      </c>
      <c r="L399" s="32" t="str">
        <f aca="false">IF(AND(J399=1,E399&lt;&gt;""),E399+ROW()/100000,"")</f>
        <v/>
      </c>
      <c r="M399" s="32" t="str">
        <f aca="false">IF(D399="Planned",ROW(),"")</f>
        <v/>
      </c>
      <c r="N399" s="32" t="str">
        <f aca="true">IF(K399=1,IF(E399="",0,TODAY()-E399)+ROW()/100000,"")</f>
        <v/>
      </c>
      <c r="O399" s="32" t="str">
        <f aca="false">IF(N399="","",RANK(N399,$N$2:$N$1000))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4"/>
      <c r="F400" s="34"/>
      <c r="G400" s="35" t="str">
        <f aca="true">IF(OR(E400="",J400=0),"",IF(F400&lt;&gt;"",F400-E400,TODAY()-E400))</f>
        <v/>
      </c>
      <c r="H400" s="29"/>
      <c r="I400" s="33"/>
      <c r="J400" s="32" t="n">
        <f aca="false">IF(OR(D400="",D400="Planned"),0,1)</f>
        <v>0</v>
      </c>
      <c r="K400" s="32" t="n">
        <f aca="false">IF(OR(D400="Under review",D400="Revision requested"),1,0)</f>
        <v>0</v>
      </c>
      <c r="L400" s="32" t="str">
        <f aca="false">IF(AND(J400=1,E400&lt;&gt;""),E400+ROW()/100000,"")</f>
        <v/>
      </c>
      <c r="M400" s="32" t="str">
        <f aca="false">IF(D400="Planned",ROW(),"")</f>
        <v/>
      </c>
      <c r="N400" s="32" t="str">
        <f aca="true">IF(K400=1,IF(E400="",0,TODAY()-E400)+ROW()/100000,"")</f>
        <v/>
      </c>
      <c r="O400" s="32" t="str">
        <f aca="false">IF(N400="","",RANK(N400,$N$2:$N$1000))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4"/>
      <c r="F401" s="34"/>
      <c r="G401" s="35" t="str">
        <f aca="true">IF(OR(E401="",J401=0),"",IF(F401&lt;&gt;"",F401-E401,TODAY()-E401))</f>
        <v/>
      </c>
      <c r="H401" s="29"/>
      <c r="I401" s="33"/>
      <c r="J401" s="32" t="n">
        <f aca="false">IF(OR(D401="",D401="Planned"),0,1)</f>
        <v>0</v>
      </c>
      <c r="K401" s="32" t="n">
        <f aca="false">IF(OR(D401="Under review",D401="Revision requested"),1,0)</f>
        <v>0</v>
      </c>
      <c r="L401" s="32" t="str">
        <f aca="false">IF(AND(J401=1,E401&lt;&gt;""),E401+ROW()/100000,"")</f>
        <v/>
      </c>
      <c r="M401" s="32" t="str">
        <f aca="false">IF(D401="Planned",ROW(),"")</f>
        <v/>
      </c>
      <c r="N401" s="32" t="str">
        <f aca="true">IF(K401=1,IF(E401="",0,TODAY()-E401)+ROW()/100000,"")</f>
        <v/>
      </c>
      <c r="O401" s="32" t="str">
        <f aca="false">IF(N401="","",RANK(N401,$N$2:$N$1000))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4"/>
      <c r="F402" s="34"/>
      <c r="G402" s="35" t="str">
        <f aca="true">IF(OR(E402="",J402=0),"",IF(F402&lt;&gt;"",F402-E402,TODAY()-E402))</f>
        <v/>
      </c>
      <c r="H402" s="29"/>
      <c r="I402" s="33"/>
      <c r="J402" s="32" t="n">
        <f aca="false">IF(OR(D402="",D402="Planned"),0,1)</f>
        <v>0</v>
      </c>
      <c r="K402" s="32" t="n">
        <f aca="false">IF(OR(D402="Under review",D402="Revision requested"),1,0)</f>
        <v>0</v>
      </c>
      <c r="L402" s="32" t="str">
        <f aca="false">IF(AND(J402=1,E402&lt;&gt;""),E402+ROW()/100000,"")</f>
        <v/>
      </c>
      <c r="M402" s="32" t="str">
        <f aca="false">IF(D402="Planned",ROW(),"")</f>
        <v/>
      </c>
      <c r="N402" s="32" t="str">
        <f aca="true">IF(K402=1,IF(E402="",0,TODAY()-E402)+ROW()/100000,"")</f>
        <v/>
      </c>
      <c r="O402" s="32" t="str">
        <f aca="false">IF(N402="","",RANK(N402,$N$2:$N$1000))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4"/>
      <c r="F403" s="34"/>
      <c r="G403" s="35" t="str">
        <f aca="true">IF(OR(E403="",J403=0),"",IF(F403&lt;&gt;"",F403-E403,TODAY()-E403))</f>
        <v/>
      </c>
      <c r="H403" s="29"/>
      <c r="I403" s="33"/>
      <c r="J403" s="32" t="n">
        <f aca="false">IF(OR(D403="",D403="Planned"),0,1)</f>
        <v>0</v>
      </c>
      <c r="K403" s="32" t="n">
        <f aca="false">IF(OR(D403="Under review",D403="Revision requested"),1,0)</f>
        <v>0</v>
      </c>
      <c r="L403" s="32" t="str">
        <f aca="false">IF(AND(J403=1,E403&lt;&gt;""),E403+ROW()/100000,"")</f>
        <v/>
      </c>
      <c r="M403" s="32" t="str">
        <f aca="false">IF(D403="Planned",ROW(),"")</f>
        <v/>
      </c>
      <c r="N403" s="32" t="str">
        <f aca="true">IF(K403=1,IF(E403="",0,TODAY()-E403)+ROW()/100000,"")</f>
        <v/>
      </c>
      <c r="O403" s="32" t="str">
        <f aca="false">IF(N403="","",RANK(N403,$N$2:$N$1000))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4"/>
      <c r="F404" s="34"/>
      <c r="G404" s="35" t="str">
        <f aca="true">IF(OR(E404="",J404=0),"",IF(F404&lt;&gt;"",F404-E404,TODAY()-E404))</f>
        <v/>
      </c>
      <c r="H404" s="29"/>
      <c r="I404" s="33"/>
      <c r="J404" s="32" t="n">
        <f aca="false">IF(OR(D404="",D404="Planned"),0,1)</f>
        <v>0</v>
      </c>
      <c r="K404" s="32" t="n">
        <f aca="false">IF(OR(D404="Under review",D404="Revision requested"),1,0)</f>
        <v>0</v>
      </c>
      <c r="L404" s="32" t="str">
        <f aca="false">IF(AND(J404=1,E404&lt;&gt;""),E404+ROW()/100000,"")</f>
        <v/>
      </c>
      <c r="M404" s="32" t="str">
        <f aca="false">IF(D404="Planned",ROW(),"")</f>
        <v/>
      </c>
      <c r="N404" s="32" t="str">
        <f aca="true">IF(K404=1,IF(E404="",0,TODAY()-E404)+ROW()/100000,"")</f>
        <v/>
      </c>
      <c r="O404" s="32" t="str">
        <f aca="false">IF(N404="","",RANK(N404,$N$2:$N$1000))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4"/>
      <c r="F405" s="34"/>
      <c r="G405" s="35" t="str">
        <f aca="true">IF(OR(E405="",J405=0),"",IF(F405&lt;&gt;"",F405-E405,TODAY()-E405))</f>
        <v/>
      </c>
      <c r="H405" s="29"/>
      <c r="I405" s="33"/>
      <c r="J405" s="32" t="n">
        <f aca="false">IF(OR(D405="",D405="Planned"),0,1)</f>
        <v>0</v>
      </c>
      <c r="K405" s="32" t="n">
        <f aca="false">IF(OR(D405="Under review",D405="Revision requested"),1,0)</f>
        <v>0</v>
      </c>
      <c r="L405" s="32" t="str">
        <f aca="false">IF(AND(J405=1,E405&lt;&gt;""),E405+ROW()/100000,"")</f>
        <v/>
      </c>
      <c r="M405" s="32" t="str">
        <f aca="false">IF(D405="Planned",ROW(),"")</f>
        <v/>
      </c>
      <c r="N405" s="32" t="str">
        <f aca="true">IF(K405=1,IF(E405="",0,TODAY()-E405)+ROW()/100000,"")</f>
        <v/>
      </c>
      <c r="O405" s="32" t="str">
        <f aca="false">IF(N405="","",RANK(N405,$N$2:$N$1000))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4"/>
      <c r="F406" s="34"/>
      <c r="G406" s="35" t="str">
        <f aca="true">IF(OR(E406="",J406=0),"",IF(F406&lt;&gt;"",F406-E406,TODAY()-E406))</f>
        <v/>
      </c>
      <c r="H406" s="29"/>
      <c r="I406" s="33"/>
      <c r="J406" s="32" t="n">
        <f aca="false">IF(OR(D406="",D406="Planned"),0,1)</f>
        <v>0</v>
      </c>
      <c r="K406" s="32" t="n">
        <f aca="false">IF(OR(D406="Under review",D406="Revision requested"),1,0)</f>
        <v>0</v>
      </c>
      <c r="L406" s="32" t="str">
        <f aca="false">IF(AND(J406=1,E406&lt;&gt;""),E406+ROW()/100000,"")</f>
        <v/>
      </c>
      <c r="M406" s="32" t="str">
        <f aca="false">IF(D406="Planned",ROW(),"")</f>
        <v/>
      </c>
      <c r="N406" s="32" t="str">
        <f aca="true">IF(K406=1,IF(E406="",0,TODAY()-E406)+ROW()/100000,"")</f>
        <v/>
      </c>
      <c r="O406" s="32" t="str">
        <f aca="false">IF(N406="","",RANK(N406,$N$2:$N$1000))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4"/>
      <c r="F407" s="34"/>
      <c r="G407" s="35" t="str">
        <f aca="true">IF(OR(E407="",J407=0),"",IF(F407&lt;&gt;"",F407-E407,TODAY()-E407))</f>
        <v/>
      </c>
      <c r="H407" s="29"/>
      <c r="I407" s="33"/>
      <c r="J407" s="32" t="n">
        <f aca="false">IF(OR(D407="",D407="Planned"),0,1)</f>
        <v>0</v>
      </c>
      <c r="K407" s="32" t="n">
        <f aca="false">IF(OR(D407="Under review",D407="Revision requested"),1,0)</f>
        <v>0</v>
      </c>
      <c r="L407" s="32" t="str">
        <f aca="false">IF(AND(J407=1,E407&lt;&gt;""),E407+ROW()/100000,"")</f>
        <v/>
      </c>
      <c r="M407" s="32" t="str">
        <f aca="false">IF(D407="Planned",ROW(),"")</f>
        <v/>
      </c>
      <c r="N407" s="32" t="str">
        <f aca="true">IF(K407=1,IF(E407="",0,TODAY()-E407)+ROW()/100000,"")</f>
        <v/>
      </c>
      <c r="O407" s="32" t="str">
        <f aca="false">IF(N407="","",RANK(N407,$N$2:$N$1000))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4"/>
      <c r="F408" s="34"/>
      <c r="G408" s="35" t="str">
        <f aca="true">IF(OR(E408="",J408=0),"",IF(F408&lt;&gt;"",F408-E408,TODAY()-E408))</f>
        <v/>
      </c>
      <c r="H408" s="29"/>
      <c r="I408" s="33"/>
      <c r="J408" s="32" t="n">
        <f aca="false">IF(OR(D408="",D408="Planned"),0,1)</f>
        <v>0</v>
      </c>
      <c r="K408" s="32" t="n">
        <f aca="false">IF(OR(D408="Under review",D408="Revision requested"),1,0)</f>
        <v>0</v>
      </c>
      <c r="L408" s="32" t="str">
        <f aca="false">IF(AND(J408=1,E408&lt;&gt;""),E408+ROW()/100000,"")</f>
        <v/>
      </c>
      <c r="M408" s="32" t="str">
        <f aca="false">IF(D408="Planned",ROW(),"")</f>
        <v/>
      </c>
      <c r="N408" s="32" t="str">
        <f aca="true">IF(K408=1,IF(E408="",0,TODAY()-E408)+ROW()/100000,"")</f>
        <v/>
      </c>
      <c r="O408" s="32" t="str">
        <f aca="false">IF(N408="","",RANK(N408,$N$2:$N$1000))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4"/>
      <c r="F409" s="34"/>
      <c r="G409" s="35" t="str">
        <f aca="true">IF(OR(E409="",J409=0),"",IF(F409&lt;&gt;"",F409-E409,TODAY()-E409))</f>
        <v/>
      </c>
      <c r="H409" s="29"/>
      <c r="I409" s="33"/>
      <c r="J409" s="32" t="n">
        <f aca="false">IF(OR(D409="",D409="Planned"),0,1)</f>
        <v>0</v>
      </c>
      <c r="K409" s="32" t="n">
        <f aca="false">IF(OR(D409="Under review",D409="Revision requested"),1,0)</f>
        <v>0</v>
      </c>
      <c r="L409" s="32" t="str">
        <f aca="false">IF(AND(J409=1,E409&lt;&gt;""),E409+ROW()/100000,"")</f>
        <v/>
      </c>
      <c r="M409" s="32" t="str">
        <f aca="false">IF(D409="Planned",ROW(),"")</f>
        <v/>
      </c>
      <c r="N409" s="32" t="str">
        <f aca="true">IF(K409=1,IF(E409="",0,TODAY()-E409)+ROW()/100000,"")</f>
        <v/>
      </c>
      <c r="O409" s="32" t="str">
        <f aca="false">IF(N409="","",RANK(N409,$N$2:$N$1000))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4"/>
      <c r="F410" s="34"/>
      <c r="G410" s="35" t="str">
        <f aca="true">IF(OR(E410="",J410=0),"",IF(F410&lt;&gt;"",F410-E410,TODAY()-E410))</f>
        <v/>
      </c>
      <c r="H410" s="29"/>
      <c r="I410" s="33"/>
      <c r="J410" s="32" t="n">
        <f aca="false">IF(OR(D410="",D410="Planned"),0,1)</f>
        <v>0</v>
      </c>
      <c r="K410" s="32" t="n">
        <f aca="false">IF(OR(D410="Under review",D410="Revision requested"),1,0)</f>
        <v>0</v>
      </c>
      <c r="L410" s="32" t="str">
        <f aca="false">IF(AND(J410=1,E410&lt;&gt;""),E410+ROW()/100000,"")</f>
        <v/>
      </c>
      <c r="M410" s="32" t="str">
        <f aca="false">IF(D410="Planned",ROW(),"")</f>
        <v/>
      </c>
      <c r="N410" s="32" t="str">
        <f aca="true">IF(K410=1,IF(E410="",0,TODAY()-E410)+ROW()/100000,"")</f>
        <v/>
      </c>
      <c r="O410" s="32" t="str">
        <f aca="false">IF(N410="","",RANK(N410,$N$2:$N$1000))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4"/>
      <c r="F411" s="34"/>
      <c r="G411" s="35" t="str">
        <f aca="true">IF(OR(E411="",J411=0),"",IF(F411&lt;&gt;"",F411-E411,TODAY()-E411))</f>
        <v/>
      </c>
      <c r="H411" s="29"/>
      <c r="I411" s="33"/>
      <c r="J411" s="32" t="n">
        <f aca="false">IF(OR(D411="",D411="Planned"),0,1)</f>
        <v>0</v>
      </c>
      <c r="K411" s="32" t="n">
        <f aca="false">IF(OR(D411="Under review",D411="Revision requested"),1,0)</f>
        <v>0</v>
      </c>
      <c r="L411" s="32" t="str">
        <f aca="false">IF(AND(J411=1,E411&lt;&gt;""),E411+ROW()/100000,"")</f>
        <v/>
      </c>
      <c r="M411" s="32" t="str">
        <f aca="false">IF(D411="Planned",ROW(),"")</f>
        <v/>
      </c>
      <c r="N411" s="32" t="str">
        <f aca="true">IF(K411=1,IF(E411="",0,TODAY()-E411)+ROW()/100000,"")</f>
        <v/>
      </c>
      <c r="O411" s="32" t="str">
        <f aca="false">IF(N411="","",RANK(N411,$N$2:$N$1000))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4"/>
      <c r="F412" s="34"/>
      <c r="G412" s="35" t="str">
        <f aca="true">IF(OR(E412="",J412=0),"",IF(F412&lt;&gt;"",F412-E412,TODAY()-E412))</f>
        <v/>
      </c>
      <c r="H412" s="29"/>
      <c r="I412" s="33"/>
      <c r="J412" s="32" t="n">
        <f aca="false">IF(OR(D412="",D412="Planned"),0,1)</f>
        <v>0</v>
      </c>
      <c r="K412" s="32" t="n">
        <f aca="false">IF(OR(D412="Under review",D412="Revision requested"),1,0)</f>
        <v>0</v>
      </c>
      <c r="L412" s="32" t="str">
        <f aca="false">IF(AND(J412=1,E412&lt;&gt;""),E412+ROW()/100000,"")</f>
        <v/>
      </c>
      <c r="M412" s="32" t="str">
        <f aca="false">IF(D412="Planned",ROW(),"")</f>
        <v/>
      </c>
      <c r="N412" s="32" t="str">
        <f aca="true">IF(K412=1,IF(E412="",0,TODAY()-E412)+ROW()/100000,"")</f>
        <v/>
      </c>
      <c r="O412" s="32" t="str">
        <f aca="false">IF(N412="","",RANK(N412,$N$2:$N$1000))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4"/>
      <c r="F413" s="34"/>
      <c r="G413" s="35" t="str">
        <f aca="true">IF(OR(E413="",J413=0),"",IF(F413&lt;&gt;"",F413-E413,TODAY()-E413))</f>
        <v/>
      </c>
      <c r="H413" s="29"/>
      <c r="I413" s="33"/>
      <c r="J413" s="32" t="n">
        <f aca="false">IF(OR(D413="",D413="Planned"),0,1)</f>
        <v>0</v>
      </c>
      <c r="K413" s="32" t="n">
        <f aca="false">IF(OR(D413="Under review",D413="Revision requested"),1,0)</f>
        <v>0</v>
      </c>
      <c r="L413" s="32" t="str">
        <f aca="false">IF(AND(J413=1,E413&lt;&gt;""),E413+ROW()/100000,"")</f>
        <v/>
      </c>
      <c r="M413" s="32" t="str">
        <f aca="false">IF(D413="Planned",ROW(),"")</f>
        <v/>
      </c>
      <c r="N413" s="32" t="str">
        <f aca="true">IF(K413=1,IF(E413="",0,TODAY()-E413)+ROW()/100000,"")</f>
        <v/>
      </c>
      <c r="O413" s="32" t="str">
        <f aca="false">IF(N413="","",RANK(N413,$N$2:$N$1000))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4"/>
      <c r="F414" s="34"/>
      <c r="G414" s="35" t="str">
        <f aca="true">IF(OR(E414="",J414=0),"",IF(F414&lt;&gt;"",F414-E414,TODAY()-E414))</f>
        <v/>
      </c>
      <c r="H414" s="29"/>
      <c r="I414" s="33"/>
      <c r="J414" s="32" t="n">
        <f aca="false">IF(OR(D414="",D414="Planned"),0,1)</f>
        <v>0</v>
      </c>
      <c r="K414" s="32" t="n">
        <f aca="false">IF(OR(D414="Under review",D414="Revision requested"),1,0)</f>
        <v>0</v>
      </c>
      <c r="L414" s="32" t="str">
        <f aca="false">IF(AND(J414=1,E414&lt;&gt;""),E414+ROW()/100000,"")</f>
        <v/>
      </c>
      <c r="M414" s="32" t="str">
        <f aca="false">IF(D414="Planned",ROW(),"")</f>
        <v/>
      </c>
      <c r="N414" s="32" t="str">
        <f aca="true">IF(K414=1,IF(E414="",0,TODAY()-E414)+ROW()/100000,"")</f>
        <v/>
      </c>
      <c r="O414" s="32" t="str">
        <f aca="false">IF(N414="","",RANK(N414,$N$2:$N$1000))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4"/>
      <c r="F415" s="34"/>
      <c r="G415" s="35" t="str">
        <f aca="true">IF(OR(E415="",J415=0),"",IF(F415&lt;&gt;"",F415-E415,TODAY()-E415))</f>
        <v/>
      </c>
      <c r="H415" s="29"/>
      <c r="I415" s="33"/>
      <c r="J415" s="32" t="n">
        <f aca="false">IF(OR(D415="",D415="Planned"),0,1)</f>
        <v>0</v>
      </c>
      <c r="K415" s="32" t="n">
        <f aca="false">IF(OR(D415="Under review",D415="Revision requested"),1,0)</f>
        <v>0</v>
      </c>
      <c r="L415" s="32" t="str">
        <f aca="false">IF(AND(J415=1,E415&lt;&gt;""),E415+ROW()/100000,"")</f>
        <v/>
      </c>
      <c r="M415" s="32" t="str">
        <f aca="false">IF(D415="Planned",ROW(),"")</f>
        <v/>
      </c>
      <c r="N415" s="32" t="str">
        <f aca="true">IF(K415=1,IF(E415="",0,TODAY()-E415)+ROW()/100000,"")</f>
        <v/>
      </c>
      <c r="O415" s="32" t="str">
        <f aca="false">IF(N415="","",RANK(N415,$N$2:$N$1000))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4"/>
      <c r="F416" s="34"/>
      <c r="G416" s="35" t="str">
        <f aca="true">IF(OR(E416="",J416=0),"",IF(F416&lt;&gt;"",F416-E416,TODAY()-E416))</f>
        <v/>
      </c>
      <c r="H416" s="29"/>
      <c r="I416" s="33"/>
      <c r="J416" s="32" t="n">
        <f aca="false">IF(OR(D416="",D416="Planned"),0,1)</f>
        <v>0</v>
      </c>
      <c r="K416" s="32" t="n">
        <f aca="false">IF(OR(D416="Under review",D416="Revision requested"),1,0)</f>
        <v>0</v>
      </c>
      <c r="L416" s="32" t="str">
        <f aca="false">IF(AND(J416=1,E416&lt;&gt;""),E416+ROW()/100000,"")</f>
        <v/>
      </c>
      <c r="M416" s="32" t="str">
        <f aca="false">IF(D416="Planned",ROW(),"")</f>
        <v/>
      </c>
      <c r="N416" s="32" t="str">
        <f aca="true">IF(K416=1,IF(E416="",0,TODAY()-E416)+ROW()/100000,"")</f>
        <v/>
      </c>
      <c r="O416" s="32" t="str">
        <f aca="false">IF(N416="","",RANK(N416,$N$2:$N$1000))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4"/>
      <c r="F417" s="34"/>
      <c r="G417" s="35" t="str">
        <f aca="true">IF(OR(E417="",J417=0),"",IF(F417&lt;&gt;"",F417-E417,TODAY()-E417))</f>
        <v/>
      </c>
      <c r="H417" s="29"/>
      <c r="I417" s="33"/>
      <c r="J417" s="32" t="n">
        <f aca="false">IF(OR(D417="",D417="Planned"),0,1)</f>
        <v>0</v>
      </c>
      <c r="K417" s="32" t="n">
        <f aca="false">IF(OR(D417="Under review",D417="Revision requested"),1,0)</f>
        <v>0</v>
      </c>
      <c r="L417" s="32" t="str">
        <f aca="false">IF(AND(J417=1,E417&lt;&gt;""),E417+ROW()/100000,"")</f>
        <v/>
      </c>
      <c r="M417" s="32" t="str">
        <f aca="false">IF(D417="Planned",ROW(),"")</f>
        <v/>
      </c>
      <c r="N417" s="32" t="str">
        <f aca="true">IF(K417=1,IF(E417="",0,TODAY()-E417)+ROW()/100000,"")</f>
        <v/>
      </c>
      <c r="O417" s="32" t="str">
        <f aca="false">IF(N417="","",RANK(N417,$N$2:$N$1000))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4"/>
      <c r="F418" s="34"/>
      <c r="G418" s="35" t="str">
        <f aca="true">IF(OR(E418="",J418=0),"",IF(F418&lt;&gt;"",F418-E418,TODAY()-E418))</f>
        <v/>
      </c>
      <c r="H418" s="29"/>
      <c r="I418" s="33"/>
      <c r="J418" s="32" t="n">
        <f aca="false">IF(OR(D418="",D418="Planned"),0,1)</f>
        <v>0</v>
      </c>
      <c r="K418" s="32" t="n">
        <f aca="false">IF(OR(D418="Under review",D418="Revision requested"),1,0)</f>
        <v>0</v>
      </c>
      <c r="L418" s="32" t="str">
        <f aca="false">IF(AND(J418=1,E418&lt;&gt;""),E418+ROW()/100000,"")</f>
        <v/>
      </c>
      <c r="M418" s="32" t="str">
        <f aca="false">IF(D418="Planned",ROW(),"")</f>
        <v/>
      </c>
      <c r="N418" s="32" t="str">
        <f aca="true">IF(K418=1,IF(E418="",0,TODAY()-E418)+ROW()/100000,"")</f>
        <v/>
      </c>
      <c r="O418" s="32" t="str">
        <f aca="false">IF(N418="","",RANK(N418,$N$2:$N$1000))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4"/>
      <c r="F419" s="34"/>
      <c r="G419" s="35" t="str">
        <f aca="true">IF(OR(E419="",J419=0),"",IF(F419&lt;&gt;"",F419-E419,TODAY()-E419))</f>
        <v/>
      </c>
      <c r="H419" s="29"/>
      <c r="I419" s="33"/>
      <c r="J419" s="32" t="n">
        <f aca="false">IF(OR(D419="",D419="Planned"),0,1)</f>
        <v>0</v>
      </c>
      <c r="K419" s="32" t="n">
        <f aca="false">IF(OR(D419="Under review",D419="Revision requested"),1,0)</f>
        <v>0</v>
      </c>
      <c r="L419" s="32" t="str">
        <f aca="false">IF(AND(J419=1,E419&lt;&gt;""),E419+ROW()/100000,"")</f>
        <v/>
      </c>
      <c r="M419" s="32" t="str">
        <f aca="false">IF(D419="Planned",ROW(),"")</f>
        <v/>
      </c>
      <c r="N419" s="32" t="str">
        <f aca="true">IF(K419=1,IF(E419="",0,TODAY()-E419)+ROW()/100000,"")</f>
        <v/>
      </c>
      <c r="O419" s="32" t="str">
        <f aca="false">IF(N419="","",RANK(N419,$N$2:$N$1000))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4"/>
      <c r="F420" s="34"/>
      <c r="G420" s="35" t="str">
        <f aca="true">IF(OR(E420="",J420=0),"",IF(F420&lt;&gt;"",F420-E420,TODAY()-E420))</f>
        <v/>
      </c>
      <c r="H420" s="29"/>
      <c r="I420" s="33"/>
      <c r="J420" s="32" t="n">
        <f aca="false">IF(OR(D420="",D420="Planned"),0,1)</f>
        <v>0</v>
      </c>
      <c r="K420" s="32" t="n">
        <f aca="false">IF(OR(D420="Under review",D420="Revision requested"),1,0)</f>
        <v>0</v>
      </c>
      <c r="L420" s="32" t="str">
        <f aca="false">IF(AND(J420=1,E420&lt;&gt;""),E420+ROW()/100000,"")</f>
        <v/>
      </c>
      <c r="M420" s="32" t="str">
        <f aca="false">IF(D420="Planned",ROW(),"")</f>
        <v/>
      </c>
      <c r="N420" s="32" t="str">
        <f aca="true">IF(K420=1,IF(E420="",0,TODAY()-E420)+ROW()/100000,"")</f>
        <v/>
      </c>
      <c r="O420" s="32" t="str">
        <f aca="false">IF(N420="","",RANK(N420,$N$2:$N$1000))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4"/>
      <c r="F421" s="34"/>
      <c r="G421" s="35" t="str">
        <f aca="true">IF(OR(E421="",J421=0),"",IF(F421&lt;&gt;"",F421-E421,TODAY()-E421))</f>
        <v/>
      </c>
      <c r="H421" s="29"/>
      <c r="I421" s="33"/>
      <c r="J421" s="32" t="n">
        <f aca="false">IF(OR(D421="",D421="Planned"),0,1)</f>
        <v>0</v>
      </c>
      <c r="K421" s="32" t="n">
        <f aca="false">IF(OR(D421="Under review",D421="Revision requested"),1,0)</f>
        <v>0</v>
      </c>
      <c r="L421" s="32" t="str">
        <f aca="false">IF(AND(J421=1,E421&lt;&gt;""),E421+ROW()/100000,"")</f>
        <v/>
      </c>
      <c r="M421" s="32" t="str">
        <f aca="false">IF(D421="Planned",ROW(),"")</f>
        <v/>
      </c>
      <c r="N421" s="32" t="str">
        <f aca="true">IF(K421=1,IF(E421="",0,TODAY()-E421)+ROW()/100000,"")</f>
        <v/>
      </c>
      <c r="O421" s="32" t="str">
        <f aca="false">IF(N421="","",RANK(N421,$N$2:$N$1000))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4"/>
      <c r="F422" s="34"/>
      <c r="G422" s="35" t="str">
        <f aca="true">IF(OR(E422="",J422=0),"",IF(F422&lt;&gt;"",F422-E422,TODAY()-E422))</f>
        <v/>
      </c>
      <c r="H422" s="29"/>
      <c r="I422" s="33"/>
      <c r="J422" s="32" t="n">
        <f aca="false">IF(OR(D422="",D422="Planned"),0,1)</f>
        <v>0</v>
      </c>
      <c r="K422" s="32" t="n">
        <f aca="false">IF(OR(D422="Under review",D422="Revision requested"),1,0)</f>
        <v>0</v>
      </c>
      <c r="L422" s="32" t="str">
        <f aca="false">IF(AND(J422=1,E422&lt;&gt;""),E422+ROW()/100000,"")</f>
        <v/>
      </c>
      <c r="M422" s="32" t="str">
        <f aca="false">IF(D422="Planned",ROW(),"")</f>
        <v/>
      </c>
      <c r="N422" s="32" t="str">
        <f aca="true">IF(K422=1,IF(E422="",0,TODAY()-E422)+ROW()/100000,"")</f>
        <v/>
      </c>
      <c r="O422" s="32" t="str">
        <f aca="false">IF(N422="","",RANK(N422,$N$2:$N$1000))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4"/>
      <c r="F423" s="34"/>
      <c r="G423" s="35" t="str">
        <f aca="true">IF(OR(E423="",J423=0),"",IF(F423&lt;&gt;"",F423-E423,TODAY()-E423))</f>
        <v/>
      </c>
      <c r="H423" s="29"/>
      <c r="I423" s="33"/>
      <c r="J423" s="32" t="n">
        <f aca="false">IF(OR(D423="",D423="Planned"),0,1)</f>
        <v>0</v>
      </c>
      <c r="K423" s="32" t="n">
        <f aca="false">IF(OR(D423="Under review",D423="Revision requested"),1,0)</f>
        <v>0</v>
      </c>
      <c r="L423" s="32" t="str">
        <f aca="false">IF(AND(J423=1,E423&lt;&gt;""),E423+ROW()/100000,"")</f>
        <v/>
      </c>
      <c r="M423" s="32" t="str">
        <f aca="false">IF(D423="Planned",ROW(),"")</f>
        <v/>
      </c>
      <c r="N423" s="32" t="str">
        <f aca="true">IF(K423=1,IF(E423="",0,TODAY()-E423)+ROW()/100000,"")</f>
        <v/>
      </c>
      <c r="O423" s="32" t="str">
        <f aca="false">IF(N423="","",RANK(N423,$N$2:$N$1000))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4"/>
      <c r="F424" s="34"/>
      <c r="G424" s="35" t="str">
        <f aca="true">IF(OR(E424="",J424=0),"",IF(F424&lt;&gt;"",F424-E424,TODAY()-E424))</f>
        <v/>
      </c>
      <c r="H424" s="29"/>
      <c r="I424" s="33"/>
      <c r="J424" s="32" t="n">
        <f aca="false">IF(OR(D424="",D424="Planned"),0,1)</f>
        <v>0</v>
      </c>
      <c r="K424" s="32" t="n">
        <f aca="false">IF(OR(D424="Under review",D424="Revision requested"),1,0)</f>
        <v>0</v>
      </c>
      <c r="L424" s="32" t="str">
        <f aca="false">IF(AND(J424=1,E424&lt;&gt;""),E424+ROW()/100000,"")</f>
        <v/>
      </c>
      <c r="M424" s="32" t="str">
        <f aca="false">IF(D424="Planned",ROW(),"")</f>
        <v/>
      </c>
      <c r="N424" s="32" t="str">
        <f aca="true">IF(K424=1,IF(E424="",0,TODAY()-E424)+ROW()/100000,"")</f>
        <v/>
      </c>
      <c r="O424" s="32" t="str">
        <f aca="false">IF(N424="","",RANK(N424,$N$2:$N$1000))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4"/>
      <c r="F425" s="34"/>
      <c r="G425" s="35" t="str">
        <f aca="true">IF(OR(E425="",J425=0),"",IF(F425&lt;&gt;"",F425-E425,TODAY()-E425))</f>
        <v/>
      </c>
      <c r="H425" s="29"/>
      <c r="I425" s="33"/>
      <c r="J425" s="32" t="n">
        <f aca="false">IF(OR(D425="",D425="Planned"),0,1)</f>
        <v>0</v>
      </c>
      <c r="K425" s="32" t="n">
        <f aca="false">IF(OR(D425="Under review",D425="Revision requested"),1,0)</f>
        <v>0</v>
      </c>
      <c r="L425" s="32" t="str">
        <f aca="false">IF(AND(J425=1,E425&lt;&gt;""),E425+ROW()/100000,"")</f>
        <v/>
      </c>
      <c r="M425" s="32" t="str">
        <f aca="false">IF(D425="Planned",ROW(),"")</f>
        <v/>
      </c>
      <c r="N425" s="32" t="str">
        <f aca="true">IF(K425=1,IF(E425="",0,TODAY()-E425)+ROW()/100000,"")</f>
        <v/>
      </c>
      <c r="O425" s="32" t="str">
        <f aca="false">IF(N425="","",RANK(N425,$N$2:$N$1000))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4"/>
      <c r="F426" s="34"/>
      <c r="G426" s="35" t="str">
        <f aca="true">IF(OR(E426="",J426=0),"",IF(F426&lt;&gt;"",F426-E426,TODAY()-E426))</f>
        <v/>
      </c>
      <c r="H426" s="29"/>
      <c r="I426" s="33"/>
      <c r="J426" s="32" t="n">
        <f aca="false">IF(OR(D426="",D426="Planned"),0,1)</f>
        <v>0</v>
      </c>
      <c r="K426" s="32" t="n">
        <f aca="false">IF(OR(D426="Under review",D426="Revision requested"),1,0)</f>
        <v>0</v>
      </c>
      <c r="L426" s="32" t="str">
        <f aca="false">IF(AND(J426=1,E426&lt;&gt;""),E426+ROW()/100000,"")</f>
        <v/>
      </c>
      <c r="M426" s="32" t="str">
        <f aca="false">IF(D426="Planned",ROW(),"")</f>
        <v/>
      </c>
      <c r="N426" s="32" t="str">
        <f aca="true">IF(K426=1,IF(E426="",0,TODAY()-E426)+ROW()/100000,"")</f>
        <v/>
      </c>
      <c r="O426" s="32" t="str">
        <f aca="false">IF(N426="","",RANK(N426,$N$2:$N$1000))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4"/>
      <c r="F427" s="34"/>
      <c r="G427" s="35" t="str">
        <f aca="true">IF(OR(E427="",J427=0),"",IF(F427&lt;&gt;"",F427-E427,TODAY()-E427))</f>
        <v/>
      </c>
      <c r="H427" s="29"/>
      <c r="I427" s="33"/>
      <c r="J427" s="32" t="n">
        <f aca="false">IF(OR(D427="",D427="Planned"),0,1)</f>
        <v>0</v>
      </c>
      <c r="K427" s="32" t="n">
        <f aca="false">IF(OR(D427="Under review",D427="Revision requested"),1,0)</f>
        <v>0</v>
      </c>
      <c r="L427" s="32" t="str">
        <f aca="false">IF(AND(J427=1,E427&lt;&gt;""),E427+ROW()/100000,"")</f>
        <v/>
      </c>
      <c r="M427" s="32" t="str">
        <f aca="false">IF(D427="Planned",ROW(),"")</f>
        <v/>
      </c>
      <c r="N427" s="32" t="str">
        <f aca="true">IF(K427=1,IF(E427="",0,TODAY()-E427)+ROW()/100000,"")</f>
        <v/>
      </c>
      <c r="O427" s="32" t="str">
        <f aca="false">IF(N427="","",RANK(N427,$N$2:$N$1000))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4"/>
      <c r="F428" s="34"/>
      <c r="G428" s="35" t="str">
        <f aca="true">IF(OR(E428="",J428=0),"",IF(F428&lt;&gt;"",F428-E428,TODAY()-E428))</f>
        <v/>
      </c>
      <c r="H428" s="29"/>
      <c r="I428" s="33"/>
      <c r="J428" s="32" t="n">
        <f aca="false">IF(OR(D428="",D428="Planned"),0,1)</f>
        <v>0</v>
      </c>
      <c r="K428" s="32" t="n">
        <f aca="false">IF(OR(D428="Under review",D428="Revision requested"),1,0)</f>
        <v>0</v>
      </c>
      <c r="L428" s="32" t="str">
        <f aca="false">IF(AND(J428=1,E428&lt;&gt;""),E428+ROW()/100000,"")</f>
        <v/>
      </c>
      <c r="M428" s="32" t="str">
        <f aca="false">IF(D428="Planned",ROW(),"")</f>
        <v/>
      </c>
      <c r="N428" s="32" t="str">
        <f aca="true">IF(K428=1,IF(E428="",0,TODAY()-E428)+ROW()/100000,"")</f>
        <v/>
      </c>
      <c r="O428" s="32" t="str">
        <f aca="false">IF(N428="","",RANK(N428,$N$2:$N$1000))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4"/>
      <c r="F429" s="34"/>
      <c r="G429" s="35" t="str">
        <f aca="true">IF(OR(E429="",J429=0),"",IF(F429&lt;&gt;"",F429-E429,TODAY()-E429))</f>
        <v/>
      </c>
      <c r="H429" s="29"/>
      <c r="I429" s="33"/>
      <c r="J429" s="32" t="n">
        <f aca="false">IF(OR(D429="",D429="Planned"),0,1)</f>
        <v>0</v>
      </c>
      <c r="K429" s="32" t="n">
        <f aca="false">IF(OR(D429="Under review",D429="Revision requested"),1,0)</f>
        <v>0</v>
      </c>
      <c r="L429" s="32" t="str">
        <f aca="false">IF(AND(J429=1,E429&lt;&gt;""),E429+ROW()/100000,"")</f>
        <v/>
      </c>
      <c r="M429" s="32" t="str">
        <f aca="false">IF(D429="Planned",ROW(),"")</f>
        <v/>
      </c>
      <c r="N429" s="32" t="str">
        <f aca="true">IF(K429=1,IF(E429="",0,TODAY()-E429)+ROW()/100000,"")</f>
        <v/>
      </c>
      <c r="O429" s="32" t="str">
        <f aca="false">IF(N429="","",RANK(N429,$N$2:$N$1000))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4"/>
      <c r="F430" s="34"/>
      <c r="G430" s="35" t="str">
        <f aca="true">IF(OR(E430="",J430=0),"",IF(F430&lt;&gt;"",F430-E430,TODAY()-E430))</f>
        <v/>
      </c>
      <c r="H430" s="29"/>
      <c r="I430" s="33"/>
      <c r="J430" s="32" t="n">
        <f aca="false">IF(OR(D430="",D430="Planned"),0,1)</f>
        <v>0</v>
      </c>
      <c r="K430" s="32" t="n">
        <f aca="false">IF(OR(D430="Under review",D430="Revision requested"),1,0)</f>
        <v>0</v>
      </c>
      <c r="L430" s="32" t="str">
        <f aca="false">IF(AND(J430=1,E430&lt;&gt;""),E430+ROW()/100000,"")</f>
        <v/>
      </c>
      <c r="M430" s="32" t="str">
        <f aca="false">IF(D430="Planned",ROW(),"")</f>
        <v/>
      </c>
      <c r="N430" s="32" t="str">
        <f aca="true">IF(K430=1,IF(E430="",0,TODAY()-E430)+ROW()/100000,"")</f>
        <v/>
      </c>
      <c r="O430" s="32" t="str">
        <f aca="false">IF(N430="","",RANK(N430,$N$2:$N$1000))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4"/>
      <c r="F431" s="34"/>
      <c r="G431" s="35" t="str">
        <f aca="true">IF(OR(E431="",J431=0),"",IF(F431&lt;&gt;"",F431-E431,TODAY()-E431))</f>
        <v/>
      </c>
      <c r="H431" s="29"/>
      <c r="I431" s="33"/>
      <c r="J431" s="32" t="n">
        <f aca="false">IF(OR(D431="",D431="Planned"),0,1)</f>
        <v>0</v>
      </c>
      <c r="K431" s="32" t="n">
        <f aca="false">IF(OR(D431="Under review",D431="Revision requested"),1,0)</f>
        <v>0</v>
      </c>
      <c r="L431" s="32" t="str">
        <f aca="false">IF(AND(J431=1,E431&lt;&gt;""),E431+ROW()/100000,"")</f>
        <v/>
      </c>
      <c r="M431" s="32" t="str">
        <f aca="false">IF(D431="Planned",ROW(),"")</f>
        <v/>
      </c>
      <c r="N431" s="32" t="str">
        <f aca="true">IF(K431=1,IF(E431="",0,TODAY()-E431)+ROW()/100000,"")</f>
        <v/>
      </c>
      <c r="O431" s="32" t="str">
        <f aca="false">IF(N431="","",RANK(N431,$N$2:$N$1000))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4"/>
      <c r="F432" s="34"/>
      <c r="G432" s="35" t="str">
        <f aca="true">IF(OR(E432="",J432=0),"",IF(F432&lt;&gt;"",F432-E432,TODAY()-E432))</f>
        <v/>
      </c>
      <c r="H432" s="29"/>
      <c r="I432" s="33"/>
      <c r="J432" s="32" t="n">
        <f aca="false">IF(OR(D432="",D432="Planned"),0,1)</f>
        <v>0</v>
      </c>
      <c r="K432" s="32" t="n">
        <f aca="false">IF(OR(D432="Under review",D432="Revision requested"),1,0)</f>
        <v>0</v>
      </c>
      <c r="L432" s="32" t="str">
        <f aca="false">IF(AND(J432=1,E432&lt;&gt;""),E432+ROW()/100000,"")</f>
        <v/>
      </c>
      <c r="M432" s="32" t="str">
        <f aca="false">IF(D432="Planned",ROW(),"")</f>
        <v/>
      </c>
      <c r="N432" s="32" t="str">
        <f aca="true">IF(K432=1,IF(E432="",0,TODAY()-E432)+ROW()/100000,"")</f>
        <v/>
      </c>
      <c r="O432" s="32" t="str">
        <f aca="false">IF(N432="","",RANK(N432,$N$2:$N$1000))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4"/>
      <c r="F433" s="34"/>
      <c r="G433" s="35" t="str">
        <f aca="true">IF(OR(E433="",J433=0),"",IF(F433&lt;&gt;"",F433-E433,TODAY()-E433))</f>
        <v/>
      </c>
      <c r="H433" s="29"/>
      <c r="I433" s="33"/>
      <c r="J433" s="32" t="n">
        <f aca="false">IF(OR(D433="",D433="Planned"),0,1)</f>
        <v>0</v>
      </c>
      <c r="K433" s="32" t="n">
        <f aca="false">IF(OR(D433="Under review",D433="Revision requested"),1,0)</f>
        <v>0</v>
      </c>
      <c r="L433" s="32" t="str">
        <f aca="false">IF(AND(J433=1,E433&lt;&gt;""),E433+ROW()/100000,"")</f>
        <v/>
      </c>
      <c r="M433" s="32" t="str">
        <f aca="false">IF(D433="Planned",ROW(),"")</f>
        <v/>
      </c>
      <c r="N433" s="32" t="str">
        <f aca="true">IF(K433=1,IF(E433="",0,TODAY()-E433)+ROW()/100000,"")</f>
        <v/>
      </c>
      <c r="O433" s="32" t="str">
        <f aca="false">IF(N433="","",RANK(N433,$N$2:$N$1000))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4"/>
      <c r="F434" s="34"/>
      <c r="G434" s="35" t="str">
        <f aca="true">IF(OR(E434="",J434=0),"",IF(F434&lt;&gt;"",F434-E434,TODAY()-E434))</f>
        <v/>
      </c>
      <c r="H434" s="29"/>
      <c r="I434" s="33"/>
      <c r="J434" s="32" t="n">
        <f aca="false">IF(OR(D434="",D434="Planned"),0,1)</f>
        <v>0</v>
      </c>
      <c r="K434" s="32" t="n">
        <f aca="false">IF(OR(D434="Under review",D434="Revision requested"),1,0)</f>
        <v>0</v>
      </c>
      <c r="L434" s="32" t="str">
        <f aca="false">IF(AND(J434=1,E434&lt;&gt;""),E434+ROW()/100000,"")</f>
        <v/>
      </c>
      <c r="M434" s="32" t="str">
        <f aca="false">IF(D434="Planned",ROW(),"")</f>
        <v/>
      </c>
      <c r="N434" s="32" t="str">
        <f aca="true">IF(K434=1,IF(E434="",0,TODAY()-E434)+ROW()/100000,"")</f>
        <v/>
      </c>
      <c r="O434" s="32" t="str">
        <f aca="false">IF(N434="","",RANK(N434,$N$2:$N$1000))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4"/>
      <c r="F435" s="34"/>
      <c r="G435" s="35" t="str">
        <f aca="true">IF(OR(E435="",J435=0),"",IF(F435&lt;&gt;"",F435-E435,TODAY()-E435))</f>
        <v/>
      </c>
      <c r="H435" s="29"/>
      <c r="I435" s="33"/>
      <c r="J435" s="32" t="n">
        <f aca="false">IF(OR(D435="",D435="Planned"),0,1)</f>
        <v>0</v>
      </c>
      <c r="K435" s="32" t="n">
        <f aca="false">IF(OR(D435="Under review",D435="Revision requested"),1,0)</f>
        <v>0</v>
      </c>
      <c r="L435" s="32" t="str">
        <f aca="false">IF(AND(J435=1,E435&lt;&gt;""),E435+ROW()/100000,"")</f>
        <v/>
      </c>
      <c r="M435" s="32" t="str">
        <f aca="false">IF(D435="Planned",ROW(),"")</f>
        <v/>
      </c>
      <c r="N435" s="32" t="str">
        <f aca="true">IF(K435=1,IF(E435="",0,TODAY()-E435)+ROW()/100000,"")</f>
        <v/>
      </c>
      <c r="O435" s="32" t="str">
        <f aca="false">IF(N435="","",RANK(N435,$N$2:$N$1000))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4"/>
      <c r="F436" s="34"/>
      <c r="G436" s="35" t="str">
        <f aca="true">IF(OR(E436="",J436=0),"",IF(F436&lt;&gt;"",F436-E436,TODAY()-E436))</f>
        <v/>
      </c>
      <c r="H436" s="29"/>
      <c r="I436" s="33"/>
      <c r="J436" s="32" t="n">
        <f aca="false">IF(OR(D436="",D436="Planned"),0,1)</f>
        <v>0</v>
      </c>
      <c r="K436" s="32" t="n">
        <f aca="false">IF(OR(D436="Under review",D436="Revision requested"),1,0)</f>
        <v>0</v>
      </c>
      <c r="L436" s="32" t="str">
        <f aca="false">IF(AND(J436=1,E436&lt;&gt;""),E436+ROW()/100000,"")</f>
        <v/>
      </c>
      <c r="M436" s="32" t="str">
        <f aca="false">IF(D436="Planned",ROW(),"")</f>
        <v/>
      </c>
      <c r="N436" s="32" t="str">
        <f aca="true">IF(K436=1,IF(E436="",0,TODAY()-E436)+ROW()/100000,"")</f>
        <v/>
      </c>
      <c r="O436" s="32" t="str">
        <f aca="false">IF(N436="","",RANK(N436,$N$2:$N$1000))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4"/>
      <c r="F437" s="34"/>
      <c r="G437" s="35" t="str">
        <f aca="true">IF(OR(E437="",J437=0),"",IF(F437&lt;&gt;"",F437-E437,TODAY()-E437))</f>
        <v/>
      </c>
      <c r="H437" s="29"/>
      <c r="I437" s="33"/>
      <c r="J437" s="32" t="n">
        <f aca="false">IF(OR(D437="",D437="Planned"),0,1)</f>
        <v>0</v>
      </c>
      <c r="K437" s="32" t="n">
        <f aca="false">IF(OR(D437="Under review",D437="Revision requested"),1,0)</f>
        <v>0</v>
      </c>
      <c r="L437" s="32" t="str">
        <f aca="false">IF(AND(J437=1,E437&lt;&gt;""),E437+ROW()/100000,"")</f>
        <v/>
      </c>
      <c r="M437" s="32" t="str">
        <f aca="false">IF(D437="Planned",ROW(),"")</f>
        <v/>
      </c>
      <c r="N437" s="32" t="str">
        <f aca="true">IF(K437=1,IF(E437="",0,TODAY()-E437)+ROW()/100000,"")</f>
        <v/>
      </c>
      <c r="O437" s="32" t="str">
        <f aca="false">IF(N437="","",RANK(N437,$N$2:$N$1000))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4"/>
      <c r="F438" s="34"/>
      <c r="G438" s="35" t="str">
        <f aca="true">IF(OR(E438="",J438=0),"",IF(F438&lt;&gt;"",F438-E438,TODAY()-E438))</f>
        <v/>
      </c>
      <c r="H438" s="29"/>
      <c r="I438" s="33"/>
      <c r="J438" s="32" t="n">
        <f aca="false">IF(OR(D438="",D438="Planned"),0,1)</f>
        <v>0</v>
      </c>
      <c r="K438" s="32" t="n">
        <f aca="false">IF(OR(D438="Under review",D438="Revision requested"),1,0)</f>
        <v>0</v>
      </c>
      <c r="L438" s="32" t="str">
        <f aca="false">IF(AND(J438=1,E438&lt;&gt;""),E438+ROW()/100000,"")</f>
        <v/>
      </c>
      <c r="M438" s="32" t="str">
        <f aca="false">IF(D438="Planned",ROW(),"")</f>
        <v/>
      </c>
      <c r="N438" s="32" t="str">
        <f aca="true">IF(K438=1,IF(E438="",0,TODAY()-E438)+ROW()/100000,"")</f>
        <v/>
      </c>
      <c r="O438" s="32" t="str">
        <f aca="false">IF(N438="","",RANK(N438,$N$2:$N$1000))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4"/>
      <c r="F439" s="34"/>
      <c r="G439" s="35" t="str">
        <f aca="true">IF(OR(E439="",J439=0),"",IF(F439&lt;&gt;"",F439-E439,TODAY()-E439))</f>
        <v/>
      </c>
      <c r="H439" s="29"/>
      <c r="I439" s="33"/>
      <c r="J439" s="32" t="n">
        <f aca="false">IF(OR(D439="",D439="Planned"),0,1)</f>
        <v>0</v>
      </c>
      <c r="K439" s="32" t="n">
        <f aca="false">IF(OR(D439="Under review",D439="Revision requested"),1,0)</f>
        <v>0</v>
      </c>
      <c r="L439" s="32" t="str">
        <f aca="false">IF(AND(J439=1,E439&lt;&gt;""),E439+ROW()/100000,"")</f>
        <v/>
      </c>
      <c r="M439" s="32" t="str">
        <f aca="false">IF(D439="Planned",ROW(),"")</f>
        <v/>
      </c>
      <c r="N439" s="32" t="str">
        <f aca="true">IF(K439=1,IF(E439="",0,TODAY()-E439)+ROW()/100000,"")</f>
        <v/>
      </c>
      <c r="O439" s="32" t="str">
        <f aca="false">IF(N439="","",RANK(N439,$N$2:$N$1000))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4"/>
      <c r="F440" s="34"/>
      <c r="G440" s="35" t="str">
        <f aca="true">IF(OR(E440="",J440=0),"",IF(F440&lt;&gt;"",F440-E440,TODAY()-E440))</f>
        <v/>
      </c>
      <c r="H440" s="29"/>
      <c r="I440" s="33"/>
      <c r="J440" s="32" t="n">
        <f aca="false">IF(OR(D440="",D440="Planned"),0,1)</f>
        <v>0</v>
      </c>
      <c r="K440" s="32" t="n">
        <f aca="false">IF(OR(D440="Under review",D440="Revision requested"),1,0)</f>
        <v>0</v>
      </c>
      <c r="L440" s="32" t="str">
        <f aca="false">IF(AND(J440=1,E440&lt;&gt;""),E440+ROW()/100000,"")</f>
        <v/>
      </c>
      <c r="M440" s="32" t="str">
        <f aca="false">IF(D440="Planned",ROW(),"")</f>
        <v/>
      </c>
      <c r="N440" s="32" t="str">
        <f aca="true">IF(K440=1,IF(E440="",0,TODAY()-E440)+ROW()/100000,"")</f>
        <v/>
      </c>
      <c r="O440" s="32" t="str">
        <f aca="false">IF(N440="","",RANK(N440,$N$2:$N$1000))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4"/>
      <c r="F441" s="34"/>
      <c r="G441" s="35" t="str">
        <f aca="true">IF(OR(E441="",J441=0),"",IF(F441&lt;&gt;"",F441-E441,TODAY()-E441))</f>
        <v/>
      </c>
      <c r="H441" s="29"/>
      <c r="I441" s="33"/>
      <c r="J441" s="32" t="n">
        <f aca="false">IF(OR(D441="",D441="Planned"),0,1)</f>
        <v>0</v>
      </c>
      <c r="K441" s="32" t="n">
        <f aca="false">IF(OR(D441="Under review",D441="Revision requested"),1,0)</f>
        <v>0</v>
      </c>
      <c r="L441" s="32" t="str">
        <f aca="false">IF(AND(J441=1,E441&lt;&gt;""),E441+ROW()/100000,"")</f>
        <v/>
      </c>
      <c r="M441" s="32" t="str">
        <f aca="false">IF(D441="Planned",ROW(),"")</f>
        <v/>
      </c>
      <c r="N441" s="32" t="str">
        <f aca="true">IF(K441=1,IF(E441="",0,TODAY()-E441)+ROW()/100000,"")</f>
        <v/>
      </c>
      <c r="O441" s="32" t="str">
        <f aca="false">IF(N441="","",RANK(N441,$N$2:$N$1000))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4"/>
      <c r="F442" s="34"/>
      <c r="G442" s="35" t="str">
        <f aca="true">IF(OR(E442="",J442=0),"",IF(F442&lt;&gt;"",F442-E442,TODAY()-E442))</f>
        <v/>
      </c>
      <c r="H442" s="29"/>
      <c r="I442" s="33"/>
      <c r="J442" s="32" t="n">
        <f aca="false">IF(OR(D442="",D442="Planned"),0,1)</f>
        <v>0</v>
      </c>
      <c r="K442" s="32" t="n">
        <f aca="false">IF(OR(D442="Under review",D442="Revision requested"),1,0)</f>
        <v>0</v>
      </c>
      <c r="L442" s="32" t="str">
        <f aca="false">IF(AND(J442=1,E442&lt;&gt;""),E442+ROW()/100000,"")</f>
        <v/>
      </c>
      <c r="M442" s="32" t="str">
        <f aca="false">IF(D442="Planned",ROW(),"")</f>
        <v/>
      </c>
      <c r="N442" s="32" t="str">
        <f aca="true">IF(K442=1,IF(E442="",0,TODAY()-E442)+ROW()/100000,"")</f>
        <v/>
      </c>
      <c r="O442" s="32" t="str">
        <f aca="false">IF(N442="","",RANK(N442,$N$2:$N$1000))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4"/>
      <c r="F443" s="34"/>
      <c r="G443" s="35" t="str">
        <f aca="true">IF(OR(E443="",J443=0),"",IF(F443&lt;&gt;"",F443-E443,TODAY()-E443))</f>
        <v/>
      </c>
      <c r="H443" s="29"/>
      <c r="I443" s="33"/>
      <c r="J443" s="32" t="n">
        <f aca="false">IF(OR(D443="",D443="Planned"),0,1)</f>
        <v>0</v>
      </c>
      <c r="K443" s="32" t="n">
        <f aca="false">IF(OR(D443="Under review",D443="Revision requested"),1,0)</f>
        <v>0</v>
      </c>
      <c r="L443" s="32" t="str">
        <f aca="false">IF(AND(J443=1,E443&lt;&gt;""),E443+ROW()/100000,"")</f>
        <v/>
      </c>
      <c r="M443" s="32" t="str">
        <f aca="false">IF(D443="Planned",ROW(),"")</f>
        <v/>
      </c>
      <c r="N443" s="32" t="str">
        <f aca="true">IF(K443=1,IF(E443="",0,TODAY()-E443)+ROW()/100000,"")</f>
        <v/>
      </c>
      <c r="O443" s="32" t="str">
        <f aca="false">IF(N443="","",RANK(N443,$N$2:$N$1000))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4"/>
      <c r="F444" s="34"/>
      <c r="G444" s="35" t="str">
        <f aca="true">IF(OR(E444="",J444=0),"",IF(F444&lt;&gt;"",F444-E444,TODAY()-E444))</f>
        <v/>
      </c>
      <c r="H444" s="29"/>
      <c r="I444" s="33"/>
      <c r="J444" s="32" t="n">
        <f aca="false">IF(OR(D444="",D444="Planned"),0,1)</f>
        <v>0</v>
      </c>
      <c r="K444" s="32" t="n">
        <f aca="false">IF(OR(D444="Under review",D444="Revision requested"),1,0)</f>
        <v>0</v>
      </c>
      <c r="L444" s="32" t="str">
        <f aca="false">IF(AND(J444=1,E444&lt;&gt;""),E444+ROW()/100000,"")</f>
        <v/>
      </c>
      <c r="M444" s="32" t="str">
        <f aca="false">IF(D444="Planned",ROW(),"")</f>
        <v/>
      </c>
      <c r="N444" s="32" t="str">
        <f aca="true">IF(K444=1,IF(E444="",0,TODAY()-E444)+ROW()/100000,"")</f>
        <v/>
      </c>
      <c r="O444" s="32" t="str">
        <f aca="false">IF(N444="","",RANK(N444,$N$2:$N$1000))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4"/>
      <c r="F445" s="34"/>
      <c r="G445" s="35" t="str">
        <f aca="true">IF(OR(E445="",J445=0),"",IF(F445&lt;&gt;"",F445-E445,TODAY()-E445))</f>
        <v/>
      </c>
      <c r="H445" s="29"/>
      <c r="I445" s="33"/>
      <c r="J445" s="32" t="n">
        <f aca="false">IF(OR(D445="",D445="Planned"),0,1)</f>
        <v>0</v>
      </c>
      <c r="K445" s="32" t="n">
        <f aca="false">IF(OR(D445="Under review",D445="Revision requested"),1,0)</f>
        <v>0</v>
      </c>
      <c r="L445" s="32" t="str">
        <f aca="false">IF(AND(J445=1,E445&lt;&gt;""),E445+ROW()/100000,"")</f>
        <v/>
      </c>
      <c r="M445" s="32" t="str">
        <f aca="false">IF(D445="Planned",ROW(),"")</f>
        <v/>
      </c>
      <c r="N445" s="32" t="str">
        <f aca="true">IF(K445=1,IF(E445="",0,TODAY()-E445)+ROW()/100000,"")</f>
        <v/>
      </c>
      <c r="O445" s="32" t="str">
        <f aca="false">IF(N445="","",RANK(N445,$N$2:$N$1000))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4"/>
      <c r="F446" s="34"/>
      <c r="G446" s="35" t="str">
        <f aca="true">IF(OR(E446="",J446=0),"",IF(F446&lt;&gt;"",F446-E446,TODAY()-E446))</f>
        <v/>
      </c>
      <c r="H446" s="29"/>
      <c r="I446" s="33"/>
      <c r="J446" s="32" t="n">
        <f aca="false">IF(OR(D446="",D446="Planned"),0,1)</f>
        <v>0</v>
      </c>
      <c r="K446" s="32" t="n">
        <f aca="false">IF(OR(D446="Under review",D446="Revision requested"),1,0)</f>
        <v>0</v>
      </c>
      <c r="L446" s="32" t="str">
        <f aca="false">IF(AND(J446=1,E446&lt;&gt;""),E446+ROW()/100000,"")</f>
        <v/>
      </c>
      <c r="M446" s="32" t="str">
        <f aca="false">IF(D446="Planned",ROW(),"")</f>
        <v/>
      </c>
      <c r="N446" s="32" t="str">
        <f aca="true">IF(K446=1,IF(E446="",0,TODAY()-E446)+ROW()/100000,"")</f>
        <v/>
      </c>
      <c r="O446" s="32" t="str">
        <f aca="false">IF(N446="","",RANK(N446,$N$2:$N$1000))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4"/>
      <c r="F447" s="34"/>
      <c r="G447" s="35" t="str">
        <f aca="true">IF(OR(E447="",J447=0),"",IF(F447&lt;&gt;"",F447-E447,TODAY()-E447))</f>
        <v/>
      </c>
      <c r="H447" s="29"/>
      <c r="I447" s="33"/>
      <c r="J447" s="32" t="n">
        <f aca="false">IF(OR(D447="",D447="Planned"),0,1)</f>
        <v>0</v>
      </c>
      <c r="K447" s="32" t="n">
        <f aca="false">IF(OR(D447="Under review",D447="Revision requested"),1,0)</f>
        <v>0</v>
      </c>
      <c r="L447" s="32" t="str">
        <f aca="false">IF(AND(J447=1,E447&lt;&gt;""),E447+ROW()/100000,"")</f>
        <v/>
      </c>
      <c r="M447" s="32" t="str">
        <f aca="false">IF(D447="Planned",ROW(),"")</f>
        <v/>
      </c>
      <c r="N447" s="32" t="str">
        <f aca="true">IF(K447=1,IF(E447="",0,TODAY()-E447)+ROW()/100000,"")</f>
        <v/>
      </c>
      <c r="O447" s="32" t="str">
        <f aca="false">IF(N447="","",RANK(N447,$N$2:$N$1000))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4"/>
      <c r="F448" s="34"/>
      <c r="G448" s="35" t="str">
        <f aca="true">IF(OR(E448="",J448=0),"",IF(F448&lt;&gt;"",F448-E448,TODAY()-E448))</f>
        <v/>
      </c>
      <c r="H448" s="29"/>
      <c r="I448" s="33"/>
      <c r="J448" s="32" t="n">
        <f aca="false">IF(OR(D448="",D448="Planned"),0,1)</f>
        <v>0</v>
      </c>
      <c r="K448" s="32" t="n">
        <f aca="false">IF(OR(D448="Under review",D448="Revision requested"),1,0)</f>
        <v>0</v>
      </c>
      <c r="L448" s="32" t="str">
        <f aca="false">IF(AND(J448=1,E448&lt;&gt;""),E448+ROW()/100000,"")</f>
        <v/>
      </c>
      <c r="M448" s="32" t="str">
        <f aca="false">IF(D448="Planned",ROW(),"")</f>
        <v/>
      </c>
      <c r="N448" s="32" t="str">
        <f aca="true">IF(K448=1,IF(E448="",0,TODAY()-E448)+ROW()/100000,"")</f>
        <v/>
      </c>
      <c r="O448" s="32" t="str">
        <f aca="false">IF(N448="","",RANK(N448,$N$2:$N$1000))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4"/>
      <c r="F449" s="34"/>
      <c r="G449" s="35" t="str">
        <f aca="true">IF(OR(E449="",J449=0),"",IF(F449&lt;&gt;"",F449-E449,TODAY()-E449))</f>
        <v/>
      </c>
      <c r="H449" s="29"/>
      <c r="I449" s="33"/>
      <c r="J449" s="32" t="n">
        <f aca="false">IF(OR(D449="",D449="Planned"),0,1)</f>
        <v>0</v>
      </c>
      <c r="K449" s="32" t="n">
        <f aca="false">IF(OR(D449="Under review",D449="Revision requested"),1,0)</f>
        <v>0</v>
      </c>
      <c r="L449" s="32" t="str">
        <f aca="false">IF(AND(J449=1,E449&lt;&gt;""),E449+ROW()/100000,"")</f>
        <v/>
      </c>
      <c r="M449" s="32" t="str">
        <f aca="false">IF(D449="Planned",ROW(),"")</f>
        <v/>
      </c>
      <c r="N449" s="32" t="str">
        <f aca="true">IF(K449=1,IF(E449="",0,TODAY()-E449)+ROW()/100000,"")</f>
        <v/>
      </c>
      <c r="O449" s="32" t="str">
        <f aca="false">IF(N449="","",RANK(N449,$N$2:$N$1000))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4"/>
      <c r="F450" s="34"/>
      <c r="G450" s="35" t="str">
        <f aca="true">IF(OR(E450="",J450=0),"",IF(F450&lt;&gt;"",F450-E450,TODAY()-E450))</f>
        <v/>
      </c>
      <c r="H450" s="29"/>
      <c r="I450" s="33"/>
      <c r="J450" s="32" t="n">
        <f aca="false">IF(OR(D450="",D450="Planned"),0,1)</f>
        <v>0</v>
      </c>
      <c r="K450" s="32" t="n">
        <f aca="false">IF(OR(D450="Under review",D450="Revision requested"),1,0)</f>
        <v>0</v>
      </c>
      <c r="L450" s="32" t="str">
        <f aca="false">IF(AND(J450=1,E450&lt;&gt;""),E450+ROW()/100000,"")</f>
        <v/>
      </c>
      <c r="M450" s="32" t="str">
        <f aca="false">IF(D450="Planned",ROW(),"")</f>
        <v/>
      </c>
      <c r="N450" s="32" t="str">
        <f aca="true">IF(K450=1,IF(E450="",0,TODAY()-E450)+ROW()/100000,"")</f>
        <v/>
      </c>
      <c r="O450" s="32" t="str">
        <f aca="false">IF(N450="","",RANK(N450,$N$2:$N$1000))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4"/>
      <c r="F451" s="34"/>
      <c r="G451" s="35" t="str">
        <f aca="true">IF(OR(E451="",J451=0),"",IF(F451&lt;&gt;"",F451-E451,TODAY()-E451))</f>
        <v/>
      </c>
      <c r="H451" s="29"/>
      <c r="I451" s="33"/>
      <c r="J451" s="32" t="n">
        <f aca="false">IF(OR(D451="",D451="Planned"),0,1)</f>
        <v>0</v>
      </c>
      <c r="K451" s="32" t="n">
        <f aca="false">IF(OR(D451="Under review",D451="Revision requested"),1,0)</f>
        <v>0</v>
      </c>
      <c r="L451" s="32" t="str">
        <f aca="false">IF(AND(J451=1,E451&lt;&gt;""),E451+ROW()/100000,"")</f>
        <v/>
      </c>
      <c r="M451" s="32" t="str">
        <f aca="false">IF(D451="Planned",ROW(),"")</f>
        <v/>
      </c>
      <c r="N451" s="32" t="str">
        <f aca="true">IF(K451=1,IF(E451="",0,TODAY()-E451)+ROW()/100000,"")</f>
        <v/>
      </c>
      <c r="O451" s="32" t="str">
        <f aca="false">IF(N451="","",RANK(N451,$N$2:$N$1000))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4"/>
      <c r="F452" s="34"/>
      <c r="G452" s="35" t="str">
        <f aca="true">IF(OR(E452="",J452=0),"",IF(F452&lt;&gt;"",F452-E452,TODAY()-E452))</f>
        <v/>
      </c>
      <c r="H452" s="29"/>
      <c r="I452" s="33"/>
      <c r="J452" s="32" t="n">
        <f aca="false">IF(OR(D452="",D452="Planned"),0,1)</f>
        <v>0</v>
      </c>
      <c r="K452" s="32" t="n">
        <f aca="false">IF(OR(D452="Under review",D452="Revision requested"),1,0)</f>
        <v>0</v>
      </c>
      <c r="L452" s="32" t="str">
        <f aca="false">IF(AND(J452=1,E452&lt;&gt;""),E452+ROW()/100000,"")</f>
        <v/>
      </c>
      <c r="M452" s="32" t="str">
        <f aca="false">IF(D452="Planned",ROW(),"")</f>
        <v/>
      </c>
      <c r="N452" s="32" t="str">
        <f aca="true">IF(K452=1,IF(E452="",0,TODAY()-E452)+ROW()/100000,"")</f>
        <v/>
      </c>
      <c r="O452" s="32" t="str">
        <f aca="false">IF(N452="","",RANK(N452,$N$2:$N$1000))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4"/>
      <c r="F453" s="34"/>
      <c r="G453" s="35" t="str">
        <f aca="true">IF(OR(E453="",J453=0),"",IF(F453&lt;&gt;"",F453-E453,TODAY()-E453))</f>
        <v/>
      </c>
      <c r="H453" s="29"/>
      <c r="I453" s="33"/>
      <c r="J453" s="32" t="n">
        <f aca="false">IF(OR(D453="",D453="Planned"),0,1)</f>
        <v>0</v>
      </c>
      <c r="K453" s="32" t="n">
        <f aca="false">IF(OR(D453="Under review",D453="Revision requested"),1,0)</f>
        <v>0</v>
      </c>
      <c r="L453" s="32" t="str">
        <f aca="false">IF(AND(J453=1,E453&lt;&gt;""),E453+ROW()/100000,"")</f>
        <v/>
      </c>
      <c r="M453" s="32" t="str">
        <f aca="false">IF(D453="Planned",ROW(),"")</f>
        <v/>
      </c>
      <c r="N453" s="32" t="str">
        <f aca="true">IF(K453=1,IF(E453="",0,TODAY()-E453)+ROW()/100000,"")</f>
        <v/>
      </c>
      <c r="O453" s="32" t="str">
        <f aca="false">IF(N453="","",RANK(N453,$N$2:$N$1000))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4"/>
      <c r="F454" s="34"/>
      <c r="G454" s="35" t="str">
        <f aca="true">IF(OR(E454="",J454=0),"",IF(F454&lt;&gt;"",F454-E454,TODAY()-E454))</f>
        <v/>
      </c>
      <c r="H454" s="29"/>
      <c r="I454" s="33"/>
      <c r="J454" s="32" t="n">
        <f aca="false">IF(OR(D454="",D454="Planned"),0,1)</f>
        <v>0</v>
      </c>
      <c r="K454" s="32" t="n">
        <f aca="false">IF(OR(D454="Under review",D454="Revision requested"),1,0)</f>
        <v>0</v>
      </c>
      <c r="L454" s="32" t="str">
        <f aca="false">IF(AND(J454=1,E454&lt;&gt;""),E454+ROW()/100000,"")</f>
        <v/>
      </c>
      <c r="M454" s="32" t="str">
        <f aca="false">IF(D454="Planned",ROW(),"")</f>
        <v/>
      </c>
      <c r="N454" s="32" t="str">
        <f aca="true">IF(K454=1,IF(E454="",0,TODAY()-E454)+ROW()/100000,"")</f>
        <v/>
      </c>
      <c r="O454" s="32" t="str">
        <f aca="false">IF(N454="","",RANK(N454,$N$2:$N$1000))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4"/>
      <c r="F455" s="34"/>
      <c r="G455" s="35" t="str">
        <f aca="true">IF(OR(E455="",J455=0),"",IF(F455&lt;&gt;"",F455-E455,TODAY()-E455))</f>
        <v/>
      </c>
      <c r="H455" s="29"/>
      <c r="I455" s="33"/>
      <c r="J455" s="32" t="n">
        <f aca="false">IF(OR(D455="",D455="Planned"),0,1)</f>
        <v>0</v>
      </c>
      <c r="K455" s="32" t="n">
        <f aca="false">IF(OR(D455="Under review",D455="Revision requested"),1,0)</f>
        <v>0</v>
      </c>
      <c r="L455" s="32" t="str">
        <f aca="false">IF(AND(J455=1,E455&lt;&gt;""),E455+ROW()/100000,"")</f>
        <v/>
      </c>
      <c r="M455" s="32" t="str">
        <f aca="false">IF(D455="Planned",ROW(),"")</f>
        <v/>
      </c>
      <c r="N455" s="32" t="str">
        <f aca="true">IF(K455=1,IF(E455="",0,TODAY()-E455)+ROW()/100000,"")</f>
        <v/>
      </c>
      <c r="O455" s="32" t="str">
        <f aca="false">IF(N455="","",RANK(N455,$N$2:$N$1000))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4"/>
      <c r="F456" s="34"/>
      <c r="G456" s="35" t="str">
        <f aca="true">IF(OR(E456="",J456=0),"",IF(F456&lt;&gt;"",F456-E456,TODAY()-E456))</f>
        <v/>
      </c>
      <c r="H456" s="29"/>
      <c r="I456" s="33"/>
      <c r="J456" s="32" t="n">
        <f aca="false">IF(OR(D456="",D456="Planned"),0,1)</f>
        <v>0</v>
      </c>
      <c r="K456" s="32" t="n">
        <f aca="false">IF(OR(D456="Under review",D456="Revision requested"),1,0)</f>
        <v>0</v>
      </c>
      <c r="L456" s="32" t="str">
        <f aca="false">IF(AND(J456=1,E456&lt;&gt;""),E456+ROW()/100000,"")</f>
        <v/>
      </c>
      <c r="M456" s="32" t="str">
        <f aca="false">IF(D456="Planned",ROW(),"")</f>
        <v/>
      </c>
      <c r="N456" s="32" t="str">
        <f aca="true">IF(K456=1,IF(E456="",0,TODAY()-E456)+ROW()/100000,"")</f>
        <v/>
      </c>
      <c r="O456" s="32" t="str">
        <f aca="false">IF(N456="","",RANK(N456,$N$2:$N$1000))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4"/>
      <c r="F457" s="34"/>
      <c r="G457" s="35" t="str">
        <f aca="true">IF(OR(E457="",J457=0),"",IF(F457&lt;&gt;"",F457-E457,TODAY()-E457))</f>
        <v/>
      </c>
      <c r="H457" s="29"/>
      <c r="I457" s="33"/>
      <c r="J457" s="32" t="n">
        <f aca="false">IF(OR(D457="",D457="Planned"),0,1)</f>
        <v>0</v>
      </c>
      <c r="K457" s="32" t="n">
        <f aca="false">IF(OR(D457="Under review",D457="Revision requested"),1,0)</f>
        <v>0</v>
      </c>
      <c r="L457" s="32" t="str">
        <f aca="false">IF(AND(J457=1,E457&lt;&gt;""),E457+ROW()/100000,"")</f>
        <v/>
      </c>
      <c r="M457" s="32" t="str">
        <f aca="false">IF(D457="Planned",ROW(),"")</f>
        <v/>
      </c>
      <c r="N457" s="32" t="str">
        <f aca="true">IF(K457=1,IF(E457="",0,TODAY()-E457)+ROW()/100000,"")</f>
        <v/>
      </c>
      <c r="O457" s="32" t="str">
        <f aca="false">IF(N457="","",RANK(N457,$N$2:$N$1000))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4"/>
      <c r="F458" s="34"/>
      <c r="G458" s="35" t="str">
        <f aca="true">IF(OR(E458="",J458=0),"",IF(F458&lt;&gt;"",F458-E458,TODAY()-E458))</f>
        <v/>
      </c>
      <c r="H458" s="29"/>
      <c r="I458" s="33"/>
      <c r="J458" s="32" t="n">
        <f aca="false">IF(OR(D458="",D458="Planned"),0,1)</f>
        <v>0</v>
      </c>
      <c r="K458" s="32" t="n">
        <f aca="false">IF(OR(D458="Under review",D458="Revision requested"),1,0)</f>
        <v>0</v>
      </c>
      <c r="L458" s="32" t="str">
        <f aca="false">IF(AND(J458=1,E458&lt;&gt;""),E458+ROW()/100000,"")</f>
        <v/>
      </c>
      <c r="M458" s="32" t="str">
        <f aca="false">IF(D458="Planned",ROW(),"")</f>
        <v/>
      </c>
      <c r="N458" s="32" t="str">
        <f aca="true">IF(K458=1,IF(E458="",0,TODAY()-E458)+ROW()/100000,"")</f>
        <v/>
      </c>
      <c r="O458" s="32" t="str">
        <f aca="false">IF(N458="","",RANK(N458,$N$2:$N$1000))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4"/>
      <c r="F459" s="34"/>
      <c r="G459" s="35" t="str">
        <f aca="true">IF(OR(E459="",J459=0),"",IF(F459&lt;&gt;"",F459-E459,TODAY()-E459))</f>
        <v/>
      </c>
      <c r="H459" s="29"/>
      <c r="I459" s="33"/>
      <c r="J459" s="32" t="n">
        <f aca="false">IF(OR(D459="",D459="Planned"),0,1)</f>
        <v>0</v>
      </c>
      <c r="K459" s="32" t="n">
        <f aca="false">IF(OR(D459="Under review",D459="Revision requested"),1,0)</f>
        <v>0</v>
      </c>
      <c r="L459" s="32" t="str">
        <f aca="false">IF(AND(J459=1,E459&lt;&gt;""),E459+ROW()/100000,"")</f>
        <v/>
      </c>
      <c r="M459" s="32" t="str">
        <f aca="false">IF(D459="Planned",ROW(),"")</f>
        <v/>
      </c>
      <c r="N459" s="32" t="str">
        <f aca="true">IF(K459=1,IF(E459="",0,TODAY()-E459)+ROW()/100000,"")</f>
        <v/>
      </c>
      <c r="O459" s="32" t="str">
        <f aca="false">IF(N459="","",RANK(N459,$N$2:$N$1000))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4"/>
      <c r="F460" s="34"/>
      <c r="G460" s="35" t="str">
        <f aca="true">IF(OR(E460="",J460=0),"",IF(F460&lt;&gt;"",F460-E460,TODAY()-E460))</f>
        <v/>
      </c>
      <c r="H460" s="29"/>
      <c r="I460" s="33"/>
      <c r="J460" s="32" t="n">
        <f aca="false">IF(OR(D460="",D460="Planned"),0,1)</f>
        <v>0</v>
      </c>
      <c r="K460" s="32" t="n">
        <f aca="false">IF(OR(D460="Under review",D460="Revision requested"),1,0)</f>
        <v>0</v>
      </c>
      <c r="L460" s="32" t="str">
        <f aca="false">IF(AND(J460=1,E460&lt;&gt;""),E460+ROW()/100000,"")</f>
        <v/>
      </c>
      <c r="M460" s="32" t="str">
        <f aca="false">IF(D460="Planned",ROW(),"")</f>
        <v/>
      </c>
      <c r="N460" s="32" t="str">
        <f aca="true">IF(K460=1,IF(E460="",0,TODAY()-E460)+ROW()/100000,"")</f>
        <v/>
      </c>
      <c r="O460" s="32" t="str">
        <f aca="false">IF(N460="","",RANK(N460,$N$2:$N$1000))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4"/>
      <c r="F461" s="34"/>
      <c r="G461" s="35" t="str">
        <f aca="true">IF(OR(E461="",J461=0),"",IF(F461&lt;&gt;"",F461-E461,TODAY()-E461))</f>
        <v/>
      </c>
      <c r="H461" s="29"/>
      <c r="I461" s="33"/>
      <c r="J461" s="32" t="n">
        <f aca="false">IF(OR(D461="",D461="Planned"),0,1)</f>
        <v>0</v>
      </c>
      <c r="K461" s="32" t="n">
        <f aca="false">IF(OR(D461="Under review",D461="Revision requested"),1,0)</f>
        <v>0</v>
      </c>
      <c r="L461" s="32" t="str">
        <f aca="false">IF(AND(J461=1,E461&lt;&gt;""),E461+ROW()/100000,"")</f>
        <v/>
      </c>
      <c r="M461" s="32" t="str">
        <f aca="false">IF(D461="Planned",ROW(),"")</f>
        <v/>
      </c>
      <c r="N461" s="32" t="str">
        <f aca="true">IF(K461=1,IF(E461="",0,TODAY()-E461)+ROW()/100000,"")</f>
        <v/>
      </c>
      <c r="O461" s="32" t="str">
        <f aca="false">IF(N461="","",RANK(N461,$N$2:$N$1000))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4"/>
      <c r="F462" s="34"/>
      <c r="G462" s="35" t="str">
        <f aca="true">IF(OR(E462="",J462=0),"",IF(F462&lt;&gt;"",F462-E462,TODAY()-E462))</f>
        <v/>
      </c>
      <c r="H462" s="29"/>
      <c r="I462" s="33"/>
      <c r="J462" s="32" t="n">
        <f aca="false">IF(OR(D462="",D462="Planned"),0,1)</f>
        <v>0</v>
      </c>
      <c r="K462" s="32" t="n">
        <f aca="false">IF(OR(D462="Under review",D462="Revision requested"),1,0)</f>
        <v>0</v>
      </c>
      <c r="L462" s="32" t="str">
        <f aca="false">IF(AND(J462=1,E462&lt;&gt;""),E462+ROW()/100000,"")</f>
        <v/>
      </c>
      <c r="M462" s="32" t="str">
        <f aca="false">IF(D462="Planned",ROW(),"")</f>
        <v/>
      </c>
      <c r="N462" s="32" t="str">
        <f aca="true">IF(K462=1,IF(E462="",0,TODAY()-E462)+ROW()/100000,"")</f>
        <v/>
      </c>
      <c r="O462" s="32" t="str">
        <f aca="false">IF(N462="","",RANK(N462,$N$2:$N$1000))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4"/>
      <c r="F463" s="34"/>
      <c r="G463" s="35" t="str">
        <f aca="true">IF(OR(E463="",J463=0),"",IF(F463&lt;&gt;"",F463-E463,TODAY()-E463))</f>
        <v/>
      </c>
      <c r="H463" s="29"/>
      <c r="I463" s="33"/>
      <c r="J463" s="32" t="n">
        <f aca="false">IF(OR(D463="",D463="Planned"),0,1)</f>
        <v>0</v>
      </c>
      <c r="K463" s="32" t="n">
        <f aca="false">IF(OR(D463="Under review",D463="Revision requested"),1,0)</f>
        <v>0</v>
      </c>
      <c r="L463" s="32" t="str">
        <f aca="false">IF(AND(J463=1,E463&lt;&gt;""),E463+ROW()/100000,"")</f>
        <v/>
      </c>
      <c r="M463" s="32" t="str">
        <f aca="false">IF(D463="Planned",ROW(),"")</f>
        <v/>
      </c>
      <c r="N463" s="32" t="str">
        <f aca="true">IF(K463=1,IF(E463="",0,TODAY()-E463)+ROW()/100000,"")</f>
        <v/>
      </c>
      <c r="O463" s="32" t="str">
        <f aca="false">IF(N463="","",RANK(N463,$N$2:$N$1000))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4"/>
      <c r="F464" s="34"/>
      <c r="G464" s="35" t="str">
        <f aca="true">IF(OR(E464="",J464=0),"",IF(F464&lt;&gt;"",F464-E464,TODAY()-E464))</f>
        <v/>
      </c>
      <c r="H464" s="29"/>
      <c r="I464" s="33"/>
      <c r="J464" s="32" t="n">
        <f aca="false">IF(OR(D464="",D464="Planned"),0,1)</f>
        <v>0</v>
      </c>
      <c r="K464" s="32" t="n">
        <f aca="false">IF(OR(D464="Under review",D464="Revision requested"),1,0)</f>
        <v>0</v>
      </c>
      <c r="L464" s="32" t="str">
        <f aca="false">IF(AND(J464=1,E464&lt;&gt;""),E464+ROW()/100000,"")</f>
        <v/>
      </c>
      <c r="M464" s="32" t="str">
        <f aca="false">IF(D464="Planned",ROW(),"")</f>
        <v/>
      </c>
      <c r="N464" s="32" t="str">
        <f aca="true">IF(K464=1,IF(E464="",0,TODAY()-E464)+ROW()/100000,"")</f>
        <v/>
      </c>
      <c r="O464" s="32" t="str">
        <f aca="false">IF(N464="","",RANK(N464,$N$2:$N$1000))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4"/>
      <c r="F465" s="34"/>
      <c r="G465" s="35" t="str">
        <f aca="true">IF(OR(E465="",J465=0),"",IF(F465&lt;&gt;"",F465-E465,TODAY()-E465))</f>
        <v/>
      </c>
      <c r="H465" s="29"/>
      <c r="I465" s="33"/>
      <c r="J465" s="32" t="n">
        <f aca="false">IF(OR(D465="",D465="Planned"),0,1)</f>
        <v>0</v>
      </c>
      <c r="K465" s="32" t="n">
        <f aca="false">IF(OR(D465="Under review",D465="Revision requested"),1,0)</f>
        <v>0</v>
      </c>
      <c r="L465" s="32" t="str">
        <f aca="false">IF(AND(J465=1,E465&lt;&gt;""),E465+ROW()/100000,"")</f>
        <v/>
      </c>
      <c r="M465" s="32" t="str">
        <f aca="false">IF(D465="Planned",ROW(),"")</f>
        <v/>
      </c>
      <c r="N465" s="32" t="str">
        <f aca="true">IF(K465=1,IF(E465="",0,TODAY()-E465)+ROW()/100000,"")</f>
        <v/>
      </c>
      <c r="O465" s="32" t="str">
        <f aca="false">IF(N465="","",RANK(N465,$N$2:$N$1000))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4"/>
      <c r="F466" s="34"/>
      <c r="G466" s="35" t="str">
        <f aca="true">IF(OR(E466="",J466=0),"",IF(F466&lt;&gt;"",F466-E466,TODAY()-E466))</f>
        <v/>
      </c>
      <c r="H466" s="29"/>
      <c r="I466" s="33"/>
      <c r="J466" s="32" t="n">
        <f aca="false">IF(OR(D466="",D466="Planned"),0,1)</f>
        <v>0</v>
      </c>
      <c r="K466" s="32" t="n">
        <f aca="false">IF(OR(D466="Under review",D466="Revision requested"),1,0)</f>
        <v>0</v>
      </c>
      <c r="L466" s="32" t="str">
        <f aca="false">IF(AND(J466=1,E466&lt;&gt;""),E466+ROW()/100000,"")</f>
        <v/>
      </c>
      <c r="M466" s="32" t="str">
        <f aca="false">IF(D466="Planned",ROW(),"")</f>
        <v/>
      </c>
      <c r="N466" s="32" t="str">
        <f aca="true">IF(K466=1,IF(E466="",0,TODAY()-E466)+ROW()/100000,"")</f>
        <v/>
      </c>
      <c r="O466" s="32" t="str">
        <f aca="false">IF(N466="","",RANK(N466,$N$2:$N$1000))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4"/>
      <c r="F467" s="34"/>
      <c r="G467" s="35" t="str">
        <f aca="true">IF(OR(E467="",J467=0),"",IF(F467&lt;&gt;"",F467-E467,TODAY()-E467))</f>
        <v/>
      </c>
      <c r="H467" s="29"/>
      <c r="I467" s="33"/>
      <c r="J467" s="32" t="n">
        <f aca="false">IF(OR(D467="",D467="Planned"),0,1)</f>
        <v>0</v>
      </c>
      <c r="K467" s="32" t="n">
        <f aca="false">IF(OR(D467="Under review",D467="Revision requested"),1,0)</f>
        <v>0</v>
      </c>
      <c r="L467" s="32" t="str">
        <f aca="false">IF(AND(J467=1,E467&lt;&gt;""),E467+ROW()/100000,"")</f>
        <v/>
      </c>
      <c r="M467" s="32" t="str">
        <f aca="false">IF(D467="Planned",ROW(),"")</f>
        <v/>
      </c>
      <c r="N467" s="32" t="str">
        <f aca="true">IF(K467=1,IF(E467="",0,TODAY()-E467)+ROW()/100000,"")</f>
        <v/>
      </c>
      <c r="O467" s="32" t="str">
        <f aca="false">IF(N467="","",RANK(N467,$N$2:$N$1000))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4"/>
      <c r="F468" s="34"/>
      <c r="G468" s="35" t="str">
        <f aca="true">IF(OR(E468="",J468=0),"",IF(F468&lt;&gt;"",F468-E468,TODAY()-E468))</f>
        <v/>
      </c>
      <c r="H468" s="29"/>
      <c r="I468" s="33"/>
      <c r="J468" s="32" t="n">
        <f aca="false">IF(OR(D468="",D468="Planned"),0,1)</f>
        <v>0</v>
      </c>
      <c r="K468" s="32" t="n">
        <f aca="false">IF(OR(D468="Under review",D468="Revision requested"),1,0)</f>
        <v>0</v>
      </c>
      <c r="L468" s="32" t="str">
        <f aca="false">IF(AND(J468=1,E468&lt;&gt;""),E468+ROW()/100000,"")</f>
        <v/>
      </c>
      <c r="M468" s="32" t="str">
        <f aca="false">IF(D468="Planned",ROW(),"")</f>
        <v/>
      </c>
      <c r="N468" s="32" t="str">
        <f aca="true">IF(K468=1,IF(E468="",0,TODAY()-E468)+ROW()/100000,"")</f>
        <v/>
      </c>
      <c r="O468" s="32" t="str">
        <f aca="false">IF(N468="","",RANK(N468,$N$2:$N$1000))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4"/>
      <c r="F469" s="34"/>
      <c r="G469" s="35" t="str">
        <f aca="true">IF(OR(E469="",J469=0),"",IF(F469&lt;&gt;"",F469-E469,TODAY()-E469))</f>
        <v/>
      </c>
      <c r="H469" s="29"/>
      <c r="I469" s="33"/>
      <c r="J469" s="32" t="n">
        <f aca="false">IF(OR(D469="",D469="Planned"),0,1)</f>
        <v>0</v>
      </c>
      <c r="K469" s="32" t="n">
        <f aca="false">IF(OR(D469="Under review",D469="Revision requested"),1,0)</f>
        <v>0</v>
      </c>
      <c r="L469" s="32" t="str">
        <f aca="false">IF(AND(J469=1,E469&lt;&gt;""),E469+ROW()/100000,"")</f>
        <v/>
      </c>
      <c r="M469" s="32" t="str">
        <f aca="false">IF(D469="Planned",ROW(),"")</f>
        <v/>
      </c>
      <c r="N469" s="32" t="str">
        <f aca="true">IF(K469=1,IF(E469="",0,TODAY()-E469)+ROW()/100000,"")</f>
        <v/>
      </c>
      <c r="O469" s="32" t="str">
        <f aca="false">IF(N469="","",RANK(N469,$N$2:$N$1000))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4"/>
      <c r="F470" s="34"/>
      <c r="G470" s="35" t="str">
        <f aca="true">IF(OR(E470="",J470=0),"",IF(F470&lt;&gt;"",F470-E470,TODAY()-E470))</f>
        <v/>
      </c>
      <c r="H470" s="29"/>
      <c r="I470" s="33"/>
      <c r="J470" s="32" t="n">
        <f aca="false">IF(OR(D470="",D470="Planned"),0,1)</f>
        <v>0</v>
      </c>
      <c r="K470" s="32" t="n">
        <f aca="false">IF(OR(D470="Under review",D470="Revision requested"),1,0)</f>
        <v>0</v>
      </c>
      <c r="L470" s="32" t="str">
        <f aca="false">IF(AND(J470=1,E470&lt;&gt;""),E470+ROW()/100000,"")</f>
        <v/>
      </c>
      <c r="M470" s="32" t="str">
        <f aca="false">IF(D470="Planned",ROW(),"")</f>
        <v/>
      </c>
      <c r="N470" s="32" t="str">
        <f aca="true">IF(K470=1,IF(E470="",0,TODAY()-E470)+ROW()/100000,"")</f>
        <v/>
      </c>
      <c r="O470" s="32" t="str">
        <f aca="false">IF(N470="","",RANK(N470,$N$2:$N$1000))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4"/>
      <c r="F471" s="34"/>
      <c r="G471" s="35" t="str">
        <f aca="true">IF(OR(E471="",J471=0),"",IF(F471&lt;&gt;"",F471-E471,TODAY()-E471))</f>
        <v/>
      </c>
      <c r="H471" s="29"/>
      <c r="I471" s="33"/>
      <c r="J471" s="32" t="n">
        <f aca="false">IF(OR(D471="",D471="Planned"),0,1)</f>
        <v>0</v>
      </c>
      <c r="K471" s="32" t="n">
        <f aca="false">IF(OR(D471="Under review",D471="Revision requested"),1,0)</f>
        <v>0</v>
      </c>
      <c r="L471" s="32" t="str">
        <f aca="false">IF(AND(J471=1,E471&lt;&gt;""),E471+ROW()/100000,"")</f>
        <v/>
      </c>
      <c r="M471" s="32" t="str">
        <f aca="false">IF(D471="Planned",ROW(),"")</f>
        <v/>
      </c>
      <c r="N471" s="32" t="str">
        <f aca="true">IF(K471=1,IF(E471="",0,TODAY()-E471)+ROW()/100000,"")</f>
        <v/>
      </c>
      <c r="O471" s="32" t="str">
        <f aca="false">IF(N471="","",RANK(N471,$N$2:$N$1000))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4"/>
      <c r="F472" s="34"/>
      <c r="G472" s="35" t="str">
        <f aca="true">IF(OR(E472="",J472=0),"",IF(F472&lt;&gt;"",F472-E472,TODAY()-E472))</f>
        <v/>
      </c>
      <c r="H472" s="29"/>
      <c r="I472" s="33"/>
      <c r="J472" s="32" t="n">
        <f aca="false">IF(OR(D472="",D472="Planned"),0,1)</f>
        <v>0</v>
      </c>
      <c r="K472" s="32" t="n">
        <f aca="false">IF(OR(D472="Under review",D472="Revision requested"),1,0)</f>
        <v>0</v>
      </c>
      <c r="L472" s="32" t="str">
        <f aca="false">IF(AND(J472=1,E472&lt;&gt;""),E472+ROW()/100000,"")</f>
        <v/>
      </c>
      <c r="M472" s="32" t="str">
        <f aca="false">IF(D472="Planned",ROW(),"")</f>
        <v/>
      </c>
      <c r="N472" s="32" t="str">
        <f aca="true">IF(K472=1,IF(E472="",0,TODAY()-E472)+ROW()/100000,"")</f>
        <v/>
      </c>
      <c r="O472" s="32" t="str">
        <f aca="false">IF(N472="","",RANK(N472,$N$2:$N$1000))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4"/>
      <c r="F473" s="34"/>
      <c r="G473" s="35" t="str">
        <f aca="true">IF(OR(E473="",J473=0),"",IF(F473&lt;&gt;"",F473-E473,TODAY()-E473))</f>
        <v/>
      </c>
      <c r="H473" s="29"/>
      <c r="I473" s="33"/>
      <c r="J473" s="32" t="n">
        <f aca="false">IF(OR(D473="",D473="Planned"),0,1)</f>
        <v>0</v>
      </c>
      <c r="K473" s="32" t="n">
        <f aca="false">IF(OR(D473="Under review",D473="Revision requested"),1,0)</f>
        <v>0</v>
      </c>
      <c r="L473" s="32" t="str">
        <f aca="false">IF(AND(J473=1,E473&lt;&gt;""),E473+ROW()/100000,"")</f>
        <v/>
      </c>
      <c r="M473" s="32" t="str">
        <f aca="false">IF(D473="Planned",ROW(),"")</f>
        <v/>
      </c>
      <c r="N473" s="32" t="str">
        <f aca="true">IF(K473=1,IF(E473="",0,TODAY()-E473)+ROW()/100000,"")</f>
        <v/>
      </c>
      <c r="O473" s="32" t="str">
        <f aca="false">IF(N473="","",RANK(N473,$N$2:$N$1000))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4"/>
      <c r="F474" s="34"/>
      <c r="G474" s="35" t="str">
        <f aca="true">IF(OR(E474="",J474=0),"",IF(F474&lt;&gt;"",F474-E474,TODAY()-E474))</f>
        <v/>
      </c>
      <c r="H474" s="29"/>
      <c r="I474" s="33"/>
      <c r="J474" s="32" t="n">
        <f aca="false">IF(OR(D474="",D474="Planned"),0,1)</f>
        <v>0</v>
      </c>
      <c r="K474" s="32" t="n">
        <f aca="false">IF(OR(D474="Under review",D474="Revision requested"),1,0)</f>
        <v>0</v>
      </c>
      <c r="L474" s="32" t="str">
        <f aca="false">IF(AND(J474=1,E474&lt;&gt;""),E474+ROW()/100000,"")</f>
        <v/>
      </c>
      <c r="M474" s="32" t="str">
        <f aca="false">IF(D474="Planned",ROW(),"")</f>
        <v/>
      </c>
      <c r="N474" s="32" t="str">
        <f aca="true">IF(K474=1,IF(E474="",0,TODAY()-E474)+ROW()/100000,"")</f>
        <v/>
      </c>
      <c r="O474" s="32" t="str">
        <f aca="false">IF(N474="","",RANK(N474,$N$2:$N$1000))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4"/>
      <c r="F475" s="34"/>
      <c r="G475" s="35" t="str">
        <f aca="true">IF(OR(E475="",J475=0),"",IF(F475&lt;&gt;"",F475-E475,TODAY()-E475))</f>
        <v/>
      </c>
      <c r="H475" s="29"/>
      <c r="I475" s="33"/>
      <c r="J475" s="32" t="n">
        <f aca="false">IF(OR(D475="",D475="Planned"),0,1)</f>
        <v>0</v>
      </c>
      <c r="K475" s="32" t="n">
        <f aca="false">IF(OR(D475="Under review",D475="Revision requested"),1,0)</f>
        <v>0</v>
      </c>
      <c r="L475" s="32" t="str">
        <f aca="false">IF(AND(J475=1,E475&lt;&gt;""),E475+ROW()/100000,"")</f>
        <v/>
      </c>
      <c r="M475" s="32" t="str">
        <f aca="false">IF(D475="Planned",ROW(),"")</f>
        <v/>
      </c>
      <c r="N475" s="32" t="str">
        <f aca="true">IF(K475=1,IF(E475="",0,TODAY()-E475)+ROW()/100000,"")</f>
        <v/>
      </c>
      <c r="O475" s="32" t="str">
        <f aca="false">IF(N475="","",RANK(N475,$N$2:$N$1000))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4"/>
      <c r="F476" s="34"/>
      <c r="G476" s="35" t="str">
        <f aca="true">IF(OR(E476="",J476=0),"",IF(F476&lt;&gt;"",F476-E476,TODAY()-E476))</f>
        <v/>
      </c>
      <c r="H476" s="29"/>
      <c r="I476" s="33"/>
      <c r="J476" s="32" t="n">
        <f aca="false">IF(OR(D476="",D476="Planned"),0,1)</f>
        <v>0</v>
      </c>
      <c r="K476" s="32" t="n">
        <f aca="false">IF(OR(D476="Under review",D476="Revision requested"),1,0)</f>
        <v>0</v>
      </c>
      <c r="L476" s="32" t="str">
        <f aca="false">IF(AND(J476=1,E476&lt;&gt;""),E476+ROW()/100000,"")</f>
        <v/>
      </c>
      <c r="M476" s="32" t="str">
        <f aca="false">IF(D476="Planned",ROW(),"")</f>
        <v/>
      </c>
      <c r="N476" s="32" t="str">
        <f aca="true">IF(K476=1,IF(E476="",0,TODAY()-E476)+ROW()/100000,"")</f>
        <v/>
      </c>
      <c r="O476" s="32" t="str">
        <f aca="false">IF(N476="","",RANK(N476,$N$2:$N$1000))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4"/>
      <c r="F477" s="34"/>
      <c r="G477" s="35" t="str">
        <f aca="true">IF(OR(E477="",J477=0),"",IF(F477&lt;&gt;"",F477-E477,TODAY()-E477))</f>
        <v/>
      </c>
      <c r="H477" s="29"/>
      <c r="I477" s="33"/>
      <c r="J477" s="32" t="n">
        <f aca="false">IF(OR(D477="",D477="Planned"),0,1)</f>
        <v>0</v>
      </c>
      <c r="K477" s="32" t="n">
        <f aca="false">IF(OR(D477="Under review",D477="Revision requested"),1,0)</f>
        <v>0</v>
      </c>
      <c r="L477" s="32" t="str">
        <f aca="false">IF(AND(J477=1,E477&lt;&gt;""),E477+ROW()/100000,"")</f>
        <v/>
      </c>
      <c r="M477" s="32" t="str">
        <f aca="false">IF(D477="Planned",ROW(),"")</f>
        <v/>
      </c>
      <c r="N477" s="32" t="str">
        <f aca="true">IF(K477=1,IF(E477="",0,TODAY()-E477)+ROW()/100000,"")</f>
        <v/>
      </c>
      <c r="O477" s="32" t="str">
        <f aca="false">IF(N477="","",RANK(N477,$N$2:$N$1000))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4"/>
      <c r="F478" s="34"/>
      <c r="G478" s="35" t="str">
        <f aca="true">IF(OR(E478="",J478=0),"",IF(F478&lt;&gt;"",F478-E478,TODAY()-E478))</f>
        <v/>
      </c>
      <c r="H478" s="29"/>
      <c r="I478" s="33"/>
      <c r="J478" s="32" t="n">
        <f aca="false">IF(OR(D478="",D478="Planned"),0,1)</f>
        <v>0</v>
      </c>
      <c r="K478" s="32" t="n">
        <f aca="false">IF(OR(D478="Under review",D478="Revision requested"),1,0)</f>
        <v>0</v>
      </c>
      <c r="L478" s="32" t="str">
        <f aca="false">IF(AND(J478=1,E478&lt;&gt;""),E478+ROW()/100000,"")</f>
        <v/>
      </c>
      <c r="M478" s="32" t="str">
        <f aca="false">IF(D478="Planned",ROW(),"")</f>
        <v/>
      </c>
      <c r="N478" s="32" t="str">
        <f aca="true">IF(K478=1,IF(E478="",0,TODAY()-E478)+ROW()/100000,"")</f>
        <v/>
      </c>
      <c r="O478" s="32" t="str">
        <f aca="false">IF(N478="","",RANK(N478,$N$2:$N$1000))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4"/>
      <c r="F479" s="34"/>
      <c r="G479" s="35" t="str">
        <f aca="true">IF(OR(E479="",J479=0),"",IF(F479&lt;&gt;"",F479-E479,TODAY()-E479))</f>
        <v/>
      </c>
      <c r="H479" s="29"/>
      <c r="I479" s="33"/>
      <c r="J479" s="32" t="n">
        <f aca="false">IF(OR(D479="",D479="Planned"),0,1)</f>
        <v>0</v>
      </c>
      <c r="K479" s="32" t="n">
        <f aca="false">IF(OR(D479="Under review",D479="Revision requested"),1,0)</f>
        <v>0</v>
      </c>
      <c r="L479" s="32" t="str">
        <f aca="false">IF(AND(J479=1,E479&lt;&gt;""),E479+ROW()/100000,"")</f>
        <v/>
      </c>
      <c r="M479" s="32" t="str">
        <f aca="false">IF(D479="Planned",ROW(),"")</f>
        <v/>
      </c>
      <c r="N479" s="32" t="str">
        <f aca="true">IF(K479=1,IF(E479="",0,TODAY()-E479)+ROW()/100000,"")</f>
        <v/>
      </c>
      <c r="O479" s="32" t="str">
        <f aca="false">IF(N479="","",RANK(N479,$N$2:$N$1000))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4"/>
      <c r="F480" s="34"/>
      <c r="G480" s="35" t="str">
        <f aca="true">IF(OR(E480="",J480=0),"",IF(F480&lt;&gt;"",F480-E480,TODAY()-E480))</f>
        <v/>
      </c>
      <c r="H480" s="29"/>
      <c r="I480" s="33"/>
      <c r="J480" s="32" t="n">
        <f aca="false">IF(OR(D480="",D480="Planned"),0,1)</f>
        <v>0</v>
      </c>
      <c r="K480" s="32" t="n">
        <f aca="false">IF(OR(D480="Under review",D480="Revision requested"),1,0)</f>
        <v>0</v>
      </c>
      <c r="L480" s="32" t="str">
        <f aca="false">IF(AND(J480=1,E480&lt;&gt;""),E480+ROW()/100000,"")</f>
        <v/>
      </c>
      <c r="M480" s="32" t="str">
        <f aca="false">IF(D480="Planned",ROW(),"")</f>
        <v/>
      </c>
      <c r="N480" s="32" t="str">
        <f aca="true">IF(K480=1,IF(E480="",0,TODAY()-E480)+ROW()/100000,"")</f>
        <v/>
      </c>
      <c r="O480" s="32" t="str">
        <f aca="false">IF(N480="","",RANK(N480,$N$2:$N$1000))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4"/>
      <c r="F481" s="34"/>
      <c r="G481" s="35" t="str">
        <f aca="true">IF(OR(E481="",J481=0),"",IF(F481&lt;&gt;"",F481-E481,TODAY()-E481))</f>
        <v/>
      </c>
      <c r="H481" s="29"/>
      <c r="I481" s="33"/>
      <c r="J481" s="32" t="n">
        <f aca="false">IF(OR(D481="",D481="Planned"),0,1)</f>
        <v>0</v>
      </c>
      <c r="K481" s="32" t="n">
        <f aca="false">IF(OR(D481="Under review",D481="Revision requested"),1,0)</f>
        <v>0</v>
      </c>
      <c r="L481" s="32" t="str">
        <f aca="false">IF(AND(J481=1,E481&lt;&gt;""),E481+ROW()/100000,"")</f>
        <v/>
      </c>
      <c r="M481" s="32" t="str">
        <f aca="false">IF(D481="Planned",ROW(),"")</f>
        <v/>
      </c>
      <c r="N481" s="32" t="str">
        <f aca="true">IF(K481=1,IF(E481="",0,TODAY()-E481)+ROW()/100000,"")</f>
        <v/>
      </c>
      <c r="O481" s="32" t="str">
        <f aca="false">IF(N481="","",RANK(N481,$N$2:$N$1000))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4"/>
      <c r="F482" s="34"/>
      <c r="G482" s="35" t="str">
        <f aca="true">IF(OR(E482="",J482=0),"",IF(F482&lt;&gt;"",F482-E482,TODAY()-E482))</f>
        <v/>
      </c>
      <c r="H482" s="29"/>
      <c r="I482" s="33"/>
      <c r="J482" s="32" t="n">
        <f aca="false">IF(OR(D482="",D482="Planned"),0,1)</f>
        <v>0</v>
      </c>
      <c r="K482" s="32" t="n">
        <f aca="false">IF(OR(D482="Under review",D482="Revision requested"),1,0)</f>
        <v>0</v>
      </c>
      <c r="L482" s="32" t="str">
        <f aca="false">IF(AND(J482=1,E482&lt;&gt;""),E482+ROW()/100000,"")</f>
        <v/>
      </c>
      <c r="M482" s="32" t="str">
        <f aca="false">IF(D482="Planned",ROW(),"")</f>
        <v/>
      </c>
      <c r="N482" s="32" t="str">
        <f aca="true">IF(K482=1,IF(E482="",0,TODAY()-E482)+ROW()/100000,"")</f>
        <v/>
      </c>
      <c r="O482" s="32" t="str">
        <f aca="false">IF(N482="","",RANK(N482,$N$2:$N$1000))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4"/>
      <c r="F483" s="34"/>
      <c r="G483" s="35" t="str">
        <f aca="true">IF(OR(E483="",J483=0),"",IF(F483&lt;&gt;"",F483-E483,TODAY()-E483))</f>
        <v/>
      </c>
      <c r="H483" s="29"/>
      <c r="I483" s="33"/>
      <c r="J483" s="32" t="n">
        <f aca="false">IF(OR(D483="",D483="Planned"),0,1)</f>
        <v>0</v>
      </c>
      <c r="K483" s="32" t="n">
        <f aca="false">IF(OR(D483="Under review",D483="Revision requested"),1,0)</f>
        <v>0</v>
      </c>
      <c r="L483" s="32" t="str">
        <f aca="false">IF(AND(J483=1,E483&lt;&gt;""),E483+ROW()/100000,"")</f>
        <v/>
      </c>
      <c r="M483" s="32" t="str">
        <f aca="false">IF(D483="Planned",ROW(),"")</f>
        <v/>
      </c>
      <c r="N483" s="32" t="str">
        <f aca="true">IF(K483=1,IF(E483="",0,TODAY()-E483)+ROW()/100000,"")</f>
        <v/>
      </c>
      <c r="O483" s="32" t="str">
        <f aca="false">IF(N483="","",RANK(N483,$N$2:$N$1000))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4"/>
      <c r="F484" s="34"/>
      <c r="G484" s="35" t="str">
        <f aca="true">IF(OR(E484="",J484=0),"",IF(F484&lt;&gt;"",F484-E484,TODAY()-E484))</f>
        <v/>
      </c>
      <c r="H484" s="29"/>
      <c r="I484" s="33"/>
      <c r="J484" s="32" t="n">
        <f aca="false">IF(OR(D484="",D484="Planned"),0,1)</f>
        <v>0</v>
      </c>
      <c r="K484" s="32" t="n">
        <f aca="false">IF(OR(D484="Under review",D484="Revision requested"),1,0)</f>
        <v>0</v>
      </c>
      <c r="L484" s="32" t="str">
        <f aca="false">IF(AND(J484=1,E484&lt;&gt;""),E484+ROW()/100000,"")</f>
        <v/>
      </c>
      <c r="M484" s="32" t="str">
        <f aca="false">IF(D484="Planned",ROW(),"")</f>
        <v/>
      </c>
      <c r="N484" s="32" t="str">
        <f aca="true">IF(K484=1,IF(E484="",0,TODAY()-E484)+ROW()/100000,"")</f>
        <v/>
      </c>
      <c r="O484" s="32" t="str">
        <f aca="false">IF(N484="","",RANK(N484,$N$2:$N$1000))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4"/>
      <c r="F485" s="34"/>
      <c r="G485" s="35" t="str">
        <f aca="true">IF(OR(E485="",J485=0),"",IF(F485&lt;&gt;"",F485-E485,TODAY()-E485))</f>
        <v/>
      </c>
      <c r="H485" s="29"/>
      <c r="I485" s="33"/>
      <c r="J485" s="32" t="n">
        <f aca="false">IF(OR(D485="",D485="Planned"),0,1)</f>
        <v>0</v>
      </c>
      <c r="K485" s="32" t="n">
        <f aca="false">IF(OR(D485="Under review",D485="Revision requested"),1,0)</f>
        <v>0</v>
      </c>
      <c r="L485" s="32" t="str">
        <f aca="false">IF(AND(J485=1,E485&lt;&gt;""),E485+ROW()/100000,"")</f>
        <v/>
      </c>
      <c r="M485" s="32" t="str">
        <f aca="false">IF(D485="Planned",ROW(),"")</f>
        <v/>
      </c>
      <c r="N485" s="32" t="str">
        <f aca="true">IF(K485=1,IF(E485="",0,TODAY()-E485)+ROW()/100000,"")</f>
        <v/>
      </c>
      <c r="O485" s="32" t="str">
        <f aca="false">IF(N485="","",RANK(N485,$N$2:$N$1000))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4"/>
      <c r="F486" s="34"/>
      <c r="G486" s="35" t="str">
        <f aca="true">IF(OR(E486="",J486=0),"",IF(F486&lt;&gt;"",F486-E486,TODAY()-E486))</f>
        <v/>
      </c>
      <c r="H486" s="29"/>
      <c r="I486" s="33"/>
      <c r="J486" s="32" t="n">
        <f aca="false">IF(OR(D486="",D486="Planned"),0,1)</f>
        <v>0</v>
      </c>
      <c r="K486" s="32" t="n">
        <f aca="false">IF(OR(D486="Under review",D486="Revision requested"),1,0)</f>
        <v>0</v>
      </c>
      <c r="L486" s="32" t="str">
        <f aca="false">IF(AND(J486=1,E486&lt;&gt;""),E486+ROW()/100000,"")</f>
        <v/>
      </c>
      <c r="M486" s="32" t="str">
        <f aca="false">IF(D486="Planned",ROW(),"")</f>
        <v/>
      </c>
      <c r="N486" s="32" t="str">
        <f aca="true">IF(K486=1,IF(E486="",0,TODAY()-E486)+ROW()/100000,"")</f>
        <v/>
      </c>
      <c r="O486" s="32" t="str">
        <f aca="false">IF(N486="","",RANK(N486,$N$2:$N$1000))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4"/>
      <c r="F487" s="34"/>
      <c r="G487" s="35" t="str">
        <f aca="true">IF(OR(E487="",J487=0),"",IF(F487&lt;&gt;"",F487-E487,TODAY()-E487))</f>
        <v/>
      </c>
      <c r="H487" s="29"/>
      <c r="I487" s="33"/>
      <c r="J487" s="32" t="n">
        <f aca="false">IF(OR(D487="",D487="Planned"),0,1)</f>
        <v>0</v>
      </c>
      <c r="K487" s="32" t="n">
        <f aca="false">IF(OR(D487="Under review",D487="Revision requested"),1,0)</f>
        <v>0</v>
      </c>
      <c r="L487" s="32" t="str">
        <f aca="false">IF(AND(J487=1,E487&lt;&gt;""),E487+ROW()/100000,"")</f>
        <v/>
      </c>
      <c r="M487" s="32" t="str">
        <f aca="false">IF(D487="Planned",ROW(),"")</f>
        <v/>
      </c>
      <c r="N487" s="32" t="str">
        <f aca="true">IF(K487=1,IF(E487="",0,TODAY()-E487)+ROW()/100000,"")</f>
        <v/>
      </c>
      <c r="O487" s="32" t="str">
        <f aca="false">IF(N487="","",RANK(N487,$N$2:$N$1000))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4"/>
      <c r="F488" s="34"/>
      <c r="G488" s="35" t="str">
        <f aca="true">IF(OR(E488="",J488=0),"",IF(F488&lt;&gt;"",F488-E488,TODAY()-E488))</f>
        <v/>
      </c>
      <c r="H488" s="29"/>
      <c r="I488" s="33"/>
      <c r="J488" s="32" t="n">
        <f aca="false">IF(OR(D488="",D488="Planned"),0,1)</f>
        <v>0</v>
      </c>
      <c r="K488" s="32" t="n">
        <f aca="false">IF(OR(D488="Under review",D488="Revision requested"),1,0)</f>
        <v>0</v>
      </c>
      <c r="L488" s="32" t="str">
        <f aca="false">IF(AND(J488=1,E488&lt;&gt;""),E488+ROW()/100000,"")</f>
        <v/>
      </c>
      <c r="M488" s="32" t="str">
        <f aca="false">IF(D488="Planned",ROW(),"")</f>
        <v/>
      </c>
      <c r="N488" s="32" t="str">
        <f aca="true">IF(K488=1,IF(E488="",0,TODAY()-E488)+ROW()/100000,"")</f>
        <v/>
      </c>
      <c r="O488" s="32" t="str">
        <f aca="false">IF(N488="","",RANK(N488,$N$2:$N$1000))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4"/>
      <c r="F489" s="34"/>
      <c r="G489" s="35" t="str">
        <f aca="true">IF(OR(E489="",J489=0),"",IF(F489&lt;&gt;"",F489-E489,TODAY()-E489))</f>
        <v/>
      </c>
      <c r="H489" s="29"/>
      <c r="I489" s="33"/>
      <c r="J489" s="32" t="n">
        <f aca="false">IF(OR(D489="",D489="Planned"),0,1)</f>
        <v>0</v>
      </c>
      <c r="K489" s="32" t="n">
        <f aca="false">IF(OR(D489="Under review",D489="Revision requested"),1,0)</f>
        <v>0</v>
      </c>
      <c r="L489" s="32" t="str">
        <f aca="false">IF(AND(J489=1,E489&lt;&gt;""),E489+ROW()/100000,"")</f>
        <v/>
      </c>
      <c r="M489" s="32" t="str">
        <f aca="false">IF(D489="Planned",ROW(),"")</f>
        <v/>
      </c>
      <c r="N489" s="32" t="str">
        <f aca="true">IF(K489=1,IF(E489="",0,TODAY()-E489)+ROW()/100000,"")</f>
        <v/>
      </c>
      <c r="O489" s="32" t="str">
        <f aca="false">IF(N489="","",RANK(N489,$N$2:$N$1000))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4"/>
      <c r="F490" s="34"/>
      <c r="G490" s="35" t="str">
        <f aca="true">IF(OR(E490="",J490=0),"",IF(F490&lt;&gt;"",F490-E490,TODAY()-E490))</f>
        <v/>
      </c>
      <c r="H490" s="29"/>
      <c r="I490" s="33"/>
      <c r="J490" s="32" t="n">
        <f aca="false">IF(OR(D490="",D490="Planned"),0,1)</f>
        <v>0</v>
      </c>
      <c r="K490" s="32" t="n">
        <f aca="false">IF(OR(D490="Under review",D490="Revision requested"),1,0)</f>
        <v>0</v>
      </c>
      <c r="L490" s="32" t="str">
        <f aca="false">IF(AND(J490=1,E490&lt;&gt;""),E490+ROW()/100000,"")</f>
        <v/>
      </c>
      <c r="M490" s="32" t="str">
        <f aca="false">IF(D490="Planned",ROW(),"")</f>
        <v/>
      </c>
      <c r="N490" s="32" t="str">
        <f aca="true">IF(K490=1,IF(E490="",0,TODAY()-E490)+ROW()/100000,"")</f>
        <v/>
      </c>
      <c r="O490" s="32" t="str">
        <f aca="false">IF(N490="","",RANK(N490,$N$2:$N$1000))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4"/>
      <c r="F491" s="34"/>
      <c r="G491" s="35" t="str">
        <f aca="true">IF(OR(E491="",J491=0),"",IF(F491&lt;&gt;"",F491-E491,TODAY()-E491))</f>
        <v/>
      </c>
      <c r="H491" s="29"/>
      <c r="I491" s="33"/>
      <c r="J491" s="32" t="n">
        <f aca="false">IF(OR(D491="",D491="Planned"),0,1)</f>
        <v>0</v>
      </c>
      <c r="K491" s="32" t="n">
        <f aca="false">IF(OR(D491="Under review",D491="Revision requested"),1,0)</f>
        <v>0</v>
      </c>
      <c r="L491" s="32" t="str">
        <f aca="false">IF(AND(J491=1,E491&lt;&gt;""),E491+ROW()/100000,"")</f>
        <v/>
      </c>
      <c r="M491" s="32" t="str">
        <f aca="false">IF(D491="Planned",ROW(),"")</f>
        <v/>
      </c>
      <c r="N491" s="32" t="str">
        <f aca="true">IF(K491=1,IF(E491="",0,TODAY()-E491)+ROW()/100000,"")</f>
        <v/>
      </c>
      <c r="O491" s="32" t="str">
        <f aca="false">IF(N491="","",RANK(N491,$N$2:$N$1000))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4"/>
      <c r="F492" s="34"/>
      <c r="G492" s="35" t="str">
        <f aca="true">IF(OR(E492="",J492=0),"",IF(F492&lt;&gt;"",F492-E492,TODAY()-E492))</f>
        <v/>
      </c>
      <c r="H492" s="29"/>
      <c r="I492" s="33"/>
      <c r="J492" s="32" t="n">
        <f aca="false">IF(OR(D492="",D492="Planned"),0,1)</f>
        <v>0</v>
      </c>
      <c r="K492" s="32" t="n">
        <f aca="false">IF(OR(D492="Under review",D492="Revision requested"),1,0)</f>
        <v>0</v>
      </c>
      <c r="L492" s="32" t="str">
        <f aca="false">IF(AND(J492=1,E492&lt;&gt;""),E492+ROW()/100000,"")</f>
        <v/>
      </c>
      <c r="M492" s="32" t="str">
        <f aca="false">IF(D492="Planned",ROW(),"")</f>
        <v/>
      </c>
      <c r="N492" s="32" t="str">
        <f aca="true">IF(K492=1,IF(E492="",0,TODAY()-E492)+ROW()/100000,"")</f>
        <v/>
      </c>
      <c r="O492" s="32" t="str">
        <f aca="false">IF(N492="","",RANK(N492,$N$2:$N$1000))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4"/>
      <c r="F493" s="34"/>
      <c r="G493" s="35" t="str">
        <f aca="true">IF(OR(E493="",J493=0),"",IF(F493&lt;&gt;"",F493-E493,TODAY()-E493))</f>
        <v/>
      </c>
      <c r="H493" s="29"/>
      <c r="I493" s="33"/>
      <c r="J493" s="32" t="n">
        <f aca="false">IF(OR(D493="",D493="Planned"),0,1)</f>
        <v>0</v>
      </c>
      <c r="K493" s="32" t="n">
        <f aca="false">IF(OR(D493="Under review",D493="Revision requested"),1,0)</f>
        <v>0</v>
      </c>
      <c r="L493" s="32" t="str">
        <f aca="false">IF(AND(J493=1,E493&lt;&gt;""),E493+ROW()/100000,"")</f>
        <v/>
      </c>
      <c r="M493" s="32" t="str">
        <f aca="false">IF(D493="Planned",ROW(),"")</f>
        <v/>
      </c>
      <c r="N493" s="32" t="str">
        <f aca="true">IF(K493=1,IF(E493="",0,TODAY()-E493)+ROW()/100000,"")</f>
        <v/>
      </c>
      <c r="O493" s="32" t="str">
        <f aca="false">IF(N493="","",RANK(N493,$N$2:$N$1000))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4"/>
      <c r="F494" s="34"/>
      <c r="G494" s="35" t="str">
        <f aca="true">IF(OR(E494="",J494=0),"",IF(F494&lt;&gt;"",F494-E494,TODAY()-E494))</f>
        <v/>
      </c>
      <c r="H494" s="29"/>
      <c r="I494" s="33"/>
      <c r="J494" s="32" t="n">
        <f aca="false">IF(OR(D494="",D494="Planned"),0,1)</f>
        <v>0</v>
      </c>
      <c r="K494" s="32" t="n">
        <f aca="false">IF(OR(D494="Under review",D494="Revision requested"),1,0)</f>
        <v>0</v>
      </c>
      <c r="L494" s="32" t="str">
        <f aca="false">IF(AND(J494=1,E494&lt;&gt;""),E494+ROW()/100000,"")</f>
        <v/>
      </c>
      <c r="M494" s="32" t="str">
        <f aca="false">IF(D494="Planned",ROW(),"")</f>
        <v/>
      </c>
      <c r="N494" s="32" t="str">
        <f aca="true">IF(K494=1,IF(E494="",0,TODAY()-E494)+ROW()/100000,"")</f>
        <v/>
      </c>
      <c r="O494" s="32" t="str">
        <f aca="false">IF(N494="","",RANK(N494,$N$2:$N$1000))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4"/>
      <c r="F495" s="34"/>
      <c r="G495" s="35" t="str">
        <f aca="true">IF(OR(E495="",J495=0),"",IF(F495&lt;&gt;"",F495-E495,TODAY()-E495))</f>
        <v/>
      </c>
      <c r="H495" s="29"/>
      <c r="I495" s="33"/>
      <c r="J495" s="32" t="n">
        <f aca="false">IF(OR(D495="",D495="Planned"),0,1)</f>
        <v>0</v>
      </c>
      <c r="K495" s="32" t="n">
        <f aca="false">IF(OR(D495="Under review",D495="Revision requested"),1,0)</f>
        <v>0</v>
      </c>
      <c r="L495" s="32" t="str">
        <f aca="false">IF(AND(J495=1,E495&lt;&gt;""),E495+ROW()/100000,"")</f>
        <v/>
      </c>
      <c r="M495" s="32" t="str">
        <f aca="false">IF(D495="Planned",ROW(),"")</f>
        <v/>
      </c>
      <c r="N495" s="32" t="str">
        <f aca="true">IF(K495=1,IF(E495="",0,TODAY()-E495)+ROW()/100000,"")</f>
        <v/>
      </c>
      <c r="O495" s="32" t="str">
        <f aca="false">IF(N495="","",RANK(N495,$N$2:$N$1000))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4"/>
      <c r="F496" s="34"/>
      <c r="G496" s="35" t="str">
        <f aca="true">IF(OR(E496="",J496=0),"",IF(F496&lt;&gt;"",F496-E496,TODAY()-E496))</f>
        <v/>
      </c>
      <c r="H496" s="29"/>
      <c r="I496" s="33"/>
      <c r="J496" s="32" t="n">
        <f aca="false">IF(OR(D496="",D496="Planned"),0,1)</f>
        <v>0</v>
      </c>
      <c r="K496" s="32" t="n">
        <f aca="false">IF(OR(D496="Under review",D496="Revision requested"),1,0)</f>
        <v>0</v>
      </c>
      <c r="L496" s="32" t="str">
        <f aca="false">IF(AND(J496=1,E496&lt;&gt;""),E496+ROW()/100000,"")</f>
        <v/>
      </c>
      <c r="M496" s="32" t="str">
        <f aca="false">IF(D496="Planned",ROW(),"")</f>
        <v/>
      </c>
      <c r="N496" s="32" t="str">
        <f aca="true">IF(K496=1,IF(E496="",0,TODAY()-E496)+ROW()/100000,"")</f>
        <v/>
      </c>
      <c r="O496" s="32" t="str">
        <f aca="false">IF(N496="","",RANK(N496,$N$2:$N$1000))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4"/>
      <c r="F497" s="34"/>
      <c r="G497" s="35" t="str">
        <f aca="true">IF(OR(E497="",J497=0),"",IF(F497&lt;&gt;"",F497-E497,TODAY()-E497))</f>
        <v/>
      </c>
      <c r="H497" s="29"/>
      <c r="I497" s="33"/>
      <c r="J497" s="32" t="n">
        <f aca="false">IF(OR(D497="",D497="Planned"),0,1)</f>
        <v>0</v>
      </c>
      <c r="K497" s="32" t="n">
        <f aca="false">IF(OR(D497="Under review",D497="Revision requested"),1,0)</f>
        <v>0</v>
      </c>
      <c r="L497" s="32" t="str">
        <f aca="false">IF(AND(J497=1,E497&lt;&gt;""),E497+ROW()/100000,"")</f>
        <v/>
      </c>
      <c r="M497" s="32" t="str">
        <f aca="false">IF(D497="Planned",ROW(),"")</f>
        <v/>
      </c>
      <c r="N497" s="32" t="str">
        <f aca="true">IF(K497=1,IF(E497="",0,TODAY()-E497)+ROW()/100000,"")</f>
        <v/>
      </c>
      <c r="O497" s="32" t="str">
        <f aca="false">IF(N497="","",RANK(N497,$N$2:$N$1000))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4"/>
      <c r="F498" s="34"/>
      <c r="G498" s="35" t="str">
        <f aca="true">IF(OR(E498="",J498=0),"",IF(F498&lt;&gt;"",F498-E498,TODAY()-E498))</f>
        <v/>
      </c>
      <c r="H498" s="29"/>
      <c r="I498" s="33"/>
      <c r="J498" s="32" t="n">
        <f aca="false">IF(OR(D498="",D498="Planned"),0,1)</f>
        <v>0</v>
      </c>
      <c r="K498" s="32" t="n">
        <f aca="false">IF(OR(D498="Under review",D498="Revision requested"),1,0)</f>
        <v>0</v>
      </c>
      <c r="L498" s="32" t="str">
        <f aca="false">IF(AND(J498=1,E498&lt;&gt;""),E498+ROW()/100000,"")</f>
        <v/>
      </c>
      <c r="M498" s="32" t="str">
        <f aca="false">IF(D498="Planned",ROW(),"")</f>
        <v/>
      </c>
      <c r="N498" s="32" t="str">
        <f aca="true">IF(K498=1,IF(E498="",0,TODAY()-E498)+ROW()/100000,"")</f>
        <v/>
      </c>
      <c r="O498" s="32" t="str">
        <f aca="false">IF(N498="","",RANK(N498,$N$2:$N$1000))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4"/>
      <c r="F499" s="34"/>
      <c r="G499" s="35" t="str">
        <f aca="true">IF(OR(E499="",J499=0),"",IF(F499&lt;&gt;"",F499-E499,TODAY()-E499))</f>
        <v/>
      </c>
      <c r="H499" s="29"/>
      <c r="I499" s="33"/>
      <c r="J499" s="32" t="n">
        <f aca="false">IF(OR(D499="",D499="Planned"),0,1)</f>
        <v>0</v>
      </c>
      <c r="K499" s="32" t="n">
        <f aca="false">IF(OR(D499="Under review",D499="Revision requested"),1,0)</f>
        <v>0</v>
      </c>
      <c r="L499" s="32" t="str">
        <f aca="false">IF(AND(J499=1,E499&lt;&gt;""),E499+ROW()/100000,"")</f>
        <v/>
      </c>
      <c r="M499" s="32" t="str">
        <f aca="false">IF(D499="Planned",ROW(),"")</f>
        <v/>
      </c>
      <c r="N499" s="32" t="str">
        <f aca="true">IF(K499=1,IF(E499="",0,TODAY()-E499)+ROW()/100000,"")</f>
        <v/>
      </c>
      <c r="O499" s="32" t="str">
        <f aca="false">IF(N499="","",RANK(N499,$N$2:$N$1000))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4"/>
      <c r="F500" s="34"/>
      <c r="G500" s="35" t="str">
        <f aca="true">IF(OR(E500="",J500=0),"",IF(F500&lt;&gt;"",F500-E500,TODAY()-E500))</f>
        <v/>
      </c>
      <c r="H500" s="29"/>
      <c r="I500" s="33"/>
      <c r="J500" s="32" t="n">
        <f aca="false">IF(OR(D500="",D500="Planned"),0,1)</f>
        <v>0</v>
      </c>
      <c r="K500" s="32" t="n">
        <f aca="false">IF(OR(D500="Under review",D500="Revision requested"),1,0)</f>
        <v>0</v>
      </c>
      <c r="L500" s="32" t="str">
        <f aca="false">IF(AND(J500=1,E500&lt;&gt;""),E500+ROW()/100000,"")</f>
        <v/>
      </c>
      <c r="M500" s="32" t="str">
        <f aca="false">IF(D500="Planned",ROW(),"")</f>
        <v/>
      </c>
      <c r="N500" s="32" t="str">
        <f aca="true">IF(K500=1,IF(E500="",0,TODAY()-E500)+ROW()/100000,"")</f>
        <v/>
      </c>
      <c r="O500" s="32" t="str">
        <f aca="false">IF(N500="","",RANK(N500,$N$2:$N$1000))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4"/>
      <c r="F501" s="34"/>
      <c r="G501" s="35" t="str">
        <f aca="true">IF(OR(E501="",J501=0),"",IF(F501&lt;&gt;"",F501-E501,TODAY()-E501))</f>
        <v/>
      </c>
      <c r="H501" s="29"/>
      <c r="I501" s="33"/>
      <c r="J501" s="32" t="n">
        <f aca="false">IF(OR(D501="",D501="Planned"),0,1)</f>
        <v>0</v>
      </c>
      <c r="K501" s="32" t="n">
        <f aca="false">IF(OR(D501="Under review",D501="Revision requested"),1,0)</f>
        <v>0</v>
      </c>
      <c r="L501" s="32" t="str">
        <f aca="false">IF(AND(J501=1,E501&lt;&gt;""),E501+ROW()/100000,"")</f>
        <v/>
      </c>
      <c r="M501" s="32" t="str">
        <f aca="false">IF(D501="Planned",ROW(),"")</f>
        <v/>
      </c>
      <c r="N501" s="32" t="str">
        <f aca="true">IF(K501=1,IF(E501="",0,TODAY()-E501)+ROW()/100000,"")</f>
        <v/>
      </c>
      <c r="O501" s="32" t="str">
        <f aca="false">IF(N501="","",RANK(N501,$N$2:$N$1000))</f>
        <v/>
      </c>
    </row>
    <row r="502" customFormat="false" ht="15" hidden="false" customHeight="false" outlineLevel="0" collapsed="false">
      <c r="A502" s="33"/>
      <c r="B502" s="33"/>
      <c r="C502" s="33"/>
      <c r="D502" s="33"/>
      <c r="E502" s="34"/>
      <c r="F502" s="34"/>
      <c r="G502" s="35" t="str">
        <f aca="true">IF(OR(E502="",J502=0),"",IF(F502&lt;&gt;"",F502-E502,TODAY()-E502))</f>
        <v/>
      </c>
      <c r="H502" s="29"/>
      <c r="I502" s="33"/>
      <c r="J502" s="32" t="n">
        <f aca="false">IF(OR(D502="",D502="Planned"),0,1)</f>
        <v>0</v>
      </c>
      <c r="K502" s="32" t="n">
        <f aca="false">IF(OR(D502="Under review",D502="Revision requested"),1,0)</f>
        <v>0</v>
      </c>
      <c r="L502" s="32" t="str">
        <f aca="false">IF(AND(J502=1,E502&lt;&gt;""),E502+ROW()/100000,"")</f>
        <v/>
      </c>
      <c r="M502" s="32" t="str">
        <f aca="false">IF(D502="Planned",ROW(),"")</f>
        <v/>
      </c>
      <c r="N502" s="32" t="str">
        <f aca="true">IF(K502=1,IF(E502="",0,TODAY()-E502)+ROW()/100000,"")</f>
        <v/>
      </c>
      <c r="O502" s="32" t="str">
        <f aca="false">IF(N502="","",RANK(N502,$N$2:$N$1000))</f>
        <v/>
      </c>
    </row>
    <row r="503" customFormat="false" ht="15" hidden="false" customHeight="false" outlineLevel="0" collapsed="false">
      <c r="A503" s="33"/>
      <c r="B503" s="33"/>
      <c r="C503" s="33"/>
      <c r="D503" s="33"/>
      <c r="E503" s="34"/>
      <c r="F503" s="34"/>
      <c r="G503" s="35" t="str">
        <f aca="true">IF(OR(E503="",J503=0),"",IF(F503&lt;&gt;"",F503-E503,TODAY()-E503))</f>
        <v/>
      </c>
      <c r="H503" s="29"/>
      <c r="I503" s="33"/>
      <c r="J503" s="32" t="n">
        <f aca="false">IF(OR(D503="",D503="Planned"),0,1)</f>
        <v>0</v>
      </c>
      <c r="K503" s="32" t="n">
        <f aca="false">IF(OR(D503="Under review",D503="Revision requested"),1,0)</f>
        <v>0</v>
      </c>
      <c r="L503" s="32" t="str">
        <f aca="false">IF(AND(J503=1,E503&lt;&gt;""),E503+ROW()/100000,"")</f>
        <v/>
      </c>
      <c r="M503" s="32" t="str">
        <f aca="false">IF(D503="Planned",ROW(),"")</f>
        <v/>
      </c>
      <c r="N503" s="32" t="str">
        <f aca="true">IF(K503=1,IF(E503="",0,TODAY()-E503)+ROW()/100000,"")</f>
        <v/>
      </c>
      <c r="O503" s="32" t="str">
        <f aca="false">IF(N503="","",RANK(N503,$N$2:$N$1000))</f>
        <v/>
      </c>
    </row>
    <row r="504" customFormat="false" ht="15" hidden="false" customHeight="false" outlineLevel="0" collapsed="false">
      <c r="A504" s="33"/>
      <c r="B504" s="33"/>
      <c r="C504" s="33"/>
      <c r="D504" s="33"/>
      <c r="E504" s="34"/>
      <c r="F504" s="34"/>
      <c r="G504" s="35" t="str">
        <f aca="true">IF(OR(E504="",J504=0),"",IF(F504&lt;&gt;"",F504-E504,TODAY()-E504))</f>
        <v/>
      </c>
      <c r="H504" s="29"/>
      <c r="I504" s="33"/>
      <c r="J504" s="32" t="n">
        <f aca="false">IF(OR(D504="",D504="Planned"),0,1)</f>
        <v>0</v>
      </c>
      <c r="K504" s="32" t="n">
        <f aca="false">IF(OR(D504="Under review",D504="Revision requested"),1,0)</f>
        <v>0</v>
      </c>
      <c r="L504" s="32" t="str">
        <f aca="false">IF(AND(J504=1,E504&lt;&gt;""),E504+ROW()/100000,"")</f>
        <v/>
      </c>
      <c r="M504" s="32" t="str">
        <f aca="false">IF(D504="Planned",ROW(),"")</f>
        <v/>
      </c>
      <c r="N504" s="32" t="str">
        <f aca="true">IF(K504=1,IF(E504="",0,TODAY()-E504)+ROW()/100000,"")</f>
        <v/>
      </c>
      <c r="O504" s="32" t="str">
        <f aca="false">IF(N504="","",RANK(N504,$N$2:$N$1000))</f>
        <v/>
      </c>
    </row>
    <row r="505" customFormat="false" ht="15" hidden="false" customHeight="false" outlineLevel="0" collapsed="false">
      <c r="A505" s="33"/>
      <c r="B505" s="33"/>
      <c r="C505" s="33"/>
      <c r="D505" s="33"/>
      <c r="E505" s="34"/>
      <c r="F505" s="34"/>
      <c r="G505" s="35" t="str">
        <f aca="true">IF(OR(E505="",J505=0),"",IF(F505&lt;&gt;"",F505-E505,TODAY()-E505))</f>
        <v/>
      </c>
      <c r="H505" s="29"/>
      <c r="I505" s="33"/>
      <c r="J505" s="32" t="n">
        <f aca="false">IF(OR(D505="",D505="Planned"),0,1)</f>
        <v>0</v>
      </c>
      <c r="K505" s="32" t="n">
        <f aca="false">IF(OR(D505="Under review",D505="Revision requested"),1,0)</f>
        <v>0</v>
      </c>
      <c r="L505" s="32" t="str">
        <f aca="false">IF(AND(J505=1,E505&lt;&gt;""),E505+ROW()/100000,"")</f>
        <v/>
      </c>
      <c r="M505" s="32" t="str">
        <f aca="false">IF(D505="Planned",ROW(),"")</f>
        <v/>
      </c>
      <c r="N505" s="32" t="str">
        <f aca="true">IF(K505=1,IF(E505="",0,TODAY()-E505)+ROW()/100000,"")</f>
        <v/>
      </c>
      <c r="O505" s="32" t="str">
        <f aca="false">IF(N505="","",RANK(N505,$N$2:$N$1000))</f>
        <v/>
      </c>
    </row>
    <row r="506" customFormat="false" ht="15" hidden="false" customHeight="false" outlineLevel="0" collapsed="false">
      <c r="A506" s="33"/>
      <c r="B506" s="33"/>
      <c r="C506" s="33"/>
      <c r="D506" s="33"/>
      <c r="E506" s="34"/>
      <c r="F506" s="34"/>
      <c r="G506" s="35" t="str">
        <f aca="true">IF(OR(E506="",J506=0),"",IF(F506&lt;&gt;"",F506-E506,TODAY()-E506))</f>
        <v/>
      </c>
      <c r="H506" s="29"/>
      <c r="I506" s="33"/>
      <c r="J506" s="32" t="n">
        <f aca="false">IF(OR(D506="",D506="Planned"),0,1)</f>
        <v>0</v>
      </c>
      <c r="K506" s="32" t="n">
        <f aca="false">IF(OR(D506="Under review",D506="Revision requested"),1,0)</f>
        <v>0</v>
      </c>
      <c r="L506" s="32" t="str">
        <f aca="false">IF(AND(J506=1,E506&lt;&gt;""),E506+ROW()/100000,"")</f>
        <v/>
      </c>
      <c r="M506" s="32" t="str">
        <f aca="false">IF(D506="Planned",ROW(),"")</f>
        <v/>
      </c>
      <c r="N506" s="32" t="str">
        <f aca="true">IF(K506=1,IF(E506="",0,TODAY()-E506)+ROW()/100000,"")</f>
        <v/>
      </c>
      <c r="O506" s="32" t="str">
        <f aca="false">IF(N506="","",RANK(N506,$N$2:$N$1000))</f>
        <v/>
      </c>
    </row>
    <row r="507" customFormat="false" ht="15" hidden="false" customHeight="false" outlineLevel="0" collapsed="false">
      <c r="A507" s="33"/>
      <c r="B507" s="33"/>
      <c r="C507" s="33"/>
      <c r="D507" s="33"/>
      <c r="E507" s="34"/>
      <c r="F507" s="34"/>
      <c r="G507" s="35" t="str">
        <f aca="true">IF(OR(E507="",J507=0),"",IF(F507&lt;&gt;"",F507-E507,TODAY()-E507))</f>
        <v/>
      </c>
      <c r="H507" s="29"/>
      <c r="I507" s="33"/>
      <c r="J507" s="32" t="n">
        <f aca="false">IF(OR(D507="",D507="Planned"),0,1)</f>
        <v>0</v>
      </c>
      <c r="K507" s="32" t="n">
        <f aca="false">IF(OR(D507="Under review",D507="Revision requested"),1,0)</f>
        <v>0</v>
      </c>
      <c r="L507" s="32" t="str">
        <f aca="false">IF(AND(J507=1,E507&lt;&gt;""),E507+ROW()/100000,"")</f>
        <v/>
      </c>
      <c r="M507" s="32" t="str">
        <f aca="false">IF(D507="Planned",ROW(),"")</f>
        <v/>
      </c>
      <c r="N507" s="32" t="str">
        <f aca="true">IF(K507=1,IF(E507="",0,TODAY()-E507)+ROW()/100000,"")</f>
        <v/>
      </c>
      <c r="O507" s="32" t="str">
        <f aca="false">IF(N507="","",RANK(N507,$N$2:$N$1000))</f>
        <v/>
      </c>
    </row>
    <row r="508" customFormat="false" ht="15" hidden="false" customHeight="false" outlineLevel="0" collapsed="false">
      <c r="A508" s="33"/>
      <c r="B508" s="33"/>
      <c r="C508" s="33"/>
      <c r="D508" s="33"/>
      <c r="E508" s="34"/>
      <c r="F508" s="34"/>
      <c r="G508" s="35" t="str">
        <f aca="true">IF(OR(E508="",J508=0),"",IF(F508&lt;&gt;"",F508-E508,TODAY()-E508))</f>
        <v/>
      </c>
      <c r="H508" s="29"/>
      <c r="I508" s="33"/>
      <c r="J508" s="32" t="n">
        <f aca="false">IF(OR(D508="",D508="Planned"),0,1)</f>
        <v>0</v>
      </c>
      <c r="K508" s="32" t="n">
        <f aca="false">IF(OR(D508="Under review",D508="Revision requested"),1,0)</f>
        <v>0</v>
      </c>
      <c r="L508" s="32" t="str">
        <f aca="false">IF(AND(J508=1,E508&lt;&gt;""),E508+ROW()/100000,"")</f>
        <v/>
      </c>
      <c r="M508" s="32" t="str">
        <f aca="false">IF(D508="Planned",ROW(),"")</f>
        <v/>
      </c>
      <c r="N508" s="32" t="str">
        <f aca="true">IF(K508=1,IF(E508="",0,TODAY()-E508)+ROW()/100000,"")</f>
        <v/>
      </c>
      <c r="O508" s="32" t="str">
        <f aca="false">IF(N508="","",RANK(N508,$N$2:$N$1000))</f>
        <v/>
      </c>
    </row>
    <row r="509" customFormat="false" ht="15" hidden="false" customHeight="false" outlineLevel="0" collapsed="false">
      <c r="A509" s="33"/>
      <c r="B509" s="33"/>
      <c r="C509" s="33"/>
      <c r="D509" s="33"/>
      <c r="E509" s="34"/>
      <c r="F509" s="34"/>
      <c r="G509" s="35" t="str">
        <f aca="true">IF(OR(E509="",J509=0),"",IF(F509&lt;&gt;"",F509-E509,TODAY()-E509))</f>
        <v/>
      </c>
      <c r="H509" s="29"/>
      <c r="I509" s="33"/>
      <c r="J509" s="32" t="n">
        <f aca="false">IF(OR(D509="",D509="Planned"),0,1)</f>
        <v>0</v>
      </c>
      <c r="K509" s="32" t="n">
        <f aca="false">IF(OR(D509="Under review",D509="Revision requested"),1,0)</f>
        <v>0</v>
      </c>
      <c r="L509" s="32" t="str">
        <f aca="false">IF(AND(J509=1,E509&lt;&gt;""),E509+ROW()/100000,"")</f>
        <v/>
      </c>
      <c r="M509" s="32" t="str">
        <f aca="false">IF(D509="Planned",ROW(),"")</f>
        <v/>
      </c>
      <c r="N509" s="32" t="str">
        <f aca="true">IF(K509=1,IF(E509="",0,TODAY()-E509)+ROW()/100000,"")</f>
        <v/>
      </c>
      <c r="O509" s="32" t="str">
        <f aca="false">IF(N509="","",RANK(N509,$N$2:$N$1000))</f>
        <v/>
      </c>
    </row>
    <row r="510" customFormat="false" ht="15" hidden="false" customHeight="false" outlineLevel="0" collapsed="false">
      <c r="A510" s="33"/>
      <c r="B510" s="33"/>
      <c r="C510" s="33"/>
      <c r="D510" s="33"/>
      <c r="E510" s="34"/>
      <c r="F510" s="34"/>
      <c r="G510" s="35" t="str">
        <f aca="true">IF(OR(E510="",J510=0),"",IF(F510&lt;&gt;"",F510-E510,TODAY()-E510))</f>
        <v/>
      </c>
      <c r="H510" s="29"/>
      <c r="I510" s="33"/>
      <c r="J510" s="32" t="n">
        <f aca="false">IF(OR(D510="",D510="Planned"),0,1)</f>
        <v>0</v>
      </c>
      <c r="K510" s="32" t="n">
        <f aca="false">IF(OR(D510="Under review",D510="Revision requested"),1,0)</f>
        <v>0</v>
      </c>
      <c r="L510" s="32" t="str">
        <f aca="false">IF(AND(J510=1,E510&lt;&gt;""),E510+ROW()/100000,"")</f>
        <v/>
      </c>
      <c r="M510" s="32" t="str">
        <f aca="false">IF(D510="Planned",ROW(),"")</f>
        <v/>
      </c>
      <c r="N510" s="32" t="str">
        <f aca="true">IF(K510=1,IF(E510="",0,TODAY()-E510)+ROW()/100000,"")</f>
        <v/>
      </c>
      <c r="O510" s="32" t="str">
        <f aca="false">IF(N510="","",RANK(N510,$N$2:$N$1000))</f>
        <v/>
      </c>
    </row>
    <row r="511" customFormat="false" ht="15" hidden="false" customHeight="false" outlineLevel="0" collapsed="false">
      <c r="A511" s="33"/>
      <c r="B511" s="33"/>
      <c r="C511" s="33"/>
      <c r="D511" s="33"/>
      <c r="E511" s="34"/>
      <c r="F511" s="34"/>
      <c r="G511" s="35" t="str">
        <f aca="true">IF(OR(E511="",J511=0),"",IF(F511&lt;&gt;"",F511-E511,TODAY()-E511))</f>
        <v/>
      </c>
      <c r="H511" s="29"/>
      <c r="I511" s="33"/>
      <c r="J511" s="32" t="n">
        <f aca="false">IF(OR(D511="",D511="Planned"),0,1)</f>
        <v>0</v>
      </c>
      <c r="K511" s="32" t="n">
        <f aca="false">IF(OR(D511="Under review",D511="Revision requested"),1,0)</f>
        <v>0</v>
      </c>
      <c r="L511" s="32" t="str">
        <f aca="false">IF(AND(J511=1,E511&lt;&gt;""),E511+ROW()/100000,"")</f>
        <v/>
      </c>
      <c r="M511" s="32" t="str">
        <f aca="false">IF(D511="Planned",ROW(),"")</f>
        <v/>
      </c>
      <c r="N511" s="32" t="str">
        <f aca="true">IF(K511=1,IF(E511="",0,TODAY()-E511)+ROW()/100000,"")</f>
        <v/>
      </c>
      <c r="O511" s="32" t="str">
        <f aca="false">IF(N511="","",RANK(N511,$N$2:$N$1000))</f>
        <v/>
      </c>
    </row>
    <row r="512" customFormat="false" ht="15" hidden="false" customHeight="false" outlineLevel="0" collapsed="false">
      <c r="A512" s="33"/>
      <c r="B512" s="33"/>
      <c r="C512" s="33"/>
      <c r="D512" s="33"/>
      <c r="E512" s="34"/>
      <c r="F512" s="34"/>
      <c r="G512" s="35" t="str">
        <f aca="true">IF(OR(E512="",J512=0),"",IF(F512&lt;&gt;"",F512-E512,TODAY()-E512))</f>
        <v/>
      </c>
      <c r="H512" s="29"/>
      <c r="I512" s="33"/>
      <c r="J512" s="32" t="n">
        <f aca="false">IF(OR(D512="",D512="Planned"),0,1)</f>
        <v>0</v>
      </c>
      <c r="K512" s="32" t="n">
        <f aca="false">IF(OR(D512="Under review",D512="Revision requested"),1,0)</f>
        <v>0</v>
      </c>
      <c r="L512" s="32" t="str">
        <f aca="false">IF(AND(J512=1,E512&lt;&gt;""),E512+ROW()/100000,"")</f>
        <v/>
      </c>
      <c r="M512" s="32" t="str">
        <f aca="false">IF(D512="Planned",ROW(),"")</f>
        <v/>
      </c>
      <c r="N512" s="32" t="str">
        <f aca="true">IF(K512=1,IF(E512="",0,TODAY()-E512)+ROW()/100000,"")</f>
        <v/>
      </c>
      <c r="O512" s="32" t="str">
        <f aca="false">IF(N512="","",RANK(N512,$N$2:$N$1000))</f>
        <v/>
      </c>
    </row>
    <row r="513" customFormat="false" ht="15" hidden="false" customHeight="false" outlineLevel="0" collapsed="false">
      <c r="A513" s="33"/>
      <c r="B513" s="33"/>
      <c r="C513" s="33"/>
      <c r="D513" s="33"/>
      <c r="E513" s="34"/>
      <c r="F513" s="34"/>
      <c r="G513" s="35" t="str">
        <f aca="true">IF(OR(E513="",J513=0),"",IF(F513&lt;&gt;"",F513-E513,TODAY()-E513))</f>
        <v/>
      </c>
      <c r="H513" s="29"/>
      <c r="I513" s="33"/>
      <c r="J513" s="32" t="n">
        <f aca="false">IF(OR(D513="",D513="Planned"),0,1)</f>
        <v>0</v>
      </c>
      <c r="K513" s="32" t="n">
        <f aca="false">IF(OR(D513="Under review",D513="Revision requested"),1,0)</f>
        <v>0</v>
      </c>
      <c r="L513" s="32" t="str">
        <f aca="false">IF(AND(J513=1,E513&lt;&gt;""),E513+ROW()/100000,"")</f>
        <v/>
      </c>
      <c r="M513" s="32" t="str">
        <f aca="false">IF(D513="Planned",ROW(),"")</f>
        <v/>
      </c>
      <c r="N513" s="32" t="str">
        <f aca="true">IF(K513=1,IF(E513="",0,TODAY()-E513)+ROW()/100000,"")</f>
        <v/>
      </c>
      <c r="O513" s="32" t="str">
        <f aca="false">IF(N513="","",RANK(N513,$N$2:$N$1000))</f>
        <v/>
      </c>
    </row>
    <row r="514" customFormat="false" ht="15" hidden="false" customHeight="false" outlineLevel="0" collapsed="false">
      <c r="A514" s="33"/>
      <c r="B514" s="33"/>
      <c r="C514" s="33"/>
      <c r="D514" s="33"/>
      <c r="E514" s="34"/>
      <c r="F514" s="34"/>
      <c r="G514" s="35" t="str">
        <f aca="true">IF(OR(E514="",J514=0),"",IF(F514&lt;&gt;"",F514-E514,TODAY()-E514))</f>
        <v/>
      </c>
      <c r="H514" s="29"/>
      <c r="I514" s="33"/>
      <c r="J514" s="32" t="n">
        <f aca="false">IF(OR(D514="",D514="Planned"),0,1)</f>
        <v>0</v>
      </c>
      <c r="K514" s="32" t="n">
        <f aca="false">IF(OR(D514="Under review",D514="Revision requested"),1,0)</f>
        <v>0</v>
      </c>
      <c r="L514" s="32" t="str">
        <f aca="false">IF(AND(J514=1,E514&lt;&gt;""),E514+ROW()/100000,"")</f>
        <v/>
      </c>
      <c r="M514" s="32" t="str">
        <f aca="false">IF(D514="Planned",ROW(),"")</f>
        <v/>
      </c>
      <c r="N514" s="32" t="str">
        <f aca="true">IF(K514=1,IF(E514="",0,TODAY()-E514)+ROW()/100000,"")</f>
        <v/>
      </c>
      <c r="O514" s="32" t="str">
        <f aca="false">IF(N514="","",RANK(N514,$N$2:$N$1000))</f>
        <v/>
      </c>
    </row>
    <row r="515" customFormat="false" ht="15" hidden="false" customHeight="false" outlineLevel="0" collapsed="false">
      <c r="A515" s="33"/>
      <c r="B515" s="33"/>
      <c r="C515" s="33"/>
      <c r="D515" s="33"/>
      <c r="E515" s="34"/>
      <c r="F515" s="34"/>
      <c r="G515" s="35" t="str">
        <f aca="true">IF(OR(E515="",J515=0),"",IF(F515&lt;&gt;"",F515-E515,TODAY()-E515))</f>
        <v/>
      </c>
      <c r="H515" s="29"/>
      <c r="I515" s="33"/>
      <c r="J515" s="32" t="n">
        <f aca="false">IF(OR(D515="",D515="Planned"),0,1)</f>
        <v>0</v>
      </c>
      <c r="K515" s="32" t="n">
        <f aca="false">IF(OR(D515="Under review",D515="Revision requested"),1,0)</f>
        <v>0</v>
      </c>
      <c r="L515" s="32" t="str">
        <f aca="false">IF(AND(J515=1,E515&lt;&gt;""),E515+ROW()/100000,"")</f>
        <v/>
      </c>
      <c r="M515" s="32" t="str">
        <f aca="false">IF(D515="Planned",ROW(),"")</f>
        <v/>
      </c>
      <c r="N515" s="32" t="str">
        <f aca="true">IF(K515=1,IF(E515="",0,TODAY()-E515)+ROW()/100000,"")</f>
        <v/>
      </c>
      <c r="O515" s="32" t="str">
        <f aca="false">IF(N515="","",RANK(N515,$N$2:$N$1000))</f>
        <v/>
      </c>
    </row>
    <row r="516" customFormat="false" ht="15" hidden="false" customHeight="false" outlineLevel="0" collapsed="false">
      <c r="A516" s="33"/>
      <c r="B516" s="33"/>
      <c r="C516" s="33"/>
      <c r="D516" s="33"/>
      <c r="E516" s="34"/>
      <c r="F516" s="34"/>
      <c r="G516" s="35" t="str">
        <f aca="true">IF(OR(E516="",J516=0),"",IF(F516&lt;&gt;"",F516-E516,TODAY()-E516))</f>
        <v/>
      </c>
      <c r="H516" s="29"/>
      <c r="I516" s="33"/>
      <c r="J516" s="32" t="n">
        <f aca="false">IF(OR(D516="",D516="Planned"),0,1)</f>
        <v>0</v>
      </c>
      <c r="K516" s="32" t="n">
        <f aca="false">IF(OR(D516="Under review",D516="Revision requested"),1,0)</f>
        <v>0</v>
      </c>
      <c r="L516" s="32" t="str">
        <f aca="false">IF(AND(J516=1,E516&lt;&gt;""),E516+ROW()/100000,"")</f>
        <v/>
      </c>
      <c r="M516" s="32" t="str">
        <f aca="false">IF(D516="Planned",ROW(),"")</f>
        <v/>
      </c>
      <c r="N516" s="32" t="str">
        <f aca="true">IF(K516=1,IF(E516="",0,TODAY()-E516)+ROW()/100000,"")</f>
        <v/>
      </c>
      <c r="O516" s="32" t="str">
        <f aca="false">IF(N516="","",RANK(N516,$N$2:$N$1000))</f>
        <v/>
      </c>
    </row>
    <row r="517" customFormat="false" ht="15" hidden="false" customHeight="false" outlineLevel="0" collapsed="false">
      <c r="A517" s="33"/>
      <c r="B517" s="33"/>
      <c r="C517" s="33"/>
      <c r="D517" s="33"/>
      <c r="E517" s="34"/>
      <c r="F517" s="34"/>
      <c r="G517" s="35" t="str">
        <f aca="true">IF(OR(E517="",J517=0),"",IF(F517&lt;&gt;"",F517-E517,TODAY()-E517))</f>
        <v/>
      </c>
      <c r="H517" s="29"/>
      <c r="I517" s="33"/>
      <c r="J517" s="32" t="n">
        <f aca="false">IF(OR(D517="",D517="Planned"),0,1)</f>
        <v>0</v>
      </c>
      <c r="K517" s="32" t="n">
        <f aca="false">IF(OR(D517="Under review",D517="Revision requested"),1,0)</f>
        <v>0</v>
      </c>
      <c r="L517" s="32" t="str">
        <f aca="false">IF(AND(J517=1,E517&lt;&gt;""),E517+ROW()/100000,"")</f>
        <v/>
      </c>
      <c r="M517" s="32" t="str">
        <f aca="false">IF(D517="Planned",ROW(),"")</f>
        <v/>
      </c>
      <c r="N517" s="32" t="str">
        <f aca="true">IF(K517=1,IF(E517="",0,TODAY()-E517)+ROW()/100000,"")</f>
        <v/>
      </c>
      <c r="O517" s="32" t="str">
        <f aca="false">IF(N517="","",RANK(N517,$N$2:$N$1000))</f>
        <v/>
      </c>
    </row>
    <row r="518" customFormat="false" ht="15" hidden="false" customHeight="false" outlineLevel="0" collapsed="false">
      <c r="A518" s="33"/>
      <c r="B518" s="33"/>
      <c r="C518" s="33"/>
      <c r="D518" s="33"/>
      <c r="E518" s="34"/>
      <c r="F518" s="34"/>
      <c r="G518" s="35" t="str">
        <f aca="true">IF(OR(E518="",J518=0),"",IF(F518&lt;&gt;"",F518-E518,TODAY()-E518))</f>
        <v/>
      </c>
      <c r="H518" s="29"/>
      <c r="I518" s="33"/>
      <c r="J518" s="32" t="n">
        <f aca="false">IF(OR(D518="",D518="Planned"),0,1)</f>
        <v>0</v>
      </c>
      <c r="K518" s="32" t="n">
        <f aca="false">IF(OR(D518="Under review",D518="Revision requested"),1,0)</f>
        <v>0</v>
      </c>
      <c r="L518" s="32" t="str">
        <f aca="false">IF(AND(J518=1,E518&lt;&gt;""),E518+ROW()/100000,"")</f>
        <v/>
      </c>
      <c r="M518" s="32" t="str">
        <f aca="false">IF(D518="Planned",ROW(),"")</f>
        <v/>
      </c>
      <c r="N518" s="32" t="str">
        <f aca="true">IF(K518=1,IF(E518="",0,TODAY()-E518)+ROW()/100000,"")</f>
        <v/>
      </c>
      <c r="O518" s="32" t="str">
        <f aca="false">IF(N518="","",RANK(N518,$N$2:$N$1000))</f>
        <v/>
      </c>
    </row>
    <row r="519" customFormat="false" ht="15" hidden="false" customHeight="false" outlineLevel="0" collapsed="false">
      <c r="A519" s="33"/>
      <c r="B519" s="33"/>
      <c r="C519" s="33"/>
      <c r="D519" s="33"/>
      <c r="E519" s="34"/>
      <c r="F519" s="34"/>
      <c r="G519" s="35" t="str">
        <f aca="true">IF(OR(E519="",J519=0),"",IF(F519&lt;&gt;"",F519-E519,TODAY()-E519))</f>
        <v/>
      </c>
      <c r="H519" s="29"/>
      <c r="I519" s="33"/>
      <c r="J519" s="32" t="n">
        <f aca="false">IF(OR(D519="",D519="Planned"),0,1)</f>
        <v>0</v>
      </c>
      <c r="K519" s="32" t="n">
        <f aca="false">IF(OR(D519="Under review",D519="Revision requested"),1,0)</f>
        <v>0</v>
      </c>
      <c r="L519" s="32" t="str">
        <f aca="false">IF(AND(J519=1,E519&lt;&gt;""),E519+ROW()/100000,"")</f>
        <v/>
      </c>
      <c r="M519" s="32" t="str">
        <f aca="false">IF(D519="Planned",ROW(),"")</f>
        <v/>
      </c>
      <c r="N519" s="32" t="str">
        <f aca="true">IF(K519=1,IF(E519="",0,TODAY()-E519)+ROW()/100000,"")</f>
        <v/>
      </c>
      <c r="O519" s="32" t="str">
        <f aca="false">IF(N519="","",RANK(N519,$N$2:$N$1000))</f>
        <v/>
      </c>
    </row>
    <row r="520" customFormat="false" ht="15" hidden="false" customHeight="false" outlineLevel="0" collapsed="false">
      <c r="A520" s="33"/>
      <c r="B520" s="33"/>
      <c r="C520" s="33"/>
      <c r="D520" s="33"/>
      <c r="E520" s="34"/>
      <c r="F520" s="34"/>
      <c r="G520" s="35" t="str">
        <f aca="true">IF(OR(E520="",J520=0),"",IF(F520&lt;&gt;"",F520-E520,TODAY()-E520))</f>
        <v/>
      </c>
      <c r="H520" s="29"/>
      <c r="I520" s="33"/>
      <c r="J520" s="32" t="n">
        <f aca="false">IF(OR(D520="",D520="Planned"),0,1)</f>
        <v>0</v>
      </c>
      <c r="K520" s="32" t="n">
        <f aca="false">IF(OR(D520="Under review",D520="Revision requested"),1,0)</f>
        <v>0</v>
      </c>
      <c r="L520" s="32" t="str">
        <f aca="false">IF(AND(J520=1,E520&lt;&gt;""),E520+ROW()/100000,"")</f>
        <v/>
      </c>
      <c r="M520" s="32" t="str">
        <f aca="false">IF(D520="Planned",ROW(),"")</f>
        <v/>
      </c>
      <c r="N520" s="32" t="str">
        <f aca="true">IF(K520=1,IF(E520="",0,TODAY()-E520)+ROW()/100000,"")</f>
        <v/>
      </c>
      <c r="O520" s="32" t="str">
        <f aca="false">IF(N520="","",RANK(N520,$N$2:$N$1000))</f>
        <v/>
      </c>
    </row>
    <row r="521" customFormat="false" ht="15" hidden="false" customHeight="false" outlineLevel="0" collapsed="false">
      <c r="A521" s="33"/>
      <c r="B521" s="33"/>
      <c r="C521" s="33"/>
      <c r="D521" s="33"/>
      <c r="E521" s="34"/>
      <c r="F521" s="34"/>
      <c r="G521" s="35" t="str">
        <f aca="true">IF(OR(E521="",J521=0),"",IF(F521&lt;&gt;"",F521-E521,TODAY()-E521))</f>
        <v/>
      </c>
      <c r="H521" s="29"/>
      <c r="I521" s="33"/>
      <c r="J521" s="32" t="n">
        <f aca="false">IF(OR(D521="",D521="Planned"),0,1)</f>
        <v>0</v>
      </c>
      <c r="K521" s="32" t="n">
        <f aca="false">IF(OR(D521="Under review",D521="Revision requested"),1,0)</f>
        <v>0</v>
      </c>
      <c r="L521" s="32" t="str">
        <f aca="false">IF(AND(J521=1,E521&lt;&gt;""),E521+ROW()/100000,"")</f>
        <v/>
      </c>
      <c r="M521" s="32" t="str">
        <f aca="false">IF(D521="Planned",ROW(),"")</f>
        <v/>
      </c>
      <c r="N521" s="32" t="str">
        <f aca="true">IF(K521=1,IF(E521="",0,TODAY()-E521)+ROW()/100000,"")</f>
        <v/>
      </c>
      <c r="O521" s="32" t="str">
        <f aca="false">IF(N521="","",RANK(N521,$N$2:$N$1000))</f>
        <v/>
      </c>
    </row>
    <row r="522" customFormat="false" ht="15" hidden="false" customHeight="false" outlineLevel="0" collapsed="false">
      <c r="A522" s="33"/>
      <c r="B522" s="33"/>
      <c r="C522" s="33"/>
      <c r="D522" s="33"/>
      <c r="E522" s="34"/>
      <c r="F522" s="34"/>
      <c r="G522" s="35" t="str">
        <f aca="true">IF(OR(E522="",J522=0),"",IF(F522&lt;&gt;"",F522-E522,TODAY()-E522))</f>
        <v/>
      </c>
      <c r="H522" s="29"/>
      <c r="I522" s="33"/>
      <c r="J522" s="32" t="n">
        <f aca="false">IF(OR(D522="",D522="Planned"),0,1)</f>
        <v>0</v>
      </c>
      <c r="K522" s="32" t="n">
        <f aca="false">IF(OR(D522="Under review",D522="Revision requested"),1,0)</f>
        <v>0</v>
      </c>
      <c r="L522" s="32" t="str">
        <f aca="false">IF(AND(J522=1,E522&lt;&gt;""),E522+ROW()/100000,"")</f>
        <v/>
      </c>
      <c r="M522" s="32" t="str">
        <f aca="false">IF(D522="Planned",ROW(),"")</f>
        <v/>
      </c>
      <c r="N522" s="32" t="str">
        <f aca="true">IF(K522=1,IF(E522="",0,TODAY()-E522)+ROW()/100000,"")</f>
        <v/>
      </c>
      <c r="O522" s="32" t="str">
        <f aca="false">IF(N522="","",RANK(N522,$N$2:$N$1000))</f>
        <v/>
      </c>
    </row>
    <row r="523" customFormat="false" ht="15" hidden="false" customHeight="false" outlineLevel="0" collapsed="false">
      <c r="A523" s="33"/>
      <c r="B523" s="33"/>
      <c r="C523" s="33"/>
      <c r="D523" s="33"/>
      <c r="E523" s="34"/>
      <c r="F523" s="34"/>
      <c r="G523" s="35" t="str">
        <f aca="true">IF(OR(E523="",J523=0),"",IF(F523&lt;&gt;"",F523-E523,TODAY()-E523))</f>
        <v/>
      </c>
      <c r="H523" s="29"/>
      <c r="I523" s="33"/>
      <c r="J523" s="32" t="n">
        <f aca="false">IF(OR(D523="",D523="Planned"),0,1)</f>
        <v>0</v>
      </c>
      <c r="K523" s="32" t="n">
        <f aca="false">IF(OR(D523="Under review",D523="Revision requested"),1,0)</f>
        <v>0</v>
      </c>
      <c r="L523" s="32" t="str">
        <f aca="false">IF(AND(J523=1,E523&lt;&gt;""),E523+ROW()/100000,"")</f>
        <v/>
      </c>
      <c r="M523" s="32" t="str">
        <f aca="false">IF(D523="Planned",ROW(),"")</f>
        <v/>
      </c>
      <c r="N523" s="32" t="str">
        <f aca="true">IF(K523=1,IF(E523="",0,TODAY()-E523)+ROW()/100000,"")</f>
        <v/>
      </c>
      <c r="O523" s="32" t="str">
        <f aca="false">IF(N523="","",RANK(N523,$N$2:$N$1000))</f>
        <v/>
      </c>
    </row>
    <row r="524" customFormat="false" ht="15" hidden="false" customHeight="false" outlineLevel="0" collapsed="false">
      <c r="A524" s="33"/>
      <c r="B524" s="33"/>
      <c r="C524" s="33"/>
      <c r="D524" s="33"/>
      <c r="E524" s="34"/>
      <c r="F524" s="34"/>
      <c r="G524" s="35" t="str">
        <f aca="true">IF(OR(E524="",J524=0),"",IF(F524&lt;&gt;"",F524-E524,TODAY()-E524))</f>
        <v/>
      </c>
      <c r="H524" s="29"/>
      <c r="I524" s="33"/>
      <c r="J524" s="32" t="n">
        <f aca="false">IF(OR(D524="",D524="Planned"),0,1)</f>
        <v>0</v>
      </c>
      <c r="K524" s="32" t="n">
        <f aca="false">IF(OR(D524="Under review",D524="Revision requested"),1,0)</f>
        <v>0</v>
      </c>
      <c r="L524" s="32" t="str">
        <f aca="false">IF(AND(J524=1,E524&lt;&gt;""),E524+ROW()/100000,"")</f>
        <v/>
      </c>
      <c r="M524" s="32" t="str">
        <f aca="false">IF(D524="Planned",ROW(),"")</f>
        <v/>
      </c>
      <c r="N524" s="32" t="str">
        <f aca="true">IF(K524=1,IF(E524="",0,TODAY()-E524)+ROW()/100000,"")</f>
        <v/>
      </c>
      <c r="O524" s="32" t="str">
        <f aca="false">IF(N524="","",RANK(N524,$N$2:$N$1000))</f>
        <v/>
      </c>
    </row>
    <row r="525" customFormat="false" ht="15" hidden="false" customHeight="false" outlineLevel="0" collapsed="false">
      <c r="A525" s="33"/>
      <c r="B525" s="33"/>
      <c r="C525" s="33"/>
      <c r="D525" s="33"/>
      <c r="E525" s="34"/>
      <c r="F525" s="34"/>
      <c r="G525" s="35" t="str">
        <f aca="true">IF(OR(E525="",J525=0),"",IF(F525&lt;&gt;"",F525-E525,TODAY()-E525))</f>
        <v/>
      </c>
      <c r="H525" s="29"/>
      <c r="I525" s="33"/>
      <c r="J525" s="32" t="n">
        <f aca="false">IF(OR(D525="",D525="Planned"),0,1)</f>
        <v>0</v>
      </c>
      <c r="K525" s="32" t="n">
        <f aca="false">IF(OR(D525="Under review",D525="Revision requested"),1,0)</f>
        <v>0</v>
      </c>
      <c r="L525" s="32" t="str">
        <f aca="false">IF(AND(J525=1,E525&lt;&gt;""),E525+ROW()/100000,"")</f>
        <v/>
      </c>
      <c r="M525" s="32" t="str">
        <f aca="false">IF(D525="Planned",ROW(),"")</f>
        <v/>
      </c>
      <c r="N525" s="32" t="str">
        <f aca="true">IF(K525=1,IF(E525="",0,TODAY()-E525)+ROW()/100000,"")</f>
        <v/>
      </c>
      <c r="O525" s="32" t="str">
        <f aca="false">IF(N525="","",RANK(N525,$N$2:$N$1000))</f>
        <v/>
      </c>
    </row>
    <row r="526" customFormat="false" ht="15" hidden="false" customHeight="false" outlineLevel="0" collapsed="false">
      <c r="A526" s="33"/>
      <c r="B526" s="33"/>
      <c r="C526" s="33"/>
      <c r="D526" s="33"/>
      <c r="E526" s="34"/>
      <c r="F526" s="34"/>
      <c r="G526" s="35" t="str">
        <f aca="true">IF(OR(E526="",J526=0),"",IF(F526&lt;&gt;"",F526-E526,TODAY()-E526))</f>
        <v/>
      </c>
      <c r="H526" s="29"/>
      <c r="I526" s="33"/>
      <c r="J526" s="32" t="n">
        <f aca="false">IF(OR(D526="",D526="Planned"),0,1)</f>
        <v>0</v>
      </c>
      <c r="K526" s="32" t="n">
        <f aca="false">IF(OR(D526="Under review",D526="Revision requested"),1,0)</f>
        <v>0</v>
      </c>
      <c r="L526" s="32" t="str">
        <f aca="false">IF(AND(J526=1,E526&lt;&gt;""),E526+ROW()/100000,"")</f>
        <v/>
      </c>
      <c r="M526" s="32" t="str">
        <f aca="false">IF(D526="Planned",ROW(),"")</f>
        <v/>
      </c>
      <c r="N526" s="32" t="str">
        <f aca="true">IF(K526=1,IF(E526="",0,TODAY()-E526)+ROW()/100000,"")</f>
        <v/>
      </c>
      <c r="O526" s="32" t="str">
        <f aca="false">IF(N526="","",RANK(N526,$N$2:$N$1000))</f>
        <v/>
      </c>
    </row>
    <row r="527" customFormat="false" ht="15" hidden="false" customHeight="false" outlineLevel="0" collapsed="false">
      <c r="A527" s="33"/>
      <c r="B527" s="33"/>
      <c r="C527" s="33"/>
      <c r="D527" s="33"/>
      <c r="E527" s="34"/>
      <c r="F527" s="34"/>
      <c r="G527" s="35" t="str">
        <f aca="true">IF(OR(E527="",J527=0),"",IF(F527&lt;&gt;"",F527-E527,TODAY()-E527))</f>
        <v/>
      </c>
      <c r="H527" s="29"/>
      <c r="I527" s="33"/>
      <c r="J527" s="32" t="n">
        <f aca="false">IF(OR(D527="",D527="Planned"),0,1)</f>
        <v>0</v>
      </c>
      <c r="K527" s="32" t="n">
        <f aca="false">IF(OR(D527="Under review",D527="Revision requested"),1,0)</f>
        <v>0</v>
      </c>
      <c r="L527" s="32" t="str">
        <f aca="false">IF(AND(J527=1,E527&lt;&gt;""),E527+ROW()/100000,"")</f>
        <v/>
      </c>
      <c r="M527" s="32" t="str">
        <f aca="false">IF(D527="Planned",ROW(),"")</f>
        <v/>
      </c>
      <c r="N527" s="32" t="str">
        <f aca="true">IF(K527=1,IF(E527="",0,TODAY()-E527)+ROW()/100000,"")</f>
        <v/>
      </c>
      <c r="O527" s="32" t="str">
        <f aca="false">IF(N527="","",RANK(N527,$N$2:$N$1000))</f>
        <v/>
      </c>
    </row>
    <row r="528" customFormat="false" ht="15" hidden="false" customHeight="false" outlineLevel="0" collapsed="false">
      <c r="A528" s="33"/>
      <c r="B528" s="33"/>
      <c r="C528" s="33"/>
      <c r="D528" s="33"/>
      <c r="E528" s="34"/>
      <c r="F528" s="34"/>
      <c r="G528" s="35" t="str">
        <f aca="true">IF(OR(E528="",J528=0),"",IF(F528&lt;&gt;"",F528-E528,TODAY()-E528))</f>
        <v/>
      </c>
      <c r="H528" s="29"/>
      <c r="I528" s="33"/>
      <c r="J528" s="32" t="n">
        <f aca="false">IF(OR(D528="",D528="Planned"),0,1)</f>
        <v>0</v>
      </c>
      <c r="K528" s="32" t="n">
        <f aca="false">IF(OR(D528="Under review",D528="Revision requested"),1,0)</f>
        <v>0</v>
      </c>
      <c r="L528" s="32" t="str">
        <f aca="false">IF(AND(J528=1,E528&lt;&gt;""),E528+ROW()/100000,"")</f>
        <v/>
      </c>
      <c r="M528" s="32" t="str">
        <f aca="false">IF(D528="Planned",ROW(),"")</f>
        <v/>
      </c>
      <c r="N528" s="32" t="str">
        <f aca="true">IF(K528=1,IF(E528="",0,TODAY()-E528)+ROW()/100000,"")</f>
        <v/>
      </c>
      <c r="O528" s="32" t="str">
        <f aca="false">IF(N528="","",RANK(N528,$N$2:$N$1000))</f>
        <v/>
      </c>
    </row>
    <row r="529" customFormat="false" ht="15" hidden="false" customHeight="false" outlineLevel="0" collapsed="false">
      <c r="A529" s="33"/>
      <c r="B529" s="33"/>
      <c r="C529" s="33"/>
      <c r="D529" s="33"/>
      <c r="E529" s="34"/>
      <c r="F529" s="34"/>
      <c r="G529" s="35" t="str">
        <f aca="true">IF(OR(E529="",J529=0),"",IF(F529&lt;&gt;"",F529-E529,TODAY()-E529))</f>
        <v/>
      </c>
      <c r="H529" s="29"/>
      <c r="I529" s="33"/>
      <c r="J529" s="32" t="n">
        <f aca="false">IF(OR(D529="",D529="Planned"),0,1)</f>
        <v>0</v>
      </c>
      <c r="K529" s="32" t="n">
        <f aca="false">IF(OR(D529="Under review",D529="Revision requested"),1,0)</f>
        <v>0</v>
      </c>
      <c r="L529" s="32" t="str">
        <f aca="false">IF(AND(J529=1,E529&lt;&gt;""),E529+ROW()/100000,"")</f>
        <v/>
      </c>
      <c r="M529" s="32" t="str">
        <f aca="false">IF(D529="Planned",ROW(),"")</f>
        <v/>
      </c>
      <c r="N529" s="32" t="str">
        <f aca="true">IF(K529=1,IF(E529="",0,TODAY()-E529)+ROW()/100000,"")</f>
        <v/>
      </c>
      <c r="O529" s="32" t="str">
        <f aca="false">IF(N529="","",RANK(N529,$N$2:$N$1000))</f>
        <v/>
      </c>
    </row>
    <row r="530" customFormat="false" ht="15" hidden="false" customHeight="false" outlineLevel="0" collapsed="false">
      <c r="A530" s="33"/>
      <c r="B530" s="33"/>
      <c r="C530" s="33"/>
      <c r="D530" s="33"/>
      <c r="E530" s="34"/>
      <c r="F530" s="34"/>
      <c r="G530" s="35" t="str">
        <f aca="true">IF(OR(E530="",J530=0),"",IF(F530&lt;&gt;"",F530-E530,TODAY()-E530))</f>
        <v/>
      </c>
      <c r="H530" s="29"/>
      <c r="I530" s="33"/>
      <c r="J530" s="32" t="n">
        <f aca="false">IF(OR(D530="",D530="Planned"),0,1)</f>
        <v>0</v>
      </c>
      <c r="K530" s="32" t="n">
        <f aca="false">IF(OR(D530="Under review",D530="Revision requested"),1,0)</f>
        <v>0</v>
      </c>
      <c r="L530" s="32" t="str">
        <f aca="false">IF(AND(J530=1,E530&lt;&gt;""),E530+ROW()/100000,"")</f>
        <v/>
      </c>
      <c r="M530" s="32" t="str">
        <f aca="false">IF(D530="Planned",ROW(),"")</f>
        <v/>
      </c>
      <c r="N530" s="32" t="str">
        <f aca="true">IF(K530=1,IF(E530="",0,TODAY()-E530)+ROW()/100000,"")</f>
        <v/>
      </c>
      <c r="O530" s="32" t="str">
        <f aca="false">IF(N530="","",RANK(N530,$N$2:$N$1000))</f>
        <v/>
      </c>
    </row>
    <row r="531" customFormat="false" ht="15" hidden="false" customHeight="false" outlineLevel="0" collapsed="false">
      <c r="A531" s="33"/>
      <c r="B531" s="33"/>
      <c r="C531" s="33"/>
      <c r="D531" s="33"/>
      <c r="E531" s="34"/>
      <c r="F531" s="34"/>
      <c r="G531" s="35" t="str">
        <f aca="true">IF(OR(E531="",J531=0),"",IF(F531&lt;&gt;"",F531-E531,TODAY()-E531))</f>
        <v/>
      </c>
      <c r="H531" s="29"/>
      <c r="I531" s="33"/>
      <c r="J531" s="32" t="n">
        <f aca="false">IF(OR(D531="",D531="Planned"),0,1)</f>
        <v>0</v>
      </c>
      <c r="K531" s="32" t="n">
        <f aca="false">IF(OR(D531="Under review",D531="Revision requested"),1,0)</f>
        <v>0</v>
      </c>
      <c r="L531" s="32" t="str">
        <f aca="false">IF(AND(J531=1,E531&lt;&gt;""),E531+ROW()/100000,"")</f>
        <v/>
      </c>
      <c r="M531" s="32" t="str">
        <f aca="false">IF(D531="Planned",ROW(),"")</f>
        <v/>
      </c>
      <c r="N531" s="32" t="str">
        <f aca="true">IF(K531=1,IF(E531="",0,TODAY()-E531)+ROW()/100000,"")</f>
        <v/>
      </c>
      <c r="O531" s="32" t="str">
        <f aca="false">IF(N531="","",RANK(N531,$N$2:$N$1000))</f>
        <v/>
      </c>
    </row>
    <row r="532" customFormat="false" ht="15" hidden="false" customHeight="false" outlineLevel="0" collapsed="false">
      <c r="A532" s="33"/>
      <c r="B532" s="33"/>
      <c r="C532" s="33"/>
      <c r="D532" s="33"/>
      <c r="E532" s="34"/>
      <c r="F532" s="34"/>
      <c r="G532" s="35" t="str">
        <f aca="true">IF(OR(E532="",J532=0),"",IF(F532&lt;&gt;"",F532-E532,TODAY()-E532))</f>
        <v/>
      </c>
      <c r="H532" s="29"/>
      <c r="I532" s="33"/>
      <c r="J532" s="32" t="n">
        <f aca="false">IF(OR(D532="",D532="Planned"),0,1)</f>
        <v>0</v>
      </c>
      <c r="K532" s="32" t="n">
        <f aca="false">IF(OR(D532="Under review",D532="Revision requested"),1,0)</f>
        <v>0</v>
      </c>
      <c r="L532" s="32" t="str">
        <f aca="false">IF(AND(J532=1,E532&lt;&gt;""),E532+ROW()/100000,"")</f>
        <v/>
      </c>
      <c r="M532" s="32" t="str">
        <f aca="false">IF(D532="Planned",ROW(),"")</f>
        <v/>
      </c>
      <c r="N532" s="32" t="str">
        <f aca="true">IF(K532=1,IF(E532="",0,TODAY()-E532)+ROW()/100000,"")</f>
        <v/>
      </c>
      <c r="O532" s="32" t="str">
        <f aca="false">IF(N532="","",RANK(N532,$N$2:$N$1000))</f>
        <v/>
      </c>
    </row>
    <row r="533" customFormat="false" ht="15" hidden="false" customHeight="false" outlineLevel="0" collapsed="false">
      <c r="A533" s="33"/>
      <c r="B533" s="33"/>
      <c r="C533" s="33"/>
      <c r="D533" s="33"/>
      <c r="E533" s="34"/>
      <c r="F533" s="34"/>
      <c r="G533" s="35" t="str">
        <f aca="true">IF(OR(E533="",J533=0),"",IF(F533&lt;&gt;"",F533-E533,TODAY()-E533))</f>
        <v/>
      </c>
      <c r="H533" s="29"/>
      <c r="I533" s="33"/>
      <c r="J533" s="32" t="n">
        <f aca="false">IF(OR(D533="",D533="Planned"),0,1)</f>
        <v>0</v>
      </c>
      <c r="K533" s="32" t="n">
        <f aca="false">IF(OR(D533="Under review",D533="Revision requested"),1,0)</f>
        <v>0</v>
      </c>
      <c r="L533" s="32" t="str">
        <f aca="false">IF(AND(J533=1,E533&lt;&gt;""),E533+ROW()/100000,"")</f>
        <v/>
      </c>
      <c r="M533" s="32" t="str">
        <f aca="false">IF(D533="Planned",ROW(),"")</f>
        <v/>
      </c>
      <c r="N533" s="32" t="str">
        <f aca="true">IF(K533=1,IF(E533="",0,TODAY()-E533)+ROW()/100000,"")</f>
        <v/>
      </c>
      <c r="O533" s="32" t="str">
        <f aca="false">IF(N533="","",RANK(N533,$N$2:$N$1000))</f>
        <v/>
      </c>
    </row>
    <row r="534" customFormat="false" ht="15" hidden="false" customHeight="false" outlineLevel="0" collapsed="false">
      <c r="A534" s="33"/>
      <c r="B534" s="33"/>
      <c r="C534" s="33"/>
      <c r="D534" s="33"/>
      <c r="E534" s="34"/>
      <c r="F534" s="34"/>
      <c r="G534" s="35" t="str">
        <f aca="true">IF(OR(E534="",J534=0),"",IF(F534&lt;&gt;"",F534-E534,TODAY()-E534))</f>
        <v/>
      </c>
      <c r="H534" s="29"/>
      <c r="I534" s="33"/>
      <c r="J534" s="32" t="n">
        <f aca="false">IF(OR(D534="",D534="Planned"),0,1)</f>
        <v>0</v>
      </c>
      <c r="K534" s="32" t="n">
        <f aca="false">IF(OR(D534="Under review",D534="Revision requested"),1,0)</f>
        <v>0</v>
      </c>
      <c r="L534" s="32" t="str">
        <f aca="false">IF(AND(J534=1,E534&lt;&gt;""),E534+ROW()/100000,"")</f>
        <v/>
      </c>
      <c r="M534" s="32" t="str">
        <f aca="false">IF(D534="Planned",ROW(),"")</f>
        <v/>
      </c>
      <c r="N534" s="32" t="str">
        <f aca="true">IF(K534=1,IF(E534="",0,TODAY()-E534)+ROW()/100000,"")</f>
        <v/>
      </c>
      <c r="O534" s="32" t="str">
        <f aca="false">IF(N534="","",RANK(N534,$N$2:$N$1000))</f>
        <v/>
      </c>
    </row>
    <row r="535" customFormat="false" ht="15" hidden="false" customHeight="false" outlineLevel="0" collapsed="false">
      <c r="A535" s="33"/>
      <c r="B535" s="33"/>
      <c r="C535" s="33"/>
      <c r="D535" s="33"/>
      <c r="E535" s="34"/>
      <c r="F535" s="34"/>
      <c r="G535" s="35" t="str">
        <f aca="true">IF(OR(E535="",J535=0),"",IF(F535&lt;&gt;"",F535-E535,TODAY()-E535))</f>
        <v/>
      </c>
      <c r="H535" s="29"/>
      <c r="I535" s="33"/>
      <c r="J535" s="32" t="n">
        <f aca="false">IF(OR(D535="",D535="Planned"),0,1)</f>
        <v>0</v>
      </c>
      <c r="K535" s="32" t="n">
        <f aca="false">IF(OR(D535="Under review",D535="Revision requested"),1,0)</f>
        <v>0</v>
      </c>
      <c r="L535" s="32" t="str">
        <f aca="false">IF(AND(J535=1,E535&lt;&gt;""),E535+ROW()/100000,"")</f>
        <v/>
      </c>
      <c r="M535" s="32" t="str">
        <f aca="false">IF(D535="Planned",ROW(),"")</f>
        <v/>
      </c>
      <c r="N535" s="32" t="str">
        <f aca="true">IF(K535=1,IF(E535="",0,TODAY()-E535)+ROW()/100000,"")</f>
        <v/>
      </c>
      <c r="O535" s="32" t="str">
        <f aca="false">IF(N535="","",RANK(N535,$N$2:$N$1000))</f>
        <v/>
      </c>
    </row>
    <row r="536" customFormat="false" ht="15" hidden="false" customHeight="false" outlineLevel="0" collapsed="false">
      <c r="A536" s="33"/>
      <c r="B536" s="33"/>
      <c r="C536" s="33"/>
      <c r="D536" s="33"/>
      <c r="E536" s="34"/>
      <c r="F536" s="34"/>
      <c r="G536" s="35" t="str">
        <f aca="true">IF(OR(E536="",J536=0),"",IF(F536&lt;&gt;"",F536-E536,TODAY()-E536))</f>
        <v/>
      </c>
      <c r="H536" s="29"/>
      <c r="I536" s="33"/>
      <c r="J536" s="32" t="n">
        <f aca="false">IF(OR(D536="",D536="Planned"),0,1)</f>
        <v>0</v>
      </c>
      <c r="K536" s="32" t="n">
        <f aca="false">IF(OR(D536="Under review",D536="Revision requested"),1,0)</f>
        <v>0</v>
      </c>
      <c r="L536" s="32" t="str">
        <f aca="false">IF(AND(J536=1,E536&lt;&gt;""),E536+ROW()/100000,"")</f>
        <v/>
      </c>
      <c r="M536" s="32" t="str">
        <f aca="false">IF(D536="Planned",ROW(),"")</f>
        <v/>
      </c>
      <c r="N536" s="32" t="str">
        <f aca="true">IF(K536=1,IF(E536="",0,TODAY()-E536)+ROW()/100000,"")</f>
        <v/>
      </c>
      <c r="O536" s="32" t="str">
        <f aca="false">IF(N536="","",RANK(N536,$N$2:$N$1000))</f>
        <v/>
      </c>
    </row>
    <row r="537" customFormat="false" ht="15" hidden="false" customHeight="false" outlineLevel="0" collapsed="false">
      <c r="A537" s="33"/>
      <c r="B537" s="33"/>
      <c r="C537" s="33"/>
      <c r="D537" s="33"/>
      <c r="E537" s="34"/>
      <c r="F537" s="34"/>
      <c r="G537" s="35" t="str">
        <f aca="true">IF(OR(E537="",J537=0),"",IF(F537&lt;&gt;"",F537-E537,TODAY()-E537))</f>
        <v/>
      </c>
      <c r="H537" s="29"/>
      <c r="I537" s="33"/>
      <c r="J537" s="32" t="n">
        <f aca="false">IF(OR(D537="",D537="Planned"),0,1)</f>
        <v>0</v>
      </c>
      <c r="K537" s="32" t="n">
        <f aca="false">IF(OR(D537="Under review",D537="Revision requested"),1,0)</f>
        <v>0</v>
      </c>
      <c r="L537" s="32" t="str">
        <f aca="false">IF(AND(J537=1,E537&lt;&gt;""),E537+ROW()/100000,"")</f>
        <v/>
      </c>
      <c r="M537" s="32" t="str">
        <f aca="false">IF(D537="Planned",ROW(),"")</f>
        <v/>
      </c>
      <c r="N537" s="32" t="str">
        <f aca="true">IF(K537=1,IF(E537="",0,TODAY()-E537)+ROW()/100000,"")</f>
        <v/>
      </c>
      <c r="O537" s="32" t="str">
        <f aca="false">IF(N537="","",RANK(N537,$N$2:$N$1000))</f>
        <v/>
      </c>
    </row>
    <row r="538" customFormat="false" ht="15" hidden="false" customHeight="false" outlineLevel="0" collapsed="false">
      <c r="A538" s="33"/>
      <c r="B538" s="33"/>
      <c r="C538" s="33"/>
      <c r="D538" s="33"/>
      <c r="E538" s="34"/>
      <c r="F538" s="34"/>
      <c r="G538" s="35" t="str">
        <f aca="true">IF(OR(E538="",J538=0),"",IF(F538&lt;&gt;"",F538-E538,TODAY()-E538))</f>
        <v/>
      </c>
      <c r="H538" s="29"/>
      <c r="I538" s="33"/>
      <c r="J538" s="32" t="n">
        <f aca="false">IF(OR(D538="",D538="Planned"),0,1)</f>
        <v>0</v>
      </c>
      <c r="K538" s="32" t="n">
        <f aca="false">IF(OR(D538="Under review",D538="Revision requested"),1,0)</f>
        <v>0</v>
      </c>
      <c r="L538" s="32" t="str">
        <f aca="false">IF(AND(J538=1,E538&lt;&gt;""),E538+ROW()/100000,"")</f>
        <v/>
      </c>
      <c r="M538" s="32" t="str">
        <f aca="false">IF(D538="Planned",ROW(),"")</f>
        <v/>
      </c>
      <c r="N538" s="32" t="str">
        <f aca="true">IF(K538=1,IF(E538="",0,TODAY()-E538)+ROW()/100000,"")</f>
        <v/>
      </c>
      <c r="O538" s="32" t="str">
        <f aca="false">IF(N538="","",RANK(N538,$N$2:$N$1000))</f>
        <v/>
      </c>
    </row>
    <row r="539" customFormat="false" ht="15" hidden="false" customHeight="false" outlineLevel="0" collapsed="false">
      <c r="A539" s="33"/>
      <c r="B539" s="33"/>
      <c r="C539" s="33"/>
      <c r="D539" s="33"/>
      <c r="E539" s="34"/>
      <c r="F539" s="34"/>
      <c r="G539" s="35" t="str">
        <f aca="true">IF(OR(E539="",J539=0),"",IF(F539&lt;&gt;"",F539-E539,TODAY()-E539))</f>
        <v/>
      </c>
      <c r="H539" s="29"/>
      <c r="I539" s="33"/>
      <c r="J539" s="32" t="n">
        <f aca="false">IF(OR(D539="",D539="Planned"),0,1)</f>
        <v>0</v>
      </c>
      <c r="K539" s="32" t="n">
        <f aca="false">IF(OR(D539="Under review",D539="Revision requested"),1,0)</f>
        <v>0</v>
      </c>
      <c r="L539" s="32" t="str">
        <f aca="false">IF(AND(J539=1,E539&lt;&gt;""),E539+ROW()/100000,"")</f>
        <v/>
      </c>
      <c r="M539" s="32" t="str">
        <f aca="false">IF(D539="Planned",ROW(),"")</f>
        <v/>
      </c>
      <c r="N539" s="32" t="str">
        <f aca="true">IF(K539=1,IF(E539="",0,TODAY()-E539)+ROW()/100000,"")</f>
        <v/>
      </c>
      <c r="O539" s="32" t="str">
        <f aca="false">IF(N539="","",RANK(N539,$N$2:$N$1000))</f>
        <v/>
      </c>
    </row>
    <row r="540" customFormat="false" ht="15" hidden="false" customHeight="false" outlineLevel="0" collapsed="false">
      <c r="A540" s="33"/>
      <c r="B540" s="33"/>
      <c r="C540" s="33"/>
      <c r="D540" s="33"/>
      <c r="E540" s="34"/>
      <c r="F540" s="34"/>
      <c r="G540" s="35" t="str">
        <f aca="true">IF(OR(E540="",J540=0),"",IF(F540&lt;&gt;"",F540-E540,TODAY()-E540))</f>
        <v/>
      </c>
      <c r="H540" s="29"/>
      <c r="I540" s="33"/>
      <c r="J540" s="32" t="n">
        <f aca="false">IF(OR(D540="",D540="Planned"),0,1)</f>
        <v>0</v>
      </c>
      <c r="K540" s="32" t="n">
        <f aca="false">IF(OR(D540="Under review",D540="Revision requested"),1,0)</f>
        <v>0</v>
      </c>
      <c r="L540" s="32" t="str">
        <f aca="false">IF(AND(J540=1,E540&lt;&gt;""),E540+ROW()/100000,"")</f>
        <v/>
      </c>
      <c r="M540" s="32" t="str">
        <f aca="false">IF(D540="Planned",ROW(),"")</f>
        <v/>
      </c>
      <c r="N540" s="32" t="str">
        <f aca="true">IF(K540=1,IF(E540="",0,TODAY()-E540)+ROW()/100000,"")</f>
        <v/>
      </c>
      <c r="O540" s="32" t="str">
        <f aca="false">IF(N540="","",RANK(N540,$N$2:$N$1000))</f>
        <v/>
      </c>
    </row>
    <row r="541" customFormat="false" ht="15" hidden="false" customHeight="false" outlineLevel="0" collapsed="false">
      <c r="A541" s="33"/>
      <c r="B541" s="33"/>
      <c r="C541" s="33"/>
      <c r="D541" s="33"/>
      <c r="E541" s="34"/>
      <c r="F541" s="34"/>
      <c r="G541" s="35" t="str">
        <f aca="true">IF(OR(E541="",J541=0),"",IF(F541&lt;&gt;"",F541-E541,TODAY()-E541))</f>
        <v/>
      </c>
      <c r="H541" s="29"/>
      <c r="I541" s="33"/>
      <c r="J541" s="32" t="n">
        <f aca="false">IF(OR(D541="",D541="Planned"),0,1)</f>
        <v>0</v>
      </c>
      <c r="K541" s="32" t="n">
        <f aca="false">IF(OR(D541="Under review",D541="Revision requested"),1,0)</f>
        <v>0</v>
      </c>
      <c r="L541" s="32" t="str">
        <f aca="false">IF(AND(J541=1,E541&lt;&gt;""),E541+ROW()/100000,"")</f>
        <v/>
      </c>
      <c r="M541" s="32" t="str">
        <f aca="false">IF(D541="Planned",ROW(),"")</f>
        <v/>
      </c>
      <c r="N541" s="32" t="str">
        <f aca="true">IF(K541=1,IF(E541="",0,TODAY()-E541)+ROW()/100000,"")</f>
        <v/>
      </c>
      <c r="O541" s="32" t="str">
        <f aca="false">IF(N541="","",RANK(N541,$N$2:$N$1000))</f>
        <v/>
      </c>
    </row>
    <row r="542" customFormat="false" ht="15" hidden="false" customHeight="false" outlineLevel="0" collapsed="false">
      <c r="A542" s="33"/>
      <c r="B542" s="33"/>
      <c r="C542" s="33"/>
      <c r="D542" s="33"/>
      <c r="E542" s="34"/>
      <c r="F542" s="34"/>
      <c r="G542" s="35" t="str">
        <f aca="true">IF(OR(E542="",J542=0),"",IF(F542&lt;&gt;"",F542-E542,TODAY()-E542))</f>
        <v/>
      </c>
      <c r="H542" s="29"/>
      <c r="I542" s="33"/>
      <c r="J542" s="32" t="n">
        <f aca="false">IF(OR(D542="",D542="Planned"),0,1)</f>
        <v>0</v>
      </c>
      <c r="K542" s="32" t="n">
        <f aca="false">IF(OR(D542="Under review",D542="Revision requested"),1,0)</f>
        <v>0</v>
      </c>
      <c r="L542" s="32" t="str">
        <f aca="false">IF(AND(J542=1,E542&lt;&gt;""),E542+ROW()/100000,"")</f>
        <v/>
      </c>
      <c r="M542" s="32" t="str">
        <f aca="false">IF(D542="Planned",ROW(),"")</f>
        <v/>
      </c>
      <c r="N542" s="32" t="str">
        <f aca="true">IF(K542=1,IF(E542="",0,TODAY()-E542)+ROW()/100000,"")</f>
        <v/>
      </c>
      <c r="O542" s="32" t="str">
        <f aca="false">IF(N542="","",RANK(N542,$N$2:$N$1000))</f>
        <v/>
      </c>
    </row>
    <row r="543" customFormat="false" ht="15" hidden="false" customHeight="false" outlineLevel="0" collapsed="false">
      <c r="A543" s="33"/>
      <c r="B543" s="33"/>
      <c r="C543" s="33"/>
      <c r="D543" s="33"/>
      <c r="E543" s="34"/>
      <c r="F543" s="34"/>
      <c r="G543" s="35" t="str">
        <f aca="true">IF(OR(E543="",J543=0),"",IF(F543&lt;&gt;"",F543-E543,TODAY()-E543))</f>
        <v/>
      </c>
      <c r="H543" s="29"/>
      <c r="I543" s="33"/>
      <c r="J543" s="32" t="n">
        <f aca="false">IF(OR(D543="",D543="Planned"),0,1)</f>
        <v>0</v>
      </c>
      <c r="K543" s="32" t="n">
        <f aca="false">IF(OR(D543="Under review",D543="Revision requested"),1,0)</f>
        <v>0</v>
      </c>
      <c r="L543" s="32" t="str">
        <f aca="false">IF(AND(J543=1,E543&lt;&gt;""),E543+ROW()/100000,"")</f>
        <v/>
      </c>
      <c r="M543" s="32" t="str">
        <f aca="false">IF(D543="Planned",ROW(),"")</f>
        <v/>
      </c>
      <c r="N543" s="32" t="str">
        <f aca="true">IF(K543=1,IF(E543="",0,TODAY()-E543)+ROW()/100000,"")</f>
        <v/>
      </c>
      <c r="O543" s="32" t="str">
        <f aca="false">IF(N543="","",RANK(N543,$N$2:$N$1000))</f>
        <v/>
      </c>
    </row>
    <row r="544" customFormat="false" ht="15" hidden="false" customHeight="false" outlineLevel="0" collapsed="false">
      <c r="A544" s="33"/>
      <c r="B544" s="33"/>
      <c r="C544" s="33"/>
      <c r="D544" s="33"/>
      <c r="E544" s="34"/>
      <c r="F544" s="34"/>
      <c r="G544" s="35" t="str">
        <f aca="true">IF(OR(E544="",J544=0),"",IF(F544&lt;&gt;"",F544-E544,TODAY()-E544))</f>
        <v/>
      </c>
      <c r="H544" s="29"/>
      <c r="I544" s="33"/>
      <c r="J544" s="32" t="n">
        <f aca="false">IF(OR(D544="",D544="Planned"),0,1)</f>
        <v>0</v>
      </c>
      <c r="K544" s="32" t="n">
        <f aca="false">IF(OR(D544="Under review",D544="Revision requested"),1,0)</f>
        <v>0</v>
      </c>
      <c r="L544" s="32" t="str">
        <f aca="false">IF(AND(J544=1,E544&lt;&gt;""),E544+ROW()/100000,"")</f>
        <v/>
      </c>
      <c r="M544" s="32" t="str">
        <f aca="false">IF(D544="Planned",ROW(),"")</f>
        <v/>
      </c>
      <c r="N544" s="32" t="str">
        <f aca="true">IF(K544=1,IF(E544="",0,TODAY()-E544)+ROW()/100000,"")</f>
        <v/>
      </c>
      <c r="O544" s="32" t="str">
        <f aca="false">IF(N544="","",RANK(N544,$N$2:$N$1000))</f>
        <v/>
      </c>
    </row>
    <row r="545" customFormat="false" ht="15" hidden="false" customHeight="false" outlineLevel="0" collapsed="false">
      <c r="A545" s="33"/>
      <c r="B545" s="33"/>
      <c r="C545" s="33"/>
      <c r="D545" s="33"/>
      <c r="E545" s="34"/>
      <c r="F545" s="34"/>
      <c r="G545" s="35" t="str">
        <f aca="true">IF(OR(E545="",J545=0),"",IF(F545&lt;&gt;"",F545-E545,TODAY()-E545))</f>
        <v/>
      </c>
      <c r="H545" s="29"/>
      <c r="I545" s="33"/>
      <c r="J545" s="32" t="n">
        <f aca="false">IF(OR(D545="",D545="Planned"),0,1)</f>
        <v>0</v>
      </c>
      <c r="K545" s="32" t="n">
        <f aca="false">IF(OR(D545="Under review",D545="Revision requested"),1,0)</f>
        <v>0</v>
      </c>
      <c r="L545" s="32" t="str">
        <f aca="false">IF(AND(J545=1,E545&lt;&gt;""),E545+ROW()/100000,"")</f>
        <v/>
      </c>
      <c r="M545" s="32" t="str">
        <f aca="false">IF(D545="Planned",ROW(),"")</f>
        <v/>
      </c>
      <c r="N545" s="32" t="str">
        <f aca="true">IF(K545=1,IF(E545="",0,TODAY()-E545)+ROW()/100000,"")</f>
        <v/>
      </c>
      <c r="O545" s="32" t="str">
        <f aca="false">IF(N545="","",RANK(N545,$N$2:$N$1000))</f>
        <v/>
      </c>
    </row>
    <row r="546" customFormat="false" ht="15" hidden="false" customHeight="false" outlineLevel="0" collapsed="false">
      <c r="A546" s="33"/>
      <c r="B546" s="33"/>
      <c r="C546" s="33"/>
      <c r="D546" s="33"/>
      <c r="E546" s="34"/>
      <c r="F546" s="34"/>
      <c r="G546" s="35" t="str">
        <f aca="true">IF(OR(E546="",J546=0),"",IF(F546&lt;&gt;"",F546-E546,TODAY()-E546))</f>
        <v/>
      </c>
      <c r="H546" s="29"/>
      <c r="I546" s="33"/>
      <c r="J546" s="32" t="n">
        <f aca="false">IF(OR(D546="",D546="Planned"),0,1)</f>
        <v>0</v>
      </c>
      <c r="K546" s="32" t="n">
        <f aca="false">IF(OR(D546="Under review",D546="Revision requested"),1,0)</f>
        <v>0</v>
      </c>
      <c r="L546" s="32" t="str">
        <f aca="false">IF(AND(J546=1,E546&lt;&gt;""),E546+ROW()/100000,"")</f>
        <v/>
      </c>
      <c r="M546" s="32" t="str">
        <f aca="false">IF(D546="Planned",ROW(),"")</f>
        <v/>
      </c>
      <c r="N546" s="32" t="str">
        <f aca="true">IF(K546=1,IF(E546="",0,TODAY()-E546)+ROW()/100000,"")</f>
        <v/>
      </c>
      <c r="O546" s="32" t="str">
        <f aca="false">IF(N546="","",RANK(N546,$N$2:$N$1000))</f>
        <v/>
      </c>
    </row>
    <row r="547" customFormat="false" ht="15" hidden="false" customHeight="false" outlineLevel="0" collapsed="false">
      <c r="A547" s="33"/>
      <c r="B547" s="33"/>
      <c r="C547" s="33"/>
      <c r="D547" s="33"/>
      <c r="E547" s="34"/>
      <c r="F547" s="34"/>
      <c r="G547" s="35" t="str">
        <f aca="true">IF(OR(E547="",J547=0),"",IF(F547&lt;&gt;"",F547-E547,TODAY()-E547))</f>
        <v/>
      </c>
      <c r="H547" s="29"/>
      <c r="I547" s="33"/>
      <c r="J547" s="32" t="n">
        <f aca="false">IF(OR(D547="",D547="Planned"),0,1)</f>
        <v>0</v>
      </c>
      <c r="K547" s="32" t="n">
        <f aca="false">IF(OR(D547="Under review",D547="Revision requested"),1,0)</f>
        <v>0</v>
      </c>
      <c r="L547" s="32" t="str">
        <f aca="false">IF(AND(J547=1,E547&lt;&gt;""),E547+ROW()/100000,"")</f>
        <v/>
      </c>
      <c r="M547" s="32" t="str">
        <f aca="false">IF(D547="Planned",ROW(),"")</f>
        <v/>
      </c>
      <c r="N547" s="32" t="str">
        <f aca="true">IF(K547=1,IF(E547="",0,TODAY()-E547)+ROW()/100000,"")</f>
        <v/>
      </c>
      <c r="O547" s="32" t="str">
        <f aca="false">IF(N547="","",RANK(N547,$N$2:$N$1000))</f>
        <v/>
      </c>
    </row>
    <row r="548" customFormat="false" ht="15" hidden="false" customHeight="false" outlineLevel="0" collapsed="false">
      <c r="A548" s="33"/>
      <c r="B548" s="33"/>
      <c r="C548" s="33"/>
      <c r="D548" s="33"/>
      <c r="E548" s="34"/>
      <c r="F548" s="34"/>
      <c r="G548" s="35" t="str">
        <f aca="true">IF(OR(E548="",J548=0),"",IF(F548&lt;&gt;"",F548-E548,TODAY()-E548))</f>
        <v/>
      </c>
      <c r="H548" s="29"/>
      <c r="I548" s="33"/>
      <c r="J548" s="32" t="n">
        <f aca="false">IF(OR(D548="",D548="Planned"),0,1)</f>
        <v>0</v>
      </c>
      <c r="K548" s="32" t="n">
        <f aca="false">IF(OR(D548="Under review",D548="Revision requested"),1,0)</f>
        <v>0</v>
      </c>
      <c r="L548" s="32" t="str">
        <f aca="false">IF(AND(J548=1,E548&lt;&gt;""),E548+ROW()/100000,"")</f>
        <v/>
      </c>
      <c r="M548" s="32" t="str">
        <f aca="false">IF(D548="Planned",ROW(),"")</f>
        <v/>
      </c>
      <c r="N548" s="32" t="str">
        <f aca="true">IF(K548=1,IF(E548="",0,TODAY()-E548)+ROW()/100000,"")</f>
        <v/>
      </c>
      <c r="O548" s="32" t="str">
        <f aca="false">IF(N548="","",RANK(N548,$N$2:$N$1000))</f>
        <v/>
      </c>
    </row>
    <row r="549" customFormat="false" ht="15" hidden="false" customHeight="false" outlineLevel="0" collapsed="false">
      <c r="A549" s="33"/>
      <c r="B549" s="33"/>
      <c r="C549" s="33"/>
      <c r="D549" s="33"/>
      <c r="E549" s="34"/>
      <c r="F549" s="34"/>
      <c r="G549" s="35" t="str">
        <f aca="true">IF(OR(E549="",J549=0),"",IF(F549&lt;&gt;"",F549-E549,TODAY()-E549))</f>
        <v/>
      </c>
      <c r="H549" s="29"/>
      <c r="I549" s="33"/>
      <c r="J549" s="32" t="n">
        <f aca="false">IF(OR(D549="",D549="Planned"),0,1)</f>
        <v>0</v>
      </c>
      <c r="K549" s="32" t="n">
        <f aca="false">IF(OR(D549="Under review",D549="Revision requested"),1,0)</f>
        <v>0</v>
      </c>
      <c r="L549" s="32" t="str">
        <f aca="false">IF(AND(J549=1,E549&lt;&gt;""),E549+ROW()/100000,"")</f>
        <v/>
      </c>
      <c r="M549" s="32" t="str">
        <f aca="false">IF(D549="Planned",ROW(),"")</f>
        <v/>
      </c>
      <c r="N549" s="32" t="str">
        <f aca="true">IF(K549=1,IF(E549="",0,TODAY()-E549)+ROW()/100000,"")</f>
        <v/>
      </c>
      <c r="O549" s="32" t="str">
        <f aca="false">IF(N549="","",RANK(N549,$N$2:$N$1000))</f>
        <v/>
      </c>
    </row>
    <row r="550" customFormat="false" ht="15" hidden="false" customHeight="false" outlineLevel="0" collapsed="false">
      <c r="A550" s="33"/>
      <c r="B550" s="33"/>
      <c r="C550" s="33"/>
      <c r="D550" s="33"/>
      <c r="E550" s="34"/>
      <c r="F550" s="34"/>
      <c r="G550" s="35" t="str">
        <f aca="true">IF(OR(E550="",J550=0),"",IF(F550&lt;&gt;"",F550-E550,TODAY()-E550))</f>
        <v/>
      </c>
      <c r="H550" s="29"/>
      <c r="I550" s="33"/>
      <c r="J550" s="32" t="n">
        <f aca="false">IF(OR(D550="",D550="Planned"),0,1)</f>
        <v>0</v>
      </c>
      <c r="K550" s="32" t="n">
        <f aca="false">IF(OR(D550="Under review",D550="Revision requested"),1,0)</f>
        <v>0</v>
      </c>
      <c r="L550" s="32" t="str">
        <f aca="false">IF(AND(J550=1,E550&lt;&gt;""),E550+ROW()/100000,"")</f>
        <v/>
      </c>
      <c r="M550" s="32" t="str">
        <f aca="false">IF(D550="Planned",ROW(),"")</f>
        <v/>
      </c>
      <c r="N550" s="32" t="str">
        <f aca="true">IF(K550=1,IF(E550="",0,TODAY()-E550)+ROW()/100000,"")</f>
        <v/>
      </c>
      <c r="O550" s="32" t="str">
        <f aca="false">IF(N550="","",RANK(N550,$N$2:$N$1000))</f>
        <v/>
      </c>
    </row>
    <row r="551" customFormat="false" ht="15" hidden="false" customHeight="false" outlineLevel="0" collapsed="false">
      <c r="A551" s="33"/>
      <c r="B551" s="33"/>
      <c r="C551" s="33"/>
      <c r="D551" s="33"/>
      <c r="E551" s="34"/>
      <c r="F551" s="34"/>
      <c r="G551" s="35" t="str">
        <f aca="true">IF(OR(E551="",J551=0),"",IF(F551&lt;&gt;"",F551-E551,TODAY()-E551))</f>
        <v/>
      </c>
      <c r="H551" s="29"/>
      <c r="I551" s="33"/>
      <c r="J551" s="32" t="n">
        <f aca="false">IF(OR(D551="",D551="Planned"),0,1)</f>
        <v>0</v>
      </c>
      <c r="K551" s="32" t="n">
        <f aca="false">IF(OR(D551="Under review",D551="Revision requested"),1,0)</f>
        <v>0</v>
      </c>
      <c r="L551" s="32" t="str">
        <f aca="false">IF(AND(J551=1,E551&lt;&gt;""),E551+ROW()/100000,"")</f>
        <v/>
      </c>
      <c r="M551" s="32" t="str">
        <f aca="false">IF(D551="Planned",ROW(),"")</f>
        <v/>
      </c>
      <c r="N551" s="32" t="str">
        <f aca="true">IF(K551=1,IF(E551="",0,TODAY()-E551)+ROW()/100000,"")</f>
        <v/>
      </c>
      <c r="O551" s="32" t="str">
        <f aca="false">IF(N551="","",RANK(N551,$N$2:$N$1000))</f>
        <v/>
      </c>
    </row>
    <row r="552" customFormat="false" ht="15" hidden="false" customHeight="false" outlineLevel="0" collapsed="false">
      <c r="A552" s="33"/>
      <c r="B552" s="33"/>
      <c r="C552" s="33"/>
      <c r="D552" s="33"/>
      <c r="E552" s="34"/>
      <c r="F552" s="34"/>
      <c r="G552" s="35" t="str">
        <f aca="true">IF(OR(E552="",J552=0),"",IF(F552&lt;&gt;"",F552-E552,TODAY()-E552))</f>
        <v/>
      </c>
      <c r="H552" s="29"/>
      <c r="I552" s="33"/>
      <c r="J552" s="32" t="n">
        <f aca="false">IF(OR(D552="",D552="Planned"),0,1)</f>
        <v>0</v>
      </c>
      <c r="K552" s="32" t="n">
        <f aca="false">IF(OR(D552="Under review",D552="Revision requested"),1,0)</f>
        <v>0</v>
      </c>
      <c r="L552" s="32" t="str">
        <f aca="false">IF(AND(J552=1,E552&lt;&gt;""),E552+ROW()/100000,"")</f>
        <v/>
      </c>
      <c r="M552" s="32" t="str">
        <f aca="false">IF(D552="Planned",ROW(),"")</f>
        <v/>
      </c>
      <c r="N552" s="32" t="str">
        <f aca="true">IF(K552=1,IF(E552="",0,TODAY()-E552)+ROW()/100000,"")</f>
        <v/>
      </c>
      <c r="O552" s="32" t="str">
        <f aca="false">IF(N552="","",RANK(N552,$N$2:$N$1000))</f>
        <v/>
      </c>
    </row>
    <row r="553" customFormat="false" ht="15" hidden="false" customHeight="false" outlineLevel="0" collapsed="false">
      <c r="A553" s="33"/>
      <c r="B553" s="33"/>
      <c r="C553" s="33"/>
      <c r="D553" s="33"/>
      <c r="E553" s="34"/>
      <c r="F553" s="34"/>
      <c r="G553" s="35" t="str">
        <f aca="true">IF(OR(E553="",J553=0),"",IF(F553&lt;&gt;"",F553-E553,TODAY()-E553))</f>
        <v/>
      </c>
      <c r="H553" s="29"/>
      <c r="I553" s="33"/>
      <c r="J553" s="32" t="n">
        <f aca="false">IF(OR(D553="",D553="Planned"),0,1)</f>
        <v>0</v>
      </c>
      <c r="K553" s="32" t="n">
        <f aca="false">IF(OR(D553="Under review",D553="Revision requested"),1,0)</f>
        <v>0</v>
      </c>
      <c r="L553" s="32" t="str">
        <f aca="false">IF(AND(J553=1,E553&lt;&gt;""),E553+ROW()/100000,"")</f>
        <v/>
      </c>
      <c r="M553" s="32" t="str">
        <f aca="false">IF(D553="Planned",ROW(),"")</f>
        <v/>
      </c>
      <c r="N553" s="32" t="str">
        <f aca="true">IF(K553=1,IF(E553="",0,TODAY()-E553)+ROW()/100000,"")</f>
        <v/>
      </c>
      <c r="O553" s="32" t="str">
        <f aca="false">IF(N553="","",RANK(N553,$N$2:$N$1000))</f>
        <v/>
      </c>
    </row>
    <row r="554" customFormat="false" ht="15" hidden="false" customHeight="false" outlineLevel="0" collapsed="false">
      <c r="A554" s="33"/>
      <c r="B554" s="33"/>
      <c r="C554" s="33"/>
      <c r="D554" s="33"/>
      <c r="E554" s="34"/>
      <c r="F554" s="34"/>
      <c r="G554" s="35" t="str">
        <f aca="true">IF(OR(E554="",J554=0),"",IF(F554&lt;&gt;"",F554-E554,TODAY()-E554))</f>
        <v/>
      </c>
      <c r="H554" s="29"/>
      <c r="I554" s="33"/>
      <c r="J554" s="32" t="n">
        <f aca="false">IF(OR(D554="",D554="Planned"),0,1)</f>
        <v>0</v>
      </c>
      <c r="K554" s="32" t="n">
        <f aca="false">IF(OR(D554="Under review",D554="Revision requested"),1,0)</f>
        <v>0</v>
      </c>
      <c r="L554" s="32" t="str">
        <f aca="false">IF(AND(J554=1,E554&lt;&gt;""),E554+ROW()/100000,"")</f>
        <v/>
      </c>
      <c r="M554" s="32" t="str">
        <f aca="false">IF(D554="Planned",ROW(),"")</f>
        <v/>
      </c>
      <c r="N554" s="32" t="str">
        <f aca="true">IF(K554=1,IF(E554="",0,TODAY()-E554)+ROW()/100000,"")</f>
        <v/>
      </c>
      <c r="O554" s="32" t="str">
        <f aca="false">IF(N554="","",RANK(N554,$N$2:$N$1000))</f>
        <v/>
      </c>
    </row>
    <row r="555" customFormat="false" ht="15" hidden="false" customHeight="false" outlineLevel="0" collapsed="false">
      <c r="A555" s="33"/>
      <c r="B555" s="33"/>
      <c r="C555" s="33"/>
      <c r="D555" s="33"/>
      <c r="E555" s="34"/>
      <c r="F555" s="34"/>
      <c r="G555" s="35" t="str">
        <f aca="true">IF(OR(E555="",J555=0),"",IF(F555&lt;&gt;"",F555-E555,TODAY()-E555))</f>
        <v/>
      </c>
      <c r="H555" s="29"/>
      <c r="I555" s="33"/>
      <c r="J555" s="32" t="n">
        <f aca="false">IF(OR(D555="",D555="Planned"),0,1)</f>
        <v>0</v>
      </c>
      <c r="K555" s="32" t="n">
        <f aca="false">IF(OR(D555="Under review",D555="Revision requested"),1,0)</f>
        <v>0</v>
      </c>
      <c r="L555" s="32" t="str">
        <f aca="false">IF(AND(J555=1,E555&lt;&gt;""),E555+ROW()/100000,"")</f>
        <v/>
      </c>
      <c r="M555" s="32" t="str">
        <f aca="false">IF(D555="Planned",ROW(),"")</f>
        <v/>
      </c>
      <c r="N555" s="32" t="str">
        <f aca="true">IF(K555=1,IF(E555="",0,TODAY()-E555)+ROW()/100000,"")</f>
        <v/>
      </c>
      <c r="O555" s="32" t="str">
        <f aca="false">IF(N555="","",RANK(N555,$N$2:$N$1000))</f>
        <v/>
      </c>
    </row>
    <row r="556" customFormat="false" ht="15" hidden="false" customHeight="false" outlineLevel="0" collapsed="false">
      <c r="A556" s="33"/>
      <c r="B556" s="33"/>
      <c r="C556" s="33"/>
      <c r="D556" s="33"/>
      <c r="E556" s="34"/>
      <c r="F556" s="34"/>
      <c r="G556" s="35" t="str">
        <f aca="true">IF(OR(E556="",J556=0),"",IF(F556&lt;&gt;"",F556-E556,TODAY()-E556))</f>
        <v/>
      </c>
      <c r="H556" s="29"/>
      <c r="I556" s="33"/>
      <c r="J556" s="32" t="n">
        <f aca="false">IF(OR(D556="",D556="Planned"),0,1)</f>
        <v>0</v>
      </c>
      <c r="K556" s="32" t="n">
        <f aca="false">IF(OR(D556="Under review",D556="Revision requested"),1,0)</f>
        <v>0</v>
      </c>
      <c r="L556" s="32" t="str">
        <f aca="false">IF(AND(J556=1,E556&lt;&gt;""),E556+ROW()/100000,"")</f>
        <v/>
      </c>
      <c r="M556" s="32" t="str">
        <f aca="false">IF(D556="Planned",ROW(),"")</f>
        <v/>
      </c>
      <c r="N556" s="32" t="str">
        <f aca="true">IF(K556=1,IF(E556="",0,TODAY()-E556)+ROW()/100000,"")</f>
        <v/>
      </c>
      <c r="O556" s="32" t="str">
        <f aca="false">IF(N556="","",RANK(N556,$N$2:$N$1000))</f>
        <v/>
      </c>
    </row>
    <row r="557" customFormat="false" ht="15" hidden="false" customHeight="false" outlineLevel="0" collapsed="false">
      <c r="A557" s="33"/>
      <c r="B557" s="33"/>
      <c r="C557" s="33"/>
      <c r="D557" s="33"/>
      <c r="E557" s="34"/>
      <c r="F557" s="34"/>
      <c r="G557" s="35" t="str">
        <f aca="true">IF(OR(E557="",J557=0),"",IF(F557&lt;&gt;"",F557-E557,TODAY()-E557))</f>
        <v/>
      </c>
      <c r="H557" s="29"/>
      <c r="I557" s="33"/>
      <c r="J557" s="32" t="n">
        <f aca="false">IF(OR(D557="",D557="Planned"),0,1)</f>
        <v>0</v>
      </c>
      <c r="K557" s="32" t="n">
        <f aca="false">IF(OR(D557="Under review",D557="Revision requested"),1,0)</f>
        <v>0</v>
      </c>
      <c r="L557" s="32" t="str">
        <f aca="false">IF(AND(J557=1,E557&lt;&gt;""),E557+ROW()/100000,"")</f>
        <v/>
      </c>
      <c r="M557" s="32" t="str">
        <f aca="false">IF(D557="Planned",ROW(),"")</f>
        <v/>
      </c>
      <c r="N557" s="32" t="str">
        <f aca="true">IF(K557=1,IF(E557="",0,TODAY()-E557)+ROW()/100000,"")</f>
        <v/>
      </c>
      <c r="O557" s="32" t="str">
        <f aca="false">IF(N557="","",RANK(N557,$N$2:$N$1000))</f>
        <v/>
      </c>
    </row>
    <row r="558" customFormat="false" ht="15" hidden="false" customHeight="false" outlineLevel="0" collapsed="false">
      <c r="A558" s="33"/>
      <c r="B558" s="33"/>
      <c r="C558" s="33"/>
      <c r="D558" s="33"/>
      <c r="E558" s="34"/>
      <c r="F558" s="34"/>
      <c r="G558" s="35" t="str">
        <f aca="true">IF(OR(E558="",J558=0),"",IF(F558&lt;&gt;"",F558-E558,TODAY()-E558))</f>
        <v/>
      </c>
      <c r="H558" s="29"/>
      <c r="I558" s="33"/>
      <c r="J558" s="32" t="n">
        <f aca="false">IF(OR(D558="",D558="Planned"),0,1)</f>
        <v>0</v>
      </c>
      <c r="K558" s="32" t="n">
        <f aca="false">IF(OR(D558="Under review",D558="Revision requested"),1,0)</f>
        <v>0</v>
      </c>
      <c r="L558" s="32" t="str">
        <f aca="false">IF(AND(J558=1,E558&lt;&gt;""),E558+ROW()/100000,"")</f>
        <v/>
      </c>
      <c r="M558" s="32" t="str">
        <f aca="false">IF(D558="Planned",ROW(),"")</f>
        <v/>
      </c>
      <c r="N558" s="32" t="str">
        <f aca="true">IF(K558=1,IF(E558="",0,TODAY()-E558)+ROW()/100000,"")</f>
        <v/>
      </c>
      <c r="O558" s="32" t="str">
        <f aca="false">IF(N558="","",RANK(N558,$N$2:$N$1000))</f>
        <v/>
      </c>
    </row>
    <row r="559" customFormat="false" ht="15" hidden="false" customHeight="false" outlineLevel="0" collapsed="false">
      <c r="A559" s="33"/>
      <c r="B559" s="33"/>
      <c r="C559" s="33"/>
      <c r="D559" s="33"/>
      <c r="E559" s="34"/>
      <c r="F559" s="34"/>
      <c r="G559" s="35" t="str">
        <f aca="true">IF(OR(E559="",J559=0),"",IF(F559&lt;&gt;"",F559-E559,TODAY()-E559))</f>
        <v/>
      </c>
      <c r="H559" s="29"/>
      <c r="I559" s="33"/>
      <c r="J559" s="32" t="n">
        <f aca="false">IF(OR(D559="",D559="Planned"),0,1)</f>
        <v>0</v>
      </c>
      <c r="K559" s="32" t="n">
        <f aca="false">IF(OR(D559="Under review",D559="Revision requested"),1,0)</f>
        <v>0</v>
      </c>
      <c r="L559" s="32" t="str">
        <f aca="false">IF(AND(J559=1,E559&lt;&gt;""),E559+ROW()/100000,"")</f>
        <v/>
      </c>
      <c r="M559" s="32" t="str">
        <f aca="false">IF(D559="Planned",ROW(),"")</f>
        <v/>
      </c>
      <c r="N559" s="32" t="str">
        <f aca="true">IF(K559=1,IF(E559="",0,TODAY()-E559)+ROW()/100000,"")</f>
        <v/>
      </c>
      <c r="O559" s="32" t="str">
        <f aca="false">IF(N559="","",RANK(N559,$N$2:$N$1000))</f>
        <v/>
      </c>
    </row>
    <row r="560" customFormat="false" ht="15" hidden="false" customHeight="false" outlineLevel="0" collapsed="false">
      <c r="A560" s="33"/>
      <c r="B560" s="33"/>
      <c r="C560" s="33"/>
      <c r="D560" s="33"/>
      <c r="E560" s="34"/>
      <c r="F560" s="34"/>
      <c r="G560" s="35" t="str">
        <f aca="true">IF(OR(E560="",J560=0),"",IF(F560&lt;&gt;"",F560-E560,TODAY()-E560))</f>
        <v/>
      </c>
      <c r="H560" s="29"/>
      <c r="I560" s="33"/>
      <c r="J560" s="32" t="n">
        <f aca="false">IF(OR(D560="",D560="Planned"),0,1)</f>
        <v>0</v>
      </c>
      <c r="K560" s="32" t="n">
        <f aca="false">IF(OR(D560="Under review",D560="Revision requested"),1,0)</f>
        <v>0</v>
      </c>
      <c r="L560" s="32" t="str">
        <f aca="false">IF(AND(J560=1,E560&lt;&gt;""),E560+ROW()/100000,"")</f>
        <v/>
      </c>
      <c r="M560" s="32" t="str">
        <f aca="false">IF(D560="Planned",ROW(),"")</f>
        <v/>
      </c>
      <c r="N560" s="32" t="str">
        <f aca="true">IF(K560=1,IF(E560="",0,TODAY()-E560)+ROW()/100000,"")</f>
        <v/>
      </c>
      <c r="O560" s="32" t="str">
        <f aca="false">IF(N560="","",RANK(N560,$N$2:$N$1000))</f>
        <v/>
      </c>
    </row>
    <row r="561" customFormat="false" ht="15" hidden="false" customHeight="false" outlineLevel="0" collapsed="false">
      <c r="A561" s="33"/>
      <c r="B561" s="33"/>
      <c r="C561" s="33"/>
      <c r="D561" s="33"/>
      <c r="E561" s="34"/>
      <c r="F561" s="34"/>
      <c r="G561" s="35" t="str">
        <f aca="true">IF(OR(E561="",J561=0),"",IF(F561&lt;&gt;"",F561-E561,TODAY()-E561))</f>
        <v/>
      </c>
      <c r="H561" s="29"/>
      <c r="I561" s="33"/>
      <c r="J561" s="32" t="n">
        <f aca="false">IF(OR(D561="",D561="Planned"),0,1)</f>
        <v>0</v>
      </c>
      <c r="K561" s="32" t="n">
        <f aca="false">IF(OR(D561="Under review",D561="Revision requested"),1,0)</f>
        <v>0</v>
      </c>
      <c r="L561" s="32" t="str">
        <f aca="false">IF(AND(J561=1,E561&lt;&gt;""),E561+ROW()/100000,"")</f>
        <v/>
      </c>
      <c r="M561" s="32" t="str">
        <f aca="false">IF(D561="Planned",ROW(),"")</f>
        <v/>
      </c>
      <c r="N561" s="32" t="str">
        <f aca="true">IF(K561=1,IF(E561="",0,TODAY()-E561)+ROW()/100000,"")</f>
        <v/>
      </c>
      <c r="O561" s="32" t="str">
        <f aca="false">IF(N561="","",RANK(N561,$N$2:$N$1000))</f>
        <v/>
      </c>
    </row>
    <row r="562" customFormat="false" ht="15" hidden="false" customHeight="false" outlineLevel="0" collapsed="false">
      <c r="A562" s="33"/>
      <c r="B562" s="33"/>
      <c r="C562" s="33"/>
      <c r="D562" s="33"/>
      <c r="E562" s="34"/>
      <c r="F562" s="34"/>
      <c r="G562" s="35" t="str">
        <f aca="true">IF(OR(E562="",J562=0),"",IF(F562&lt;&gt;"",F562-E562,TODAY()-E562))</f>
        <v/>
      </c>
      <c r="H562" s="29"/>
      <c r="I562" s="33"/>
      <c r="J562" s="32" t="n">
        <f aca="false">IF(OR(D562="",D562="Planned"),0,1)</f>
        <v>0</v>
      </c>
      <c r="K562" s="32" t="n">
        <f aca="false">IF(OR(D562="Under review",D562="Revision requested"),1,0)</f>
        <v>0</v>
      </c>
      <c r="L562" s="32" t="str">
        <f aca="false">IF(AND(J562=1,E562&lt;&gt;""),E562+ROW()/100000,"")</f>
        <v/>
      </c>
      <c r="M562" s="32" t="str">
        <f aca="false">IF(D562="Planned",ROW(),"")</f>
        <v/>
      </c>
      <c r="N562" s="32" t="str">
        <f aca="true">IF(K562=1,IF(E562="",0,TODAY()-E562)+ROW()/100000,"")</f>
        <v/>
      </c>
      <c r="O562" s="32" t="str">
        <f aca="false">IF(N562="","",RANK(N562,$N$2:$N$1000))</f>
        <v/>
      </c>
    </row>
    <row r="563" customFormat="false" ht="15" hidden="false" customHeight="false" outlineLevel="0" collapsed="false">
      <c r="A563" s="33"/>
      <c r="B563" s="33"/>
      <c r="C563" s="33"/>
      <c r="D563" s="33"/>
      <c r="E563" s="34"/>
      <c r="F563" s="34"/>
      <c r="G563" s="35" t="str">
        <f aca="true">IF(OR(E563="",J563=0),"",IF(F563&lt;&gt;"",F563-E563,TODAY()-E563))</f>
        <v/>
      </c>
      <c r="H563" s="29"/>
      <c r="I563" s="33"/>
      <c r="J563" s="32" t="n">
        <f aca="false">IF(OR(D563="",D563="Planned"),0,1)</f>
        <v>0</v>
      </c>
      <c r="K563" s="32" t="n">
        <f aca="false">IF(OR(D563="Under review",D563="Revision requested"),1,0)</f>
        <v>0</v>
      </c>
      <c r="L563" s="32" t="str">
        <f aca="false">IF(AND(J563=1,E563&lt;&gt;""),E563+ROW()/100000,"")</f>
        <v/>
      </c>
      <c r="M563" s="32" t="str">
        <f aca="false">IF(D563="Planned",ROW(),"")</f>
        <v/>
      </c>
      <c r="N563" s="32" t="str">
        <f aca="true">IF(K563=1,IF(E563="",0,TODAY()-E563)+ROW()/100000,"")</f>
        <v/>
      </c>
      <c r="O563" s="32" t="str">
        <f aca="false">IF(N563="","",RANK(N563,$N$2:$N$1000))</f>
        <v/>
      </c>
    </row>
    <row r="564" customFormat="false" ht="15" hidden="false" customHeight="false" outlineLevel="0" collapsed="false">
      <c r="A564" s="33"/>
      <c r="B564" s="33"/>
      <c r="C564" s="33"/>
      <c r="D564" s="33"/>
      <c r="E564" s="34"/>
      <c r="F564" s="34"/>
      <c r="G564" s="35" t="str">
        <f aca="true">IF(OR(E564="",J564=0),"",IF(F564&lt;&gt;"",F564-E564,TODAY()-E564))</f>
        <v/>
      </c>
      <c r="H564" s="29"/>
      <c r="I564" s="33"/>
      <c r="J564" s="32" t="n">
        <f aca="false">IF(OR(D564="",D564="Planned"),0,1)</f>
        <v>0</v>
      </c>
      <c r="K564" s="32" t="n">
        <f aca="false">IF(OR(D564="Under review",D564="Revision requested"),1,0)</f>
        <v>0</v>
      </c>
      <c r="L564" s="32" t="str">
        <f aca="false">IF(AND(J564=1,E564&lt;&gt;""),E564+ROW()/100000,"")</f>
        <v/>
      </c>
      <c r="M564" s="32" t="str">
        <f aca="false">IF(D564="Planned",ROW(),"")</f>
        <v/>
      </c>
      <c r="N564" s="32" t="str">
        <f aca="true">IF(K564=1,IF(E564="",0,TODAY()-E564)+ROW()/100000,"")</f>
        <v/>
      </c>
      <c r="O564" s="32" t="str">
        <f aca="false">IF(N564="","",RANK(N564,$N$2:$N$1000))</f>
        <v/>
      </c>
    </row>
    <row r="565" customFormat="false" ht="15" hidden="false" customHeight="false" outlineLevel="0" collapsed="false">
      <c r="A565" s="33"/>
      <c r="B565" s="33"/>
      <c r="C565" s="33"/>
      <c r="D565" s="33"/>
      <c r="E565" s="34"/>
      <c r="F565" s="34"/>
      <c r="G565" s="35" t="str">
        <f aca="true">IF(OR(E565="",J565=0),"",IF(F565&lt;&gt;"",F565-E565,TODAY()-E565))</f>
        <v/>
      </c>
      <c r="H565" s="29"/>
      <c r="I565" s="33"/>
      <c r="J565" s="32" t="n">
        <f aca="false">IF(OR(D565="",D565="Planned"),0,1)</f>
        <v>0</v>
      </c>
      <c r="K565" s="32" t="n">
        <f aca="false">IF(OR(D565="Under review",D565="Revision requested"),1,0)</f>
        <v>0</v>
      </c>
      <c r="L565" s="32" t="str">
        <f aca="false">IF(AND(J565=1,E565&lt;&gt;""),E565+ROW()/100000,"")</f>
        <v/>
      </c>
      <c r="M565" s="32" t="str">
        <f aca="false">IF(D565="Planned",ROW(),"")</f>
        <v/>
      </c>
      <c r="N565" s="32" t="str">
        <f aca="true">IF(K565=1,IF(E565="",0,TODAY()-E565)+ROW()/100000,"")</f>
        <v/>
      </c>
      <c r="O565" s="32" t="str">
        <f aca="false">IF(N565="","",RANK(N565,$N$2:$N$1000))</f>
        <v/>
      </c>
    </row>
    <row r="566" customFormat="false" ht="15" hidden="false" customHeight="false" outlineLevel="0" collapsed="false">
      <c r="A566" s="33"/>
      <c r="B566" s="33"/>
      <c r="C566" s="33"/>
      <c r="D566" s="33"/>
      <c r="E566" s="34"/>
      <c r="F566" s="34"/>
      <c r="G566" s="35" t="str">
        <f aca="true">IF(OR(E566="",J566=0),"",IF(F566&lt;&gt;"",F566-E566,TODAY()-E566))</f>
        <v/>
      </c>
      <c r="H566" s="29"/>
      <c r="I566" s="33"/>
      <c r="J566" s="32" t="n">
        <f aca="false">IF(OR(D566="",D566="Planned"),0,1)</f>
        <v>0</v>
      </c>
      <c r="K566" s="32" t="n">
        <f aca="false">IF(OR(D566="Under review",D566="Revision requested"),1,0)</f>
        <v>0</v>
      </c>
      <c r="L566" s="32" t="str">
        <f aca="false">IF(AND(J566=1,E566&lt;&gt;""),E566+ROW()/100000,"")</f>
        <v/>
      </c>
      <c r="M566" s="32" t="str">
        <f aca="false">IF(D566="Planned",ROW(),"")</f>
        <v/>
      </c>
      <c r="N566" s="32" t="str">
        <f aca="true">IF(K566=1,IF(E566="",0,TODAY()-E566)+ROW()/100000,"")</f>
        <v/>
      </c>
      <c r="O566" s="32" t="str">
        <f aca="false">IF(N566="","",RANK(N566,$N$2:$N$1000))</f>
        <v/>
      </c>
    </row>
    <row r="567" customFormat="false" ht="15" hidden="false" customHeight="false" outlineLevel="0" collapsed="false">
      <c r="A567" s="33"/>
      <c r="B567" s="33"/>
      <c r="C567" s="33"/>
      <c r="D567" s="33"/>
      <c r="E567" s="34"/>
      <c r="F567" s="34"/>
      <c r="G567" s="35" t="str">
        <f aca="true">IF(OR(E567="",J567=0),"",IF(F567&lt;&gt;"",F567-E567,TODAY()-E567))</f>
        <v/>
      </c>
      <c r="H567" s="29"/>
      <c r="I567" s="33"/>
      <c r="J567" s="32" t="n">
        <f aca="false">IF(OR(D567="",D567="Planned"),0,1)</f>
        <v>0</v>
      </c>
      <c r="K567" s="32" t="n">
        <f aca="false">IF(OR(D567="Under review",D567="Revision requested"),1,0)</f>
        <v>0</v>
      </c>
      <c r="L567" s="32" t="str">
        <f aca="false">IF(AND(J567=1,E567&lt;&gt;""),E567+ROW()/100000,"")</f>
        <v/>
      </c>
      <c r="M567" s="32" t="str">
        <f aca="false">IF(D567="Planned",ROW(),"")</f>
        <v/>
      </c>
      <c r="N567" s="32" t="str">
        <f aca="true">IF(K567=1,IF(E567="",0,TODAY()-E567)+ROW()/100000,"")</f>
        <v/>
      </c>
      <c r="O567" s="32" t="str">
        <f aca="false">IF(N567="","",RANK(N567,$N$2:$N$1000))</f>
        <v/>
      </c>
    </row>
    <row r="568" customFormat="false" ht="15" hidden="false" customHeight="false" outlineLevel="0" collapsed="false">
      <c r="A568" s="33"/>
      <c r="B568" s="33"/>
      <c r="C568" s="33"/>
      <c r="D568" s="33"/>
      <c r="E568" s="34"/>
      <c r="F568" s="34"/>
      <c r="G568" s="35" t="str">
        <f aca="true">IF(OR(E568="",J568=0),"",IF(F568&lt;&gt;"",F568-E568,TODAY()-E568))</f>
        <v/>
      </c>
      <c r="H568" s="29"/>
      <c r="I568" s="33"/>
      <c r="J568" s="32" t="n">
        <f aca="false">IF(OR(D568="",D568="Planned"),0,1)</f>
        <v>0</v>
      </c>
      <c r="K568" s="32" t="n">
        <f aca="false">IF(OR(D568="Under review",D568="Revision requested"),1,0)</f>
        <v>0</v>
      </c>
      <c r="L568" s="32" t="str">
        <f aca="false">IF(AND(J568=1,E568&lt;&gt;""),E568+ROW()/100000,"")</f>
        <v/>
      </c>
      <c r="M568" s="32" t="str">
        <f aca="false">IF(D568="Planned",ROW(),"")</f>
        <v/>
      </c>
      <c r="N568" s="32" t="str">
        <f aca="true">IF(K568=1,IF(E568="",0,TODAY()-E568)+ROW()/100000,"")</f>
        <v/>
      </c>
      <c r="O568" s="32" t="str">
        <f aca="false">IF(N568="","",RANK(N568,$N$2:$N$1000))</f>
        <v/>
      </c>
    </row>
    <row r="569" customFormat="false" ht="15" hidden="false" customHeight="false" outlineLevel="0" collapsed="false">
      <c r="A569" s="33"/>
      <c r="B569" s="33"/>
      <c r="C569" s="33"/>
      <c r="D569" s="33"/>
      <c r="E569" s="34"/>
      <c r="F569" s="34"/>
      <c r="G569" s="35" t="str">
        <f aca="true">IF(OR(E569="",J569=0),"",IF(F569&lt;&gt;"",F569-E569,TODAY()-E569))</f>
        <v/>
      </c>
      <c r="H569" s="29"/>
      <c r="I569" s="33"/>
      <c r="J569" s="32" t="n">
        <f aca="false">IF(OR(D569="",D569="Planned"),0,1)</f>
        <v>0</v>
      </c>
      <c r="K569" s="32" t="n">
        <f aca="false">IF(OR(D569="Under review",D569="Revision requested"),1,0)</f>
        <v>0</v>
      </c>
      <c r="L569" s="32" t="str">
        <f aca="false">IF(AND(J569=1,E569&lt;&gt;""),E569+ROW()/100000,"")</f>
        <v/>
      </c>
      <c r="M569" s="32" t="str">
        <f aca="false">IF(D569="Planned",ROW(),"")</f>
        <v/>
      </c>
      <c r="N569" s="32" t="str">
        <f aca="true">IF(K569=1,IF(E569="",0,TODAY()-E569)+ROW()/100000,"")</f>
        <v/>
      </c>
      <c r="O569" s="32" t="str">
        <f aca="false">IF(N569="","",RANK(N569,$N$2:$N$1000))</f>
        <v/>
      </c>
    </row>
    <row r="570" customFormat="false" ht="15" hidden="false" customHeight="false" outlineLevel="0" collapsed="false">
      <c r="A570" s="33"/>
      <c r="B570" s="33"/>
      <c r="C570" s="33"/>
      <c r="D570" s="33"/>
      <c r="E570" s="34"/>
      <c r="F570" s="34"/>
      <c r="G570" s="35" t="str">
        <f aca="true">IF(OR(E570="",J570=0),"",IF(F570&lt;&gt;"",F570-E570,TODAY()-E570))</f>
        <v/>
      </c>
      <c r="H570" s="29"/>
      <c r="I570" s="33"/>
      <c r="J570" s="32" t="n">
        <f aca="false">IF(OR(D570="",D570="Planned"),0,1)</f>
        <v>0</v>
      </c>
      <c r="K570" s="32" t="n">
        <f aca="false">IF(OR(D570="Under review",D570="Revision requested"),1,0)</f>
        <v>0</v>
      </c>
      <c r="L570" s="32" t="str">
        <f aca="false">IF(AND(J570=1,E570&lt;&gt;""),E570+ROW()/100000,"")</f>
        <v/>
      </c>
      <c r="M570" s="32" t="str">
        <f aca="false">IF(D570="Planned",ROW(),"")</f>
        <v/>
      </c>
      <c r="N570" s="32" t="str">
        <f aca="true">IF(K570=1,IF(E570="",0,TODAY()-E570)+ROW()/100000,"")</f>
        <v/>
      </c>
      <c r="O570" s="32" t="str">
        <f aca="false">IF(N570="","",RANK(N570,$N$2:$N$1000))</f>
        <v/>
      </c>
    </row>
    <row r="571" customFormat="false" ht="15" hidden="false" customHeight="false" outlineLevel="0" collapsed="false">
      <c r="A571" s="33"/>
      <c r="B571" s="33"/>
      <c r="C571" s="33"/>
      <c r="D571" s="33"/>
      <c r="E571" s="34"/>
      <c r="F571" s="34"/>
      <c r="G571" s="35" t="str">
        <f aca="true">IF(OR(E571="",J571=0),"",IF(F571&lt;&gt;"",F571-E571,TODAY()-E571))</f>
        <v/>
      </c>
      <c r="H571" s="29"/>
      <c r="I571" s="33"/>
      <c r="J571" s="32" t="n">
        <f aca="false">IF(OR(D571="",D571="Planned"),0,1)</f>
        <v>0</v>
      </c>
      <c r="K571" s="32" t="n">
        <f aca="false">IF(OR(D571="Under review",D571="Revision requested"),1,0)</f>
        <v>0</v>
      </c>
      <c r="L571" s="32" t="str">
        <f aca="false">IF(AND(J571=1,E571&lt;&gt;""),E571+ROW()/100000,"")</f>
        <v/>
      </c>
      <c r="M571" s="32" t="str">
        <f aca="false">IF(D571="Planned",ROW(),"")</f>
        <v/>
      </c>
      <c r="N571" s="32" t="str">
        <f aca="true">IF(K571=1,IF(E571="",0,TODAY()-E571)+ROW()/100000,"")</f>
        <v/>
      </c>
      <c r="O571" s="32" t="str">
        <f aca="false">IF(N571="","",RANK(N571,$N$2:$N$1000))</f>
        <v/>
      </c>
    </row>
    <row r="572" customFormat="false" ht="15" hidden="false" customHeight="false" outlineLevel="0" collapsed="false">
      <c r="A572" s="33"/>
      <c r="B572" s="33"/>
      <c r="C572" s="33"/>
      <c r="D572" s="33"/>
      <c r="E572" s="34"/>
      <c r="F572" s="34"/>
      <c r="G572" s="35" t="str">
        <f aca="true">IF(OR(E572="",J572=0),"",IF(F572&lt;&gt;"",F572-E572,TODAY()-E572))</f>
        <v/>
      </c>
      <c r="H572" s="29"/>
      <c r="I572" s="33"/>
      <c r="J572" s="32" t="n">
        <f aca="false">IF(OR(D572="",D572="Planned"),0,1)</f>
        <v>0</v>
      </c>
      <c r="K572" s="32" t="n">
        <f aca="false">IF(OR(D572="Under review",D572="Revision requested"),1,0)</f>
        <v>0</v>
      </c>
      <c r="L572" s="32" t="str">
        <f aca="false">IF(AND(J572=1,E572&lt;&gt;""),E572+ROW()/100000,"")</f>
        <v/>
      </c>
      <c r="M572" s="32" t="str">
        <f aca="false">IF(D572="Planned",ROW(),"")</f>
        <v/>
      </c>
      <c r="N572" s="32" t="str">
        <f aca="true">IF(K572=1,IF(E572="",0,TODAY()-E572)+ROW()/100000,"")</f>
        <v/>
      </c>
      <c r="O572" s="32" t="str">
        <f aca="false">IF(N572="","",RANK(N572,$N$2:$N$1000))</f>
        <v/>
      </c>
    </row>
    <row r="573" customFormat="false" ht="15" hidden="false" customHeight="false" outlineLevel="0" collapsed="false">
      <c r="A573" s="33"/>
      <c r="B573" s="33"/>
      <c r="C573" s="33"/>
      <c r="D573" s="33"/>
      <c r="E573" s="34"/>
      <c r="F573" s="34"/>
      <c r="G573" s="35" t="str">
        <f aca="true">IF(OR(E573="",J573=0),"",IF(F573&lt;&gt;"",F573-E573,TODAY()-E573))</f>
        <v/>
      </c>
      <c r="H573" s="29"/>
      <c r="I573" s="33"/>
      <c r="J573" s="32" t="n">
        <f aca="false">IF(OR(D573="",D573="Planned"),0,1)</f>
        <v>0</v>
      </c>
      <c r="K573" s="32" t="n">
        <f aca="false">IF(OR(D573="Under review",D573="Revision requested"),1,0)</f>
        <v>0</v>
      </c>
      <c r="L573" s="32" t="str">
        <f aca="false">IF(AND(J573=1,E573&lt;&gt;""),E573+ROW()/100000,"")</f>
        <v/>
      </c>
      <c r="M573" s="32" t="str">
        <f aca="false">IF(D573="Planned",ROW(),"")</f>
        <v/>
      </c>
      <c r="N573" s="32" t="str">
        <f aca="true">IF(K573=1,IF(E573="",0,TODAY()-E573)+ROW()/100000,"")</f>
        <v/>
      </c>
      <c r="O573" s="32" t="str">
        <f aca="false">IF(N573="","",RANK(N573,$N$2:$N$1000))</f>
        <v/>
      </c>
    </row>
    <row r="574" customFormat="false" ht="15" hidden="false" customHeight="false" outlineLevel="0" collapsed="false">
      <c r="A574" s="33"/>
      <c r="B574" s="33"/>
      <c r="C574" s="33"/>
      <c r="D574" s="33"/>
      <c r="E574" s="34"/>
      <c r="F574" s="34"/>
      <c r="G574" s="35" t="str">
        <f aca="true">IF(OR(E574="",J574=0),"",IF(F574&lt;&gt;"",F574-E574,TODAY()-E574))</f>
        <v/>
      </c>
      <c r="H574" s="29"/>
      <c r="I574" s="33"/>
      <c r="J574" s="32" t="n">
        <f aca="false">IF(OR(D574="",D574="Planned"),0,1)</f>
        <v>0</v>
      </c>
      <c r="K574" s="32" t="n">
        <f aca="false">IF(OR(D574="Under review",D574="Revision requested"),1,0)</f>
        <v>0</v>
      </c>
      <c r="L574" s="32" t="str">
        <f aca="false">IF(AND(J574=1,E574&lt;&gt;""),E574+ROW()/100000,"")</f>
        <v/>
      </c>
      <c r="M574" s="32" t="str">
        <f aca="false">IF(D574="Planned",ROW(),"")</f>
        <v/>
      </c>
      <c r="N574" s="32" t="str">
        <f aca="true">IF(K574=1,IF(E574="",0,TODAY()-E574)+ROW()/100000,"")</f>
        <v/>
      </c>
      <c r="O574" s="32" t="str">
        <f aca="false">IF(N574="","",RANK(N574,$N$2:$N$1000))</f>
        <v/>
      </c>
    </row>
    <row r="575" customFormat="false" ht="15" hidden="false" customHeight="false" outlineLevel="0" collapsed="false">
      <c r="A575" s="33"/>
      <c r="B575" s="33"/>
      <c r="C575" s="33"/>
      <c r="D575" s="33"/>
      <c r="E575" s="34"/>
      <c r="F575" s="34"/>
      <c r="G575" s="35" t="str">
        <f aca="true">IF(OR(E575="",J575=0),"",IF(F575&lt;&gt;"",F575-E575,TODAY()-E575))</f>
        <v/>
      </c>
      <c r="H575" s="29"/>
      <c r="I575" s="33"/>
      <c r="J575" s="32" t="n">
        <f aca="false">IF(OR(D575="",D575="Planned"),0,1)</f>
        <v>0</v>
      </c>
      <c r="K575" s="32" t="n">
        <f aca="false">IF(OR(D575="Under review",D575="Revision requested"),1,0)</f>
        <v>0</v>
      </c>
      <c r="L575" s="32" t="str">
        <f aca="false">IF(AND(J575=1,E575&lt;&gt;""),E575+ROW()/100000,"")</f>
        <v/>
      </c>
      <c r="M575" s="32" t="str">
        <f aca="false">IF(D575="Planned",ROW(),"")</f>
        <v/>
      </c>
      <c r="N575" s="32" t="str">
        <f aca="true">IF(K575=1,IF(E575="",0,TODAY()-E575)+ROW()/100000,"")</f>
        <v/>
      </c>
      <c r="O575" s="32" t="str">
        <f aca="false">IF(N575="","",RANK(N575,$N$2:$N$1000))</f>
        <v/>
      </c>
    </row>
    <row r="576" customFormat="false" ht="15" hidden="false" customHeight="false" outlineLevel="0" collapsed="false">
      <c r="A576" s="33"/>
      <c r="B576" s="33"/>
      <c r="C576" s="33"/>
      <c r="D576" s="33"/>
      <c r="E576" s="34"/>
      <c r="F576" s="34"/>
      <c r="G576" s="35" t="str">
        <f aca="true">IF(OR(E576="",J576=0),"",IF(F576&lt;&gt;"",F576-E576,TODAY()-E576))</f>
        <v/>
      </c>
      <c r="H576" s="29"/>
      <c r="I576" s="33"/>
      <c r="J576" s="32" t="n">
        <f aca="false">IF(OR(D576="",D576="Planned"),0,1)</f>
        <v>0</v>
      </c>
      <c r="K576" s="32" t="n">
        <f aca="false">IF(OR(D576="Under review",D576="Revision requested"),1,0)</f>
        <v>0</v>
      </c>
      <c r="L576" s="32" t="str">
        <f aca="false">IF(AND(J576=1,E576&lt;&gt;""),E576+ROW()/100000,"")</f>
        <v/>
      </c>
      <c r="M576" s="32" t="str">
        <f aca="false">IF(D576="Planned",ROW(),"")</f>
        <v/>
      </c>
      <c r="N576" s="32" t="str">
        <f aca="true">IF(K576=1,IF(E576="",0,TODAY()-E576)+ROW()/100000,"")</f>
        <v/>
      </c>
      <c r="O576" s="32" t="str">
        <f aca="false">IF(N576="","",RANK(N576,$N$2:$N$1000))</f>
        <v/>
      </c>
    </row>
    <row r="577" customFormat="false" ht="15" hidden="false" customHeight="false" outlineLevel="0" collapsed="false">
      <c r="A577" s="33"/>
      <c r="B577" s="33"/>
      <c r="C577" s="33"/>
      <c r="D577" s="33"/>
      <c r="E577" s="34"/>
      <c r="F577" s="34"/>
      <c r="G577" s="35" t="str">
        <f aca="true">IF(OR(E577="",J577=0),"",IF(F577&lt;&gt;"",F577-E577,TODAY()-E577))</f>
        <v/>
      </c>
      <c r="H577" s="29"/>
      <c r="I577" s="33"/>
      <c r="J577" s="32" t="n">
        <f aca="false">IF(OR(D577="",D577="Planned"),0,1)</f>
        <v>0</v>
      </c>
      <c r="K577" s="32" t="n">
        <f aca="false">IF(OR(D577="Under review",D577="Revision requested"),1,0)</f>
        <v>0</v>
      </c>
      <c r="L577" s="32" t="str">
        <f aca="false">IF(AND(J577=1,E577&lt;&gt;""),E577+ROW()/100000,"")</f>
        <v/>
      </c>
      <c r="M577" s="32" t="str">
        <f aca="false">IF(D577="Planned",ROW(),"")</f>
        <v/>
      </c>
      <c r="N577" s="32" t="str">
        <f aca="true">IF(K577=1,IF(E577="",0,TODAY()-E577)+ROW()/100000,"")</f>
        <v/>
      </c>
      <c r="O577" s="32" t="str">
        <f aca="false">IF(N577="","",RANK(N577,$N$2:$N$1000))</f>
        <v/>
      </c>
    </row>
    <row r="578" customFormat="false" ht="15" hidden="false" customHeight="false" outlineLevel="0" collapsed="false">
      <c r="A578" s="33"/>
      <c r="B578" s="33"/>
      <c r="C578" s="33"/>
      <c r="D578" s="33"/>
      <c r="E578" s="34"/>
      <c r="F578" s="34"/>
      <c r="G578" s="35" t="str">
        <f aca="true">IF(OR(E578="",J578=0),"",IF(F578&lt;&gt;"",F578-E578,TODAY()-E578))</f>
        <v/>
      </c>
      <c r="H578" s="29"/>
      <c r="I578" s="33"/>
      <c r="J578" s="32" t="n">
        <f aca="false">IF(OR(D578="",D578="Planned"),0,1)</f>
        <v>0</v>
      </c>
      <c r="K578" s="32" t="n">
        <f aca="false">IF(OR(D578="Under review",D578="Revision requested"),1,0)</f>
        <v>0</v>
      </c>
      <c r="L578" s="32" t="str">
        <f aca="false">IF(AND(J578=1,E578&lt;&gt;""),E578+ROW()/100000,"")</f>
        <v/>
      </c>
      <c r="M578" s="32" t="str">
        <f aca="false">IF(D578="Planned",ROW(),"")</f>
        <v/>
      </c>
      <c r="N578" s="32" t="str">
        <f aca="true">IF(K578=1,IF(E578="",0,TODAY()-E578)+ROW()/100000,"")</f>
        <v/>
      </c>
      <c r="O578" s="32" t="str">
        <f aca="false">IF(N578="","",RANK(N578,$N$2:$N$1000))</f>
        <v/>
      </c>
    </row>
    <row r="579" customFormat="false" ht="15" hidden="false" customHeight="false" outlineLevel="0" collapsed="false">
      <c r="A579" s="33"/>
      <c r="B579" s="33"/>
      <c r="C579" s="33"/>
      <c r="D579" s="33"/>
      <c r="E579" s="34"/>
      <c r="F579" s="34"/>
      <c r="G579" s="35" t="str">
        <f aca="true">IF(OR(E579="",J579=0),"",IF(F579&lt;&gt;"",F579-E579,TODAY()-E579))</f>
        <v/>
      </c>
      <c r="H579" s="29"/>
      <c r="I579" s="33"/>
      <c r="J579" s="32" t="n">
        <f aca="false">IF(OR(D579="",D579="Planned"),0,1)</f>
        <v>0</v>
      </c>
      <c r="K579" s="32" t="n">
        <f aca="false">IF(OR(D579="Under review",D579="Revision requested"),1,0)</f>
        <v>0</v>
      </c>
      <c r="L579" s="32" t="str">
        <f aca="false">IF(AND(J579=1,E579&lt;&gt;""),E579+ROW()/100000,"")</f>
        <v/>
      </c>
      <c r="M579" s="32" t="str">
        <f aca="false">IF(D579="Planned",ROW(),"")</f>
        <v/>
      </c>
      <c r="N579" s="32" t="str">
        <f aca="true">IF(K579=1,IF(E579="",0,TODAY()-E579)+ROW()/100000,"")</f>
        <v/>
      </c>
      <c r="O579" s="32" t="str">
        <f aca="false">IF(N579="","",RANK(N579,$N$2:$N$1000))</f>
        <v/>
      </c>
    </row>
    <row r="580" customFormat="false" ht="15" hidden="false" customHeight="false" outlineLevel="0" collapsed="false">
      <c r="A580" s="33"/>
      <c r="B580" s="33"/>
      <c r="C580" s="33"/>
      <c r="D580" s="33"/>
      <c r="E580" s="34"/>
      <c r="F580" s="34"/>
      <c r="G580" s="35" t="str">
        <f aca="true">IF(OR(E580="",J580=0),"",IF(F580&lt;&gt;"",F580-E580,TODAY()-E580))</f>
        <v/>
      </c>
      <c r="H580" s="29"/>
      <c r="I580" s="33"/>
      <c r="J580" s="32" t="n">
        <f aca="false">IF(OR(D580="",D580="Planned"),0,1)</f>
        <v>0</v>
      </c>
      <c r="K580" s="32" t="n">
        <f aca="false">IF(OR(D580="Under review",D580="Revision requested"),1,0)</f>
        <v>0</v>
      </c>
      <c r="L580" s="32" t="str">
        <f aca="false">IF(AND(J580=1,E580&lt;&gt;""),E580+ROW()/100000,"")</f>
        <v/>
      </c>
      <c r="M580" s="32" t="str">
        <f aca="false">IF(D580="Planned",ROW(),"")</f>
        <v/>
      </c>
      <c r="N580" s="32" t="str">
        <f aca="true">IF(K580=1,IF(E580="",0,TODAY()-E580)+ROW()/100000,"")</f>
        <v/>
      </c>
      <c r="O580" s="32" t="str">
        <f aca="false">IF(N580="","",RANK(N580,$N$2:$N$1000))</f>
        <v/>
      </c>
    </row>
    <row r="581" customFormat="false" ht="15" hidden="false" customHeight="false" outlineLevel="0" collapsed="false">
      <c r="A581" s="33"/>
      <c r="B581" s="33"/>
      <c r="C581" s="33"/>
      <c r="D581" s="33"/>
      <c r="E581" s="34"/>
      <c r="F581" s="34"/>
      <c r="G581" s="35" t="str">
        <f aca="true">IF(OR(E581="",J581=0),"",IF(F581&lt;&gt;"",F581-E581,TODAY()-E581))</f>
        <v/>
      </c>
      <c r="H581" s="29"/>
      <c r="I581" s="33"/>
      <c r="J581" s="32" t="n">
        <f aca="false">IF(OR(D581="",D581="Planned"),0,1)</f>
        <v>0</v>
      </c>
      <c r="K581" s="32" t="n">
        <f aca="false">IF(OR(D581="Under review",D581="Revision requested"),1,0)</f>
        <v>0</v>
      </c>
      <c r="L581" s="32" t="str">
        <f aca="false">IF(AND(J581=1,E581&lt;&gt;""),E581+ROW()/100000,"")</f>
        <v/>
      </c>
      <c r="M581" s="32" t="str">
        <f aca="false">IF(D581="Planned",ROW(),"")</f>
        <v/>
      </c>
      <c r="N581" s="32" t="str">
        <f aca="true">IF(K581=1,IF(E581="",0,TODAY()-E581)+ROW()/100000,"")</f>
        <v/>
      </c>
      <c r="O581" s="32" t="str">
        <f aca="false">IF(N581="","",RANK(N581,$N$2:$N$1000))</f>
        <v/>
      </c>
    </row>
    <row r="582" customFormat="false" ht="15" hidden="false" customHeight="false" outlineLevel="0" collapsed="false">
      <c r="A582" s="33"/>
      <c r="B582" s="33"/>
      <c r="C582" s="33"/>
      <c r="D582" s="33"/>
      <c r="E582" s="34"/>
      <c r="F582" s="34"/>
      <c r="G582" s="35" t="str">
        <f aca="true">IF(OR(E582="",J582=0),"",IF(F582&lt;&gt;"",F582-E582,TODAY()-E582))</f>
        <v/>
      </c>
      <c r="H582" s="29"/>
      <c r="I582" s="33"/>
      <c r="J582" s="32" t="n">
        <f aca="false">IF(OR(D582="",D582="Planned"),0,1)</f>
        <v>0</v>
      </c>
      <c r="K582" s="32" t="n">
        <f aca="false">IF(OR(D582="Under review",D582="Revision requested"),1,0)</f>
        <v>0</v>
      </c>
      <c r="L582" s="32" t="str">
        <f aca="false">IF(AND(J582=1,E582&lt;&gt;""),E582+ROW()/100000,"")</f>
        <v/>
      </c>
      <c r="M582" s="32" t="str">
        <f aca="false">IF(D582="Planned",ROW(),"")</f>
        <v/>
      </c>
      <c r="N582" s="32" t="str">
        <f aca="true">IF(K582=1,IF(E582="",0,TODAY()-E582)+ROW()/100000,"")</f>
        <v/>
      </c>
      <c r="O582" s="32" t="str">
        <f aca="false">IF(N582="","",RANK(N582,$N$2:$N$1000))</f>
        <v/>
      </c>
    </row>
    <row r="583" customFormat="false" ht="15" hidden="false" customHeight="false" outlineLevel="0" collapsed="false">
      <c r="A583" s="33"/>
      <c r="B583" s="33"/>
      <c r="C583" s="33"/>
      <c r="D583" s="33"/>
      <c r="E583" s="34"/>
      <c r="F583" s="34"/>
      <c r="G583" s="35" t="str">
        <f aca="true">IF(OR(E583="",J583=0),"",IF(F583&lt;&gt;"",F583-E583,TODAY()-E583))</f>
        <v/>
      </c>
      <c r="H583" s="29"/>
      <c r="I583" s="33"/>
      <c r="J583" s="32" t="n">
        <f aca="false">IF(OR(D583="",D583="Planned"),0,1)</f>
        <v>0</v>
      </c>
      <c r="K583" s="32" t="n">
        <f aca="false">IF(OR(D583="Under review",D583="Revision requested"),1,0)</f>
        <v>0</v>
      </c>
      <c r="L583" s="32" t="str">
        <f aca="false">IF(AND(J583=1,E583&lt;&gt;""),E583+ROW()/100000,"")</f>
        <v/>
      </c>
      <c r="M583" s="32" t="str">
        <f aca="false">IF(D583="Planned",ROW(),"")</f>
        <v/>
      </c>
      <c r="N583" s="32" t="str">
        <f aca="true">IF(K583=1,IF(E583="",0,TODAY()-E583)+ROW()/100000,"")</f>
        <v/>
      </c>
      <c r="O583" s="32" t="str">
        <f aca="false">IF(N583="","",RANK(N583,$N$2:$N$1000))</f>
        <v/>
      </c>
    </row>
    <row r="584" customFormat="false" ht="15" hidden="false" customHeight="false" outlineLevel="0" collapsed="false">
      <c r="A584" s="33"/>
      <c r="B584" s="33"/>
      <c r="C584" s="33"/>
      <c r="D584" s="33"/>
      <c r="E584" s="34"/>
      <c r="F584" s="34"/>
      <c r="G584" s="35" t="str">
        <f aca="true">IF(OR(E584="",J584=0),"",IF(F584&lt;&gt;"",F584-E584,TODAY()-E584))</f>
        <v/>
      </c>
      <c r="H584" s="29"/>
      <c r="I584" s="33"/>
      <c r="J584" s="32" t="n">
        <f aca="false">IF(OR(D584="",D584="Planned"),0,1)</f>
        <v>0</v>
      </c>
      <c r="K584" s="32" t="n">
        <f aca="false">IF(OR(D584="Under review",D584="Revision requested"),1,0)</f>
        <v>0</v>
      </c>
      <c r="L584" s="32" t="str">
        <f aca="false">IF(AND(J584=1,E584&lt;&gt;""),E584+ROW()/100000,"")</f>
        <v/>
      </c>
      <c r="M584" s="32" t="str">
        <f aca="false">IF(D584="Planned",ROW(),"")</f>
        <v/>
      </c>
      <c r="N584" s="32" t="str">
        <f aca="true">IF(K584=1,IF(E584="",0,TODAY()-E584)+ROW()/100000,"")</f>
        <v/>
      </c>
      <c r="O584" s="32" t="str">
        <f aca="false">IF(N584="","",RANK(N584,$N$2:$N$1000))</f>
        <v/>
      </c>
    </row>
    <row r="585" customFormat="false" ht="15" hidden="false" customHeight="false" outlineLevel="0" collapsed="false">
      <c r="A585" s="33"/>
      <c r="B585" s="33"/>
      <c r="C585" s="33"/>
      <c r="D585" s="33"/>
      <c r="E585" s="34"/>
      <c r="F585" s="34"/>
      <c r="G585" s="35" t="str">
        <f aca="true">IF(OR(E585="",J585=0),"",IF(F585&lt;&gt;"",F585-E585,TODAY()-E585))</f>
        <v/>
      </c>
      <c r="H585" s="29"/>
      <c r="I585" s="33"/>
      <c r="J585" s="32" t="n">
        <f aca="false">IF(OR(D585="",D585="Planned"),0,1)</f>
        <v>0</v>
      </c>
      <c r="K585" s="32" t="n">
        <f aca="false">IF(OR(D585="Under review",D585="Revision requested"),1,0)</f>
        <v>0</v>
      </c>
      <c r="L585" s="32" t="str">
        <f aca="false">IF(AND(J585=1,E585&lt;&gt;""),E585+ROW()/100000,"")</f>
        <v/>
      </c>
      <c r="M585" s="32" t="str">
        <f aca="false">IF(D585="Planned",ROW(),"")</f>
        <v/>
      </c>
      <c r="N585" s="32" t="str">
        <f aca="true">IF(K585=1,IF(E585="",0,TODAY()-E585)+ROW()/100000,"")</f>
        <v/>
      </c>
      <c r="O585" s="32" t="str">
        <f aca="false">IF(N585="","",RANK(N585,$N$2:$N$1000))</f>
        <v/>
      </c>
    </row>
    <row r="586" customFormat="false" ht="15" hidden="false" customHeight="false" outlineLevel="0" collapsed="false">
      <c r="A586" s="33"/>
      <c r="B586" s="33"/>
      <c r="C586" s="33"/>
      <c r="D586" s="33"/>
      <c r="E586" s="34"/>
      <c r="F586" s="34"/>
      <c r="G586" s="35" t="str">
        <f aca="true">IF(OR(E586="",J586=0),"",IF(F586&lt;&gt;"",F586-E586,TODAY()-E586))</f>
        <v/>
      </c>
      <c r="H586" s="29"/>
      <c r="I586" s="33"/>
      <c r="J586" s="32" t="n">
        <f aca="false">IF(OR(D586="",D586="Planned"),0,1)</f>
        <v>0</v>
      </c>
      <c r="K586" s="32" t="n">
        <f aca="false">IF(OR(D586="Under review",D586="Revision requested"),1,0)</f>
        <v>0</v>
      </c>
      <c r="L586" s="32" t="str">
        <f aca="false">IF(AND(J586=1,E586&lt;&gt;""),E586+ROW()/100000,"")</f>
        <v/>
      </c>
      <c r="M586" s="32" t="str">
        <f aca="false">IF(D586="Planned",ROW(),"")</f>
        <v/>
      </c>
      <c r="N586" s="32" t="str">
        <f aca="true">IF(K586=1,IF(E586="",0,TODAY()-E586)+ROW()/100000,"")</f>
        <v/>
      </c>
      <c r="O586" s="32" t="str">
        <f aca="false">IF(N586="","",RANK(N586,$N$2:$N$1000))</f>
        <v/>
      </c>
    </row>
    <row r="587" customFormat="false" ht="15" hidden="false" customHeight="false" outlineLevel="0" collapsed="false">
      <c r="A587" s="33"/>
      <c r="B587" s="33"/>
      <c r="C587" s="33"/>
      <c r="D587" s="33"/>
      <c r="E587" s="34"/>
      <c r="F587" s="34"/>
      <c r="G587" s="35" t="str">
        <f aca="true">IF(OR(E587="",J587=0),"",IF(F587&lt;&gt;"",F587-E587,TODAY()-E587))</f>
        <v/>
      </c>
      <c r="H587" s="29"/>
      <c r="I587" s="33"/>
      <c r="J587" s="32" t="n">
        <f aca="false">IF(OR(D587="",D587="Planned"),0,1)</f>
        <v>0</v>
      </c>
      <c r="K587" s="32" t="n">
        <f aca="false">IF(OR(D587="Under review",D587="Revision requested"),1,0)</f>
        <v>0</v>
      </c>
      <c r="L587" s="32" t="str">
        <f aca="false">IF(AND(J587=1,E587&lt;&gt;""),E587+ROW()/100000,"")</f>
        <v/>
      </c>
      <c r="M587" s="32" t="str">
        <f aca="false">IF(D587="Planned",ROW(),"")</f>
        <v/>
      </c>
      <c r="N587" s="32" t="str">
        <f aca="true">IF(K587=1,IF(E587="",0,TODAY()-E587)+ROW()/100000,"")</f>
        <v/>
      </c>
      <c r="O587" s="32" t="str">
        <f aca="false">IF(N587="","",RANK(N587,$N$2:$N$1000))</f>
        <v/>
      </c>
    </row>
    <row r="588" customFormat="false" ht="15" hidden="false" customHeight="false" outlineLevel="0" collapsed="false">
      <c r="A588" s="33"/>
      <c r="B588" s="33"/>
      <c r="C588" s="33"/>
      <c r="D588" s="33"/>
      <c r="E588" s="34"/>
      <c r="F588" s="34"/>
      <c r="G588" s="35" t="str">
        <f aca="true">IF(OR(E588="",J588=0),"",IF(F588&lt;&gt;"",F588-E588,TODAY()-E588))</f>
        <v/>
      </c>
      <c r="H588" s="29"/>
      <c r="I588" s="33"/>
      <c r="J588" s="32" t="n">
        <f aca="false">IF(OR(D588="",D588="Planned"),0,1)</f>
        <v>0</v>
      </c>
      <c r="K588" s="32" t="n">
        <f aca="false">IF(OR(D588="Under review",D588="Revision requested"),1,0)</f>
        <v>0</v>
      </c>
      <c r="L588" s="32" t="str">
        <f aca="false">IF(AND(J588=1,E588&lt;&gt;""),E588+ROW()/100000,"")</f>
        <v/>
      </c>
      <c r="M588" s="32" t="str">
        <f aca="false">IF(D588="Planned",ROW(),"")</f>
        <v/>
      </c>
      <c r="N588" s="32" t="str">
        <f aca="true">IF(K588=1,IF(E588="",0,TODAY()-E588)+ROW()/100000,"")</f>
        <v/>
      </c>
      <c r="O588" s="32" t="str">
        <f aca="false">IF(N588="","",RANK(N588,$N$2:$N$1000))</f>
        <v/>
      </c>
    </row>
    <row r="589" customFormat="false" ht="15" hidden="false" customHeight="false" outlineLevel="0" collapsed="false">
      <c r="A589" s="33"/>
      <c r="B589" s="33"/>
      <c r="C589" s="33"/>
      <c r="D589" s="33"/>
      <c r="E589" s="34"/>
      <c r="F589" s="34"/>
      <c r="G589" s="35" t="str">
        <f aca="true">IF(OR(E589="",J589=0),"",IF(F589&lt;&gt;"",F589-E589,TODAY()-E589))</f>
        <v/>
      </c>
      <c r="H589" s="29"/>
      <c r="I589" s="33"/>
      <c r="J589" s="32" t="n">
        <f aca="false">IF(OR(D589="",D589="Planned"),0,1)</f>
        <v>0</v>
      </c>
      <c r="K589" s="32" t="n">
        <f aca="false">IF(OR(D589="Under review",D589="Revision requested"),1,0)</f>
        <v>0</v>
      </c>
      <c r="L589" s="32" t="str">
        <f aca="false">IF(AND(J589=1,E589&lt;&gt;""),E589+ROW()/100000,"")</f>
        <v/>
      </c>
      <c r="M589" s="32" t="str">
        <f aca="false">IF(D589="Planned",ROW(),"")</f>
        <v/>
      </c>
      <c r="N589" s="32" t="str">
        <f aca="true">IF(K589=1,IF(E589="",0,TODAY()-E589)+ROW()/100000,"")</f>
        <v/>
      </c>
      <c r="O589" s="32" t="str">
        <f aca="false">IF(N589="","",RANK(N589,$N$2:$N$1000))</f>
        <v/>
      </c>
    </row>
    <row r="590" customFormat="false" ht="15" hidden="false" customHeight="false" outlineLevel="0" collapsed="false">
      <c r="A590" s="33"/>
      <c r="B590" s="33"/>
      <c r="C590" s="33"/>
      <c r="D590" s="33"/>
      <c r="E590" s="34"/>
      <c r="F590" s="34"/>
      <c r="G590" s="35" t="str">
        <f aca="true">IF(OR(E590="",J590=0),"",IF(F590&lt;&gt;"",F590-E590,TODAY()-E590))</f>
        <v/>
      </c>
      <c r="H590" s="29"/>
      <c r="I590" s="33"/>
      <c r="J590" s="32" t="n">
        <f aca="false">IF(OR(D590="",D590="Planned"),0,1)</f>
        <v>0</v>
      </c>
      <c r="K590" s="32" t="n">
        <f aca="false">IF(OR(D590="Under review",D590="Revision requested"),1,0)</f>
        <v>0</v>
      </c>
      <c r="L590" s="32" t="str">
        <f aca="false">IF(AND(J590=1,E590&lt;&gt;""),E590+ROW()/100000,"")</f>
        <v/>
      </c>
      <c r="M590" s="32" t="str">
        <f aca="false">IF(D590="Planned",ROW(),"")</f>
        <v/>
      </c>
      <c r="N590" s="32" t="str">
        <f aca="true">IF(K590=1,IF(E590="",0,TODAY()-E590)+ROW()/100000,"")</f>
        <v/>
      </c>
      <c r="O590" s="32" t="str">
        <f aca="false">IF(N590="","",RANK(N590,$N$2:$N$1000))</f>
        <v/>
      </c>
    </row>
    <row r="591" customFormat="false" ht="15" hidden="false" customHeight="false" outlineLevel="0" collapsed="false">
      <c r="A591" s="33"/>
      <c r="B591" s="33"/>
      <c r="C591" s="33"/>
      <c r="D591" s="33"/>
      <c r="E591" s="34"/>
      <c r="F591" s="34"/>
      <c r="G591" s="35" t="str">
        <f aca="true">IF(OR(E591="",J591=0),"",IF(F591&lt;&gt;"",F591-E591,TODAY()-E591))</f>
        <v/>
      </c>
      <c r="H591" s="29"/>
      <c r="I591" s="33"/>
      <c r="J591" s="32" t="n">
        <f aca="false">IF(OR(D591="",D591="Planned"),0,1)</f>
        <v>0</v>
      </c>
      <c r="K591" s="32" t="n">
        <f aca="false">IF(OR(D591="Under review",D591="Revision requested"),1,0)</f>
        <v>0</v>
      </c>
      <c r="L591" s="32" t="str">
        <f aca="false">IF(AND(J591=1,E591&lt;&gt;""),E591+ROW()/100000,"")</f>
        <v/>
      </c>
      <c r="M591" s="32" t="str">
        <f aca="false">IF(D591="Planned",ROW(),"")</f>
        <v/>
      </c>
      <c r="N591" s="32" t="str">
        <f aca="true">IF(K591=1,IF(E591="",0,TODAY()-E591)+ROW()/100000,"")</f>
        <v/>
      </c>
      <c r="O591" s="32" t="str">
        <f aca="false">IF(N591="","",RANK(N591,$N$2:$N$1000))</f>
        <v/>
      </c>
    </row>
    <row r="592" customFormat="false" ht="15" hidden="false" customHeight="false" outlineLevel="0" collapsed="false">
      <c r="A592" s="33"/>
      <c r="B592" s="33"/>
      <c r="C592" s="33"/>
      <c r="D592" s="33"/>
      <c r="E592" s="34"/>
      <c r="F592" s="34"/>
      <c r="G592" s="35" t="str">
        <f aca="true">IF(OR(E592="",J592=0),"",IF(F592&lt;&gt;"",F592-E592,TODAY()-E592))</f>
        <v/>
      </c>
      <c r="H592" s="29"/>
      <c r="I592" s="33"/>
      <c r="J592" s="32" t="n">
        <f aca="false">IF(OR(D592="",D592="Planned"),0,1)</f>
        <v>0</v>
      </c>
      <c r="K592" s="32" t="n">
        <f aca="false">IF(OR(D592="Under review",D592="Revision requested"),1,0)</f>
        <v>0</v>
      </c>
      <c r="L592" s="32" t="str">
        <f aca="false">IF(AND(J592=1,E592&lt;&gt;""),E592+ROW()/100000,"")</f>
        <v/>
      </c>
      <c r="M592" s="32" t="str">
        <f aca="false">IF(D592="Planned",ROW(),"")</f>
        <v/>
      </c>
      <c r="N592" s="32" t="str">
        <f aca="true">IF(K592=1,IF(E592="",0,TODAY()-E592)+ROW()/100000,"")</f>
        <v/>
      </c>
      <c r="O592" s="32" t="str">
        <f aca="false">IF(N592="","",RANK(N592,$N$2:$N$1000))</f>
        <v/>
      </c>
    </row>
    <row r="593" customFormat="false" ht="15" hidden="false" customHeight="false" outlineLevel="0" collapsed="false">
      <c r="A593" s="33"/>
      <c r="B593" s="33"/>
      <c r="C593" s="33"/>
      <c r="D593" s="33"/>
      <c r="E593" s="34"/>
      <c r="F593" s="34"/>
      <c r="G593" s="35" t="str">
        <f aca="true">IF(OR(E593="",J593=0),"",IF(F593&lt;&gt;"",F593-E593,TODAY()-E593))</f>
        <v/>
      </c>
      <c r="H593" s="29"/>
      <c r="I593" s="33"/>
      <c r="J593" s="32" t="n">
        <f aca="false">IF(OR(D593="",D593="Planned"),0,1)</f>
        <v>0</v>
      </c>
      <c r="K593" s="32" t="n">
        <f aca="false">IF(OR(D593="Under review",D593="Revision requested"),1,0)</f>
        <v>0</v>
      </c>
      <c r="L593" s="32" t="str">
        <f aca="false">IF(AND(J593=1,E593&lt;&gt;""),E593+ROW()/100000,"")</f>
        <v/>
      </c>
      <c r="M593" s="32" t="str">
        <f aca="false">IF(D593="Planned",ROW(),"")</f>
        <v/>
      </c>
      <c r="N593" s="32" t="str">
        <f aca="true">IF(K593=1,IF(E593="",0,TODAY()-E593)+ROW()/100000,"")</f>
        <v/>
      </c>
      <c r="O593" s="32" t="str">
        <f aca="false">IF(N593="","",RANK(N593,$N$2:$N$1000))</f>
        <v/>
      </c>
    </row>
    <row r="594" customFormat="false" ht="15" hidden="false" customHeight="false" outlineLevel="0" collapsed="false">
      <c r="A594" s="33"/>
      <c r="B594" s="33"/>
      <c r="C594" s="33"/>
      <c r="D594" s="33"/>
      <c r="E594" s="34"/>
      <c r="F594" s="34"/>
      <c r="G594" s="35" t="str">
        <f aca="true">IF(OR(E594="",J594=0),"",IF(F594&lt;&gt;"",F594-E594,TODAY()-E594))</f>
        <v/>
      </c>
      <c r="H594" s="29"/>
      <c r="I594" s="33"/>
      <c r="J594" s="32" t="n">
        <f aca="false">IF(OR(D594="",D594="Planned"),0,1)</f>
        <v>0</v>
      </c>
      <c r="K594" s="32" t="n">
        <f aca="false">IF(OR(D594="Under review",D594="Revision requested"),1,0)</f>
        <v>0</v>
      </c>
      <c r="L594" s="32" t="str">
        <f aca="false">IF(AND(J594=1,E594&lt;&gt;""),E594+ROW()/100000,"")</f>
        <v/>
      </c>
      <c r="M594" s="32" t="str">
        <f aca="false">IF(D594="Planned",ROW(),"")</f>
        <v/>
      </c>
      <c r="N594" s="32" t="str">
        <f aca="true">IF(K594=1,IF(E594="",0,TODAY()-E594)+ROW()/100000,"")</f>
        <v/>
      </c>
      <c r="O594" s="32" t="str">
        <f aca="false">IF(N594="","",RANK(N594,$N$2:$N$1000))</f>
        <v/>
      </c>
    </row>
    <row r="595" customFormat="false" ht="15" hidden="false" customHeight="false" outlineLevel="0" collapsed="false">
      <c r="A595" s="33"/>
      <c r="B595" s="33"/>
      <c r="C595" s="33"/>
      <c r="D595" s="33"/>
      <c r="E595" s="34"/>
      <c r="F595" s="34"/>
      <c r="G595" s="35" t="str">
        <f aca="true">IF(OR(E595="",J595=0),"",IF(F595&lt;&gt;"",F595-E595,TODAY()-E595))</f>
        <v/>
      </c>
      <c r="H595" s="29"/>
      <c r="I595" s="33"/>
      <c r="J595" s="32" t="n">
        <f aca="false">IF(OR(D595="",D595="Planned"),0,1)</f>
        <v>0</v>
      </c>
      <c r="K595" s="32" t="n">
        <f aca="false">IF(OR(D595="Under review",D595="Revision requested"),1,0)</f>
        <v>0</v>
      </c>
      <c r="L595" s="32" t="str">
        <f aca="false">IF(AND(J595=1,E595&lt;&gt;""),E595+ROW()/100000,"")</f>
        <v/>
      </c>
      <c r="M595" s="32" t="str">
        <f aca="false">IF(D595="Planned",ROW(),"")</f>
        <v/>
      </c>
      <c r="N595" s="32" t="str">
        <f aca="true">IF(K595=1,IF(E595="",0,TODAY()-E595)+ROW()/100000,"")</f>
        <v/>
      </c>
      <c r="O595" s="32" t="str">
        <f aca="false">IF(N595="","",RANK(N595,$N$2:$N$1000))</f>
        <v/>
      </c>
    </row>
    <row r="596" customFormat="false" ht="15" hidden="false" customHeight="false" outlineLevel="0" collapsed="false">
      <c r="A596" s="33"/>
      <c r="B596" s="33"/>
      <c r="C596" s="33"/>
      <c r="D596" s="33"/>
      <c r="E596" s="34"/>
      <c r="F596" s="34"/>
      <c r="G596" s="35" t="str">
        <f aca="true">IF(OR(E596="",J596=0),"",IF(F596&lt;&gt;"",F596-E596,TODAY()-E596))</f>
        <v/>
      </c>
      <c r="H596" s="29"/>
      <c r="I596" s="33"/>
      <c r="J596" s="32" t="n">
        <f aca="false">IF(OR(D596="",D596="Planned"),0,1)</f>
        <v>0</v>
      </c>
      <c r="K596" s="32" t="n">
        <f aca="false">IF(OR(D596="Under review",D596="Revision requested"),1,0)</f>
        <v>0</v>
      </c>
      <c r="L596" s="32" t="str">
        <f aca="false">IF(AND(J596=1,E596&lt;&gt;""),E596+ROW()/100000,"")</f>
        <v/>
      </c>
      <c r="M596" s="32" t="str">
        <f aca="false">IF(D596="Planned",ROW(),"")</f>
        <v/>
      </c>
      <c r="N596" s="32" t="str">
        <f aca="true">IF(K596=1,IF(E596="",0,TODAY()-E596)+ROW()/100000,"")</f>
        <v/>
      </c>
      <c r="O596" s="32" t="str">
        <f aca="false">IF(N596="","",RANK(N596,$N$2:$N$1000))</f>
        <v/>
      </c>
    </row>
    <row r="597" customFormat="false" ht="15" hidden="false" customHeight="false" outlineLevel="0" collapsed="false">
      <c r="A597" s="33"/>
      <c r="B597" s="33"/>
      <c r="C597" s="33"/>
      <c r="D597" s="33"/>
      <c r="E597" s="34"/>
      <c r="F597" s="34"/>
      <c r="G597" s="35" t="str">
        <f aca="true">IF(OR(E597="",J597=0),"",IF(F597&lt;&gt;"",F597-E597,TODAY()-E597))</f>
        <v/>
      </c>
      <c r="H597" s="29"/>
      <c r="I597" s="33"/>
      <c r="J597" s="32" t="n">
        <f aca="false">IF(OR(D597="",D597="Planned"),0,1)</f>
        <v>0</v>
      </c>
      <c r="K597" s="32" t="n">
        <f aca="false">IF(OR(D597="Under review",D597="Revision requested"),1,0)</f>
        <v>0</v>
      </c>
      <c r="L597" s="32" t="str">
        <f aca="false">IF(AND(J597=1,E597&lt;&gt;""),E597+ROW()/100000,"")</f>
        <v/>
      </c>
      <c r="M597" s="32" t="str">
        <f aca="false">IF(D597="Planned",ROW(),"")</f>
        <v/>
      </c>
      <c r="N597" s="32" t="str">
        <f aca="true">IF(K597=1,IF(E597="",0,TODAY()-E597)+ROW()/100000,"")</f>
        <v/>
      </c>
      <c r="O597" s="32" t="str">
        <f aca="false">IF(N597="","",RANK(N597,$N$2:$N$1000))</f>
        <v/>
      </c>
    </row>
    <row r="598" customFormat="false" ht="15" hidden="false" customHeight="false" outlineLevel="0" collapsed="false">
      <c r="A598" s="33"/>
      <c r="B598" s="33"/>
      <c r="C598" s="33"/>
      <c r="D598" s="33"/>
      <c r="E598" s="34"/>
      <c r="F598" s="34"/>
      <c r="G598" s="35" t="str">
        <f aca="true">IF(OR(E598="",J598=0),"",IF(F598&lt;&gt;"",F598-E598,TODAY()-E598))</f>
        <v/>
      </c>
      <c r="H598" s="29"/>
      <c r="I598" s="33"/>
      <c r="J598" s="32" t="n">
        <f aca="false">IF(OR(D598="",D598="Planned"),0,1)</f>
        <v>0</v>
      </c>
      <c r="K598" s="32" t="n">
        <f aca="false">IF(OR(D598="Under review",D598="Revision requested"),1,0)</f>
        <v>0</v>
      </c>
      <c r="L598" s="32" t="str">
        <f aca="false">IF(AND(J598=1,E598&lt;&gt;""),E598+ROW()/100000,"")</f>
        <v/>
      </c>
      <c r="M598" s="32" t="str">
        <f aca="false">IF(D598="Planned",ROW(),"")</f>
        <v/>
      </c>
      <c r="N598" s="32" t="str">
        <f aca="true">IF(K598=1,IF(E598="",0,TODAY()-E598)+ROW()/100000,"")</f>
        <v/>
      </c>
      <c r="O598" s="32" t="str">
        <f aca="false">IF(N598="","",RANK(N598,$N$2:$N$1000))</f>
        <v/>
      </c>
    </row>
    <row r="599" customFormat="false" ht="15" hidden="false" customHeight="false" outlineLevel="0" collapsed="false">
      <c r="A599" s="33"/>
      <c r="B599" s="33"/>
      <c r="C599" s="33"/>
      <c r="D599" s="33"/>
      <c r="E599" s="34"/>
      <c r="F599" s="34"/>
      <c r="G599" s="35" t="str">
        <f aca="true">IF(OR(E599="",J599=0),"",IF(F599&lt;&gt;"",F599-E599,TODAY()-E599))</f>
        <v/>
      </c>
      <c r="H599" s="29"/>
      <c r="I599" s="33"/>
      <c r="J599" s="32" t="n">
        <f aca="false">IF(OR(D599="",D599="Planned"),0,1)</f>
        <v>0</v>
      </c>
      <c r="K599" s="32" t="n">
        <f aca="false">IF(OR(D599="Under review",D599="Revision requested"),1,0)</f>
        <v>0</v>
      </c>
      <c r="L599" s="32" t="str">
        <f aca="false">IF(AND(J599=1,E599&lt;&gt;""),E599+ROW()/100000,"")</f>
        <v/>
      </c>
      <c r="M599" s="32" t="str">
        <f aca="false">IF(D599="Planned",ROW(),"")</f>
        <v/>
      </c>
      <c r="N599" s="32" t="str">
        <f aca="true">IF(K599=1,IF(E599="",0,TODAY()-E599)+ROW()/100000,"")</f>
        <v/>
      </c>
      <c r="O599" s="32" t="str">
        <f aca="false">IF(N599="","",RANK(N599,$N$2:$N$1000))</f>
        <v/>
      </c>
    </row>
    <row r="600" customFormat="false" ht="15" hidden="false" customHeight="false" outlineLevel="0" collapsed="false">
      <c r="A600" s="33"/>
      <c r="B600" s="33"/>
      <c r="C600" s="33"/>
      <c r="D600" s="33"/>
      <c r="E600" s="34"/>
      <c r="F600" s="34"/>
      <c r="G600" s="35" t="str">
        <f aca="true">IF(OR(E600="",J600=0),"",IF(F600&lt;&gt;"",F600-E600,TODAY()-E600))</f>
        <v/>
      </c>
      <c r="H600" s="29"/>
      <c r="I600" s="33"/>
      <c r="J600" s="32" t="n">
        <f aca="false">IF(OR(D600="",D600="Planned"),0,1)</f>
        <v>0</v>
      </c>
      <c r="K600" s="32" t="n">
        <f aca="false">IF(OR(D600="Under review",D600="Revision requested"),1,0)</f>
        <v>0</v>
      </c>
      <c r="L600" s="32" t="str">
        <f aca="false">IF(AND(J600=1,E600&lt;&gt;""),E600+ROW()/100000,"")</f>
        <v/>
      </c>
      <c r="M600" s="32" t="str">
        <f aca="false">IF(D600="Planned",ROW(),"")</f>
        <v/>
      </c>
      <c r="N600" s="32" t="str">
        <f aca="true">IF(K600=1,IF(E600="",0,TODAY()-E600)+ROW()/100000,"")</f>
        <v/>
      </c>
      <c r="O600" s="32" t="str">
        <f aca="false">IF(N600="","",RANK(N600,$N$2:$N$1000))</f>
        <v/>
      </c>
    </row>
    <row r="601" customFormat="false" ht="15" hidden="false" customHeight="false" outlineLevel="0" collapsed="false">
      <c r="A601" s="33"/>
      <c r="B601" s="33"/>
      <c r="C601" s="33"/>
      <c r="D601" s="33"/>
      <c r="E601" s="34"/>
      <c r="F601" s="34"/>
      <c r="G601" s="35" t="str">
        <f aca="true">IF(OR(E601="",J601=0),"",IF(F601&lt;&gt;"",F601-E601,TODAY()-E601))</f>
        <v/>
      </c>
      <c r="H601" s="29"/>
      <c r="I601" s="33"/>
      <c r="J601" s="32" t="n">
        <f aca="false">IF(OR(D601="",D601="Planned"),0,1)</f>
        <v>0</v>
      </c>
      <c r="K601" s="32" t="n">
        <f aca="false">IF(OR(D601="Under review",D601="Revision requested"),1,0)</f>
        <v>0</v>
      </c>
      <c r="L601" s="32" t="str">
        <f aca="false">IF(AND(J601=1,E601&lt;&gt;""),E601+ROW()/100000,"")</f>
        <v/>
      </c>
      <c r="M601" s="32" t="str">
        <f aca="false">IF(D601="Planned",ROW(),"")</f>
        <v/>
      </c>
      <c r="N601" s="32" t="str">
        <f aca="true">IF(K601=1,IF(E601="",0,TODAY()-E601)+ROW()/100000,"")</f>
        <v/>
      </c>
      <c r="O601" s="32" t="str">
        <f aca="false">IF(N601="","",RANK(N601,$N$2:$N$1000))</f>
        <v/>
      </c>
    </row>
    <row r="602" customFormat="false" ht="15" hidden="false" customHeight="false" outlineLevel="0" collapsed="false">
      <c r="A602" s="33"/>
      <c r="B602" s="33"/>
      <c r="C602" s="33"/>
      <c r="D602" s="33"/>
      <c r="E602" s="34"/>
      <c r="F602" s="34"/>
      <c r="G602" s="35" t="str">
        <f aca="true">IF(OR(E602="",J602=0),"",IF(F602&lt;&gt;"",F602-E602,TODAY()-E602))</f>
        <v/>
      </c>
      <c r="H602" s="29"/>
      <c r="I602" s="33"/>
      <c r="J602" s="32" t="n">
        <f aca="false">IF(OR(D602="",D602="Planned"),0,1)</f>
        <v>0</v>
      </c>
      <c r="K602" s="32" t="n">
        <f aca="false">IF(OR(D602="Under review",D602="Revision requested"),1,0)</f>
        <v>0</v>
      </c>
      <c r="L602" s="32" t="str">
        <f aca="false">IF(AND(J602=1,E602&lt;&gt;""),E602+ROW()/100000,"")</f>
        <v/>
      </c>
      <c r="M602" s="32" t="str">
        <f aca="false">IF(D602="Planned",ROW(),"")</f>
        <v/>
      </c>
      <c r="N602" s="32" t="str">
        <f aca="true">IF(K602=1,IF(E602="",0,TODAY()-E602)+ROW()/100000,"")</f>
        <v/>
      </c>
      <c r="O602" s="32" t="str">
        <f aca="false">IF(N602="","",RANK(N602,$N$2:$N$1000))</f>
        <v/>
      </c>
    </row>
    <row r="603" customFormat="false" ht="15" hidden="false" customHeight="false" outlineLevel="0" collapsed="false">
      <c r="A603" s="33"/>
      <c r="B603" s="33"/>
      <c r="C603" s="33"/>
      <c r="D603" s="33"/>
      <c r="E603" s="34"/>
      <c r="F603" s="34"/>
      <c r="G603" s="35" t="str">
        <f aca="true">IF(OR(E603="",J603=0),"",IF(F603&lt;&gt;"",F603-E603,TODAY()-E603))</f>
        <v/>
      </c>
      <c r="H603" s="29"/>
      <c r="I603" s="33"/>
      <c r="J603" s="32" t="n">
        <f aca="false">IF(OR(D603="",D603="Planned"),0,1)</f>
        <v>0</v>
      </c>
      <c r="K603" s="32" t="n">
        <f aca="false">IF(OR(D603="Under review",D603="Revision requested"),1,0)</f>
        <v>0</v>
      </c>
      <c r="L603" s="32" t="str">
        <f aca="false">IF(AND(J603=1,E603&lt;&gt;""),E603+ROW()/100000,"")</f>
        <v/>
      </c>
      <c r="M603" s="32" t="str">
        <f aca="false">IF(D603="Planned",ROW(),"")</f>
        <v/>
      </c>
      <c r="N603" s="32" t="str">
        <f aca="true">IF(K603=1,IF(E603="",0,TODAY()-E603)+ROW()/100000,"")</f>
        <v/>
      </c>
      <c r="O603" s="32" t="str">
        <f aca="false">IF(N603="","",RANK(N603,$N$2:$N$1000))</f>
        <v/>
      </c>
    </row>
    <row r="604" customFormat="false" ht="15" hidden="false" customHeight="false" outlineLevel="0" collapsed="false">
      <c r="A604" s="33"/>
      <c r="B604" s="33"/>
      <c r="C604" s="33"/>
      <c r="D604" s="33"/>
      <c r="E604" s="34"/>
      <c r="F604" s="34"/>
      <c r="G604" s="35" t="str">
        <f aca="true">IF(OR(E604="",J604=0),"",IF(F604&lt;&gt;"",F604-E604,TODAY()-E604))</f>
        <v/>
      </c>
      <c r="H604" s="29"/>
      <c r="I604" s="33"/>
      <c r="J604" s="32" t="n">
        <f aca="false">IF(OR(D604="",D604="Planned"),0,1)</f>
        <v>0</v>
      </c>
      <c r="K604" s="32" t="n">
        <f aca="false">IF(OR(D604="Under review",D604="Revision requested"),1,0)</f>
        <v>0</v>
      </c>
      <c r="L604" s="32" t="str">
        <f aca="false">IF(AND(J604=1,E604&lt;&gt;""),E604+ROW()/100000,"")</f>
        <v/>
      </c>
      <c r="M604" s="32" t="str">
        <f aca="false">IF(D604="Planned",ROW(),"")</f>
        <v/>
      </c>
      <c r="N604" s="32" t="str">
        <f aca="true">IF(K604=1,IF(E604="",0,TODAY()-E604)+ROW()/100000,"")</f>
        <v/>
      </c>
      <c r="O604" s="32" t="str">
        <f aca="false">IF(N604="","",RANK(N604,$N$2:$N$1000))</f>
        <v/>
      </c>
    </row>
    <row r="605" customFormat="false" ht="15" hidden="false" customHeight="false" outlineLevel="0" collapsed="false">
      <c r="A605" s="33"/>
      <c r="B605" s="33"/>
      <c r="C605" s="33"/>
      <c r="D605" s="33"/>
      <c r="E605" s="34"/>
      <c r="F605" s="34"/>
      <c r="G605" s="35" t="str">
        <f aca="true">IF(OR(E605="",J605=0),"",IF(F605&lt;&gt;"",F605-E605,TODAY()-E605))</f>
        <v/>
      </c>
      <c r="H605" s="29"/>
      <c r="I605" s="33"/>
      <c r="J605" s="32" t="n">
        <f aca="false">IF(OR(D605="",D605="Planned"),0,1)</f>
        <v>0</v>
      </c>
      <c r="K605" s="32" t="n">
        <f aca="false">IF(OR(D605="Under review",D605="Revision requested"),1,0)</f>
        <v>0</v>
      </c>
      <c r="L605" s="32" t="str">
        <f aca="false">IF(AND(J605=1,E605&lt;&gt;""),E605+ROW()/100000,"")</f>
        <v/>
      </c>
      <c r="M605" s="32" t="str">
        <f aca="false">IF(D605="Planned",ROW(),"")</f>
        <v/>
      </c>
      <c r="N605" s="32" t="str">
        <f aca="true">IF(K605=1,IF(E605="",0,TODAY()-E605)+ROW()/100000,"")</f>
        <v/>
      </c>
      <c r="O605" s="32" t="str">
        <f aca="false">IF(N605="","",RANK(N605,$N$2:$N$1000))</f>
        <v/>
      </c>
    </row>
    <row r="606" customFormat="false" ht="15" hidden="false" customHeight="false" outlineLevel="0" collapsed="false">
      <c r="A606" s="33"/>
      <c r="B606" s="33"/>
      <c r="C606" s="33"/>
      <c r="D606" s="33"/>
      <c r="E606" s="34"/>
      <c r="F606" s="34"/>
      <c r="G606" s="35" t="str">
        <f aca="true">IF(OR(E606="",J606=0),"",IF(F606&lt;&gt;"",F606-E606,TODAY()-E606))</f>
        <v/>
      </c>
      <c r="H606" s="29"/>
      <c r="I606" s="33"/>
      <c r="J606" s="32" t="n">
        <f aca="false">IF(OR(D606="",D606="Planned"),0,1)</f>
        <v>0</v>
      </c>
      <c r="K606" s="32" t="n">
        <f aca="false">IF(OR(D606="Under review",D606="Revision requested"),1,0)</f>
        <v>0</v>
      </c>
      <c r="L606" s="32" t="str">
        <f aca="false">IF(AND(J606=1,E606&lt;&gt;""),E606+ROW()/100000,"")</f>
        <v/>
      </c>
      <c r="M606" s="32" t="str">
        <f aca="false">IF(D606="Planned",ROW(),"")</f>
        <v/>
      </c>
      <c r="N606" s="32" t="str">
        <f aca="true">IF(K606=1,IF(E606="",0,TODAY()-E606)+ROW()/100000,"")</f>
        <v/>
      </c>
      <c r="O606" s="32" t="str">
        <f aca="false">IF(N606="","",RANK(N606,$N$2:$N$1000))</f>
        <v/>
      </c>
    </row>
    <row r="607" customFormat="false" ht="15" hidden="false" customHeight="false" outlineLevel="0" collapsed="false">
      <c r="A607" s="33"/>
      <c r="B607" s="33"/>
      <c r="C607" s="33"/>
      <c r="D607" s="33"/>
      <c r="E607" s="34"/>
      <c r="F607" s="34"/>
      <c r="G607" s="35" t="str">
        <f aca="true">IF(OR(E607="",J607=0),"",IF(F607&lt;&gt;"",F607-E607,TODAY()-E607))</f>
        <v/>
      </c>
      <c r="H607" s="29"/>
      <c r="I607" s="33"/>
      <c r="J607" s="32" t="n">
        <f aca="false">IF(OR(D607="",D607="Planned"),0,1)</f>
        <v>0</v>
      </c>
      <c r="K607" s="32" t="n">
        <f aca="false">IF(OR(D607="Under review",D607="Revision requested"),1,0)</f>
        <v>0</v>
      </c>
      <c r="L607" s="32" t="str">
        <f aca="false">IF(AND(J607=1,E607&lt;&gt;""),E607+ROW()/100000,"")</f>
        <v/>
      </c>
      <c r="M607" s="32" t="str">
        <f aca="false">IF(D607="Planned",ROW(),"")</f>
        <v/>
      </c>
      <c r="N607" s="32" t="str">
        <f aca="true">IF(K607=1,IF(E607="",0,TODAY()-E607)+ROW()/100000,"")</f>
        <v/>
      </c>
      <c r="O607" s="32" t="str">
        <f aca="false">IF(N607="","",RANK(N607,$N$2:$N$1000))</f>
        <v/>
      </c>
    </row>
    <row r="608" customFormat="false" ht="15" hidden="false" customHeight="false" outlineLevel="0" collapsed="false">
      <c r="A608" s="33"/>
      <c r="B608" s="33"/>
      <c r="C608" s="33"/>
      <c r="D608" s="33"/>
      <c r="E608" s="34"/>
      <c r="F608" s="34"/>
      <c r="G608" s="35" t="str">
        <f aca="true">IF(OR(E608="",J608=0),"",IF(F608&lt;&gt;"",F608-E608,TODAY()-E608))</f>
        <v/>
      </c>
      <c r="H608" s="29"/>
      <c r="I608" s="33"/>
      <c r="J608" s="32" t="n">
        <f aca="false">IF(OR(D608="",D608="Planned"),0,1)</f>
        <v>0</v>
      </c>
      <c r="K608" s="32" t="n">
        <f aca="false">IF(OR(D608="Under review",D608="Revision requested"),1,0)</f>
        <v>0</v>
      </c>
      <c r="L608" s="32" t="str">
        <f aca="false">IF(AND(J608=1,E608&lt;&gt;""),E608+ROW()/100000,"")</f>
        <v/>
      </c>
      <c r="M608" s="32" t="str">
        <f aca="false">IF(D608="Planned",ROW(),"")</f>
        <v/>
      </c>
      <c r="N608" s="32" t="str">
        <f aca="true">IF(K608=1,IF(E608="",0,TODAY()-E608)+ROW()/100000,"")</f>
        <v/>
      </c>
      <c r="O608" s="32" t="str">
        <f aca="false">IF(N608="","",RANK(N608,$N$2:$N$1000))</f>
        <v/>
      </c>
    </row>
    <row r="609" customFormat="false" ht="15" hidden="false" customHeight="false" outlineLevel="0" collapsed="false">
      <c r="A609" s="33"/>
      <c r="B609" s="33"/>
      <c r="C609" s="33"/>
      <c r="D609" s="33"/>
      <c r="E609" s="34"/>
      <c r="F609" s="34"/>
      <c r="G609" s="35" t="str">
        <f aca="true">IF(OR(E609="",J609=0),"",IF(F609&lt;&gt;"",F609-E609,TODAY()-E609))</f>
        <v/>
      </c>
      <c r="H609" s="29"/>
      <c r="I609" s="33"/>
      <c r="J609" s="32" t="n">
        <f aca="false">IF(OR(D609="",D609="Planned"),0,1)</f>
        <v>0</v>
      </c>
      <c r="K609" s="32" t="n">
        <f aca="false">IF(OR(D609="Under review",D609="Revision requested"),1,0)</f>
        <v>0</v>
      </c>
      <c r="L609" s="32" t="str">
        <f aca="false">IF(AND(J609=1,E609&lt;&gt;""),E609+ROW()/100000,"")</f>
        <v/>
      </c>
      <c r="M609" s="32" t="str">
        <f aca="false">IF(D609="Planned",ROW(),"")</f>
        <v/>
      </c>
      <c r="N609" s="32" t="str">
        <f aca="true">IF(K609=1,IF(E609="",0,TODAY()-E609)+ROW()/100000,"")</f>
        <v/>
      </c>
      <c r="O609" s="32" t="str">
        <f aca="false">IF(N609="","",RANK(N609,$N$2:$N$1000))</f>
        <v/>
      </c>
    </row>
    <row r="610" customFormat="false" ht="15" hidden="false" customHeight="false" outlineLevel="0" collapsed="false">
      <c r="A610" s="33"/>
      <c r="B610" s="33"/>
      <c r="C610" s="33"/>
      <c r="D610" s="33"/>
      <c r="E610" s="34"/>
      <c r="F610" s="34"/>
      <c r="G610" s="35" t="str">
        <f aca="true">IF(OR(E610="",J610=0),"",IF(F610&lt;&gt;"",F610-E610,TODAY()-E610))</f>
        <v/>
      </c>
      <c r="H610" s="29"/>
      <c r="I610" s="33"/>
      <c r="J610" s="32" t="n">
        <f aca="false">IF(OR(D610="",D610="Planned"),0,1)</f>
        <v>0</v>
      </c>
      <c r="K610" s="32" t="n">
        <f aca="false">IF(OR(D610="Under review",D610="Revision requested"),1,0)</f>
        <v>0</v>
      </c>
      <c r="L610" s="32" t="str">
        <f aca="false">IF(AND(J610=1,E610&lt;&gt;""),E610+ROW()/100000,"")</f>
        <v/>
      </c>
      <c r="M610" s="32" t="str">
        <f aca="false">IF(D610="Planned",ROW(),"")</f>
        <v/>
      </c>
      <c r="N610" s="32" t="str">
        <f aca="true">IF(K610=1,IF(E610="",0,TODAY()-E610)+ROW()/100000,"")</f>
        <v/>
      </c>
      <c r="O610" s="32" t="str">
        <f aca="false">IF(N610="","",RANK(N610,$N$2:$N$1000))</f>
        <v/>
      </c>
    </row>
    <row r="611" customFormat="false" ht="15" hidden="false" customHeight="false" outlineLevel="0" collapsed="false">
      <c r="A611" s="33"/>
      <c r="B611" s="33"/>
      <c r="C611" s="33"/>
      <c r="D611" s="33"/>
      <c r="E611" s="34"/>
      <c r="F611" s="34"/>
      <c r="G611" s="35" t="str">
        <f aca="true">IF(OR(E611="",J611=0),"",IF(F611&lt;&gt;"",F611-E611,TODAY()-E611))</f>
        <v/>
      </c>
      <c r="H611" s="29"/>
      <c r="I611" s="33"/>
      <c r="J611" s="32" t="n">
        <f aca="false">IF(OR(D611="",D611="Planned"),0,1)</f>
        <v>0</v>
      </c>
      <c r="K611" s="32" t="n">
        <f aca="false">IF(OR(D611="Under review",D611="Revision requested"),1,0)</f>
        <v>0</v>
      </c>
      <c r="L611" s="32" t="str">
        <f aca="false">IF(AND(J611=1,E611&lt;&gt;""),E611+ROW()/100000,"")</f>
        <v/>
      </c>
      <c r="M611" s="32" t="str">
        <f aca="false">IF(D611="Planned",ROW(),"")</f>
        <v/>
      </c>
      <c r="N611" s="32" t="str">
        <f aca="true">IF(K611=1,IF(E611="",0,TODAY()-E611)+ROW()/100000,"")</f>
        <v/>
      </c>
      <c r="O611" s="32" t="str">
        <f aca="false">IF(N611="","",RANK(N611,$N$2:$N$1000))</f>
        <v/>
      </c>
    </row>
    <row r="612" customFormat="false" ht="15" hidden="false" customHeight="false" outlineLevel="0" collapsed="false">
      <c r="A612" s="33"/>
      <c r="B612" s="33"/>
      <c r="C612" s="33"/>
      <c r="D612" s="33"/>
      <c r="E612" s="34"/>
      <c r="F612" s="34"/>
      <c r="G612" s="35" t="str">
        <f aca="true">IF(OR(E612="",J612=0),"",IF(F612&lt;&gt;"",F612-E612,TODAY()-E612))</f>
        <v/>
      </c>
      <c r="H612" s="29"/>
      <c r="I612" s="33"/>
      <c r="J612" s="32" t="n">
        <f aca="false">IF(OR(D612="",D612="Planned"),0,1)</f>
        <v>0</v>
      </c>
      <c r="K612" s="32" t="n">
        <f aca="false">IF(OR(D612="Under review",D612="Revision requested"),1,0)</f>
        <v>0</v>
      </c>
      <c r="L612" s="32" t="str">
        <f aca="false">IF(AND(J612=1,E612&lt;&gt;""),E612+ROW()/100000,"")</f>
        <v/>
      </c>
      <c r="M612" s="32" t="str">
        <f aca="false">IF(D612="Planned",ROW(),"")</f>
        <v/>
      </c>
      <c r="N612" s="32" t="str">
        <f aca="true">IF(K612=1,IF(E612="",0,TODAY()-E612)+ROW()/100000,"")</f>
        <v/>
      </c>
      <c r="O612" s="32" t="str">
        <f aca="false">IF(N612="","",RANK(N612,$N$2:$N$1000))</f>
        <v/>
      </c>
    </row>
    <row r="613" customFormat="false" ht="15" hidden="false" customHeight="false" outlineLevel="0" collapsed="false">
      <c r="A613" s="33"/>
      <c r="B613" s="33"/>
      <c r="C613" s="33"/>
      <c r="D613" s="33"/>
      <c r="E613" s="34"/>
      <c r="F613" s="34"/>
      <c r="G613" s="35" t="str">
        <f aca="true">IF(OR(E613="",J613=0),"",IF(F613&lt;&gt;"",F613-E613,TODAY()-E613))</f>
        <v/>
      </c>
      <c r="H613" s="29"/>
      <c r="I613" s="33"/>
      <c r="J613" s="32" t="n">
        <f aca="false">IF(OR(D613="",D613="Planned"),0,1)</f>
        <v>0</v>
      </c>
      <c r="K613" s="32" t="n">
        <f aca="false">IF(OR(D613="Under review",D613="Revision requested"),1,0)</f>
        <v>0</v>
      </c>
      <c r="L613" s="32" t="str">
        <f aca="false">IF(AND(J613=1,E613&lt;&gt;""),E613+ROW()/100000,"")</f>
        <v/>
      </c>
      <c r="M613" s="32" t="str">
        <f aca="false">IF(D613="Planned",ROW(),"")</f>
        <v/>
      </c>
      <c r="N613" s="32" t="str">
        <f aca="true">IF(K613=1,IF(E613="",0,TODAY()-E613)+ROW()/100000,"")</f>
        <v/>
      </c>
      <c r="O613" s="32" t="str">
        <f aca="false">IF(N613="","",RANK(N613,$N$2:$N$1000))</f>
        <v/>
      </c>
    </row>
    <row r="614" customFormat="false" ht="15" hidden="false" customHeight="false" outlineLevel="0" collapsed="false">
      <c r="A614" s="33"/>
      <c r="B614" s="33"/>
      <c r="C614" s="33"/>
      <c r="D614" s="33"/>
      <c r="E614" s="34"/>
      <c r="F614" s="34"/>
      <c r="G614" s="35" t="str">
        <f aca="true">IF(OR(E614="",J614=0),"",IF(F614&lt;&gt;"",F614-E614,TODAY()-E614))</f>
        <v/>
      </c>
      <c r="H614" s="29"/>
      <c r="I614" s="33"/>
      <c r="J614" s="32" t="n">
        <f aca="false">IF(OR(D614="",D614="Planned"),0,1)</f>
        <v>0</v>
      </c>
      <c r="K614" s="32" t="n">
        <f aca="false">IF(OR(D614="Under review",D614="Revision requested"),1,0)</f>
        <v>0</v>
      </c>
      <c r="L614" s="32" t="str">
        <f aca="false">IF(AND(J614=1,E614&lt;&gt;""),E614+ROW()/100000,"")</f>
        <v/>
      </c>
      <c r="M614" s="32" t="str">
        <f aca="false">IF(D614="Planned",ROW(),"")</f>
        <v/>
      </c>
      <c r="N614" s="32" t="str">
        <f aca="true">IF(K614=1,IF(E614="",0,TODAY()-E614)+ROW()/100000,"")</f>
        <v/>
      </c>
      <c r="O614" s="32" t="str">
        <f aca="false">IF(N614="","",RANK(N614,$N$2:$N$1000))</f>
        <v/>
      </c>
    </row>
    <row r="615" customFormat="false" ht="15" hidden="false" customHeight="false" outlineLevel="0" collapsed="false">
      <c r="A615" s="33"/>
      <c r="B615" s="33"/>
      <c r="C615" s="33"/>
      <c r="D615" s="33"/>
      <c r="E615" s="34"/>
      <c r="F615" s="34"/>
      <c r="G615" s="35" t="str">
        <f aca="true">IF(OR(E615="",J615=0),"",IF(F615&lt;&gt;"",F615-E615,TODAY()-E615))</f>
        <v/>
      </c>
      <c r="H615" s="29"/>
      <c r="I615" s="33"/>
      <c r="J615" s="32" t="n">
        <f aca="false">IF(OR(D615="",D615="Planned"),0,1)</f>
        <v>0</v>
      </c>
      <c r="K615" s="32" t="n">
        <f aca="false">IF(OR(D615="Under review",D615="Revision requested"),1,0)</f>
        <v>0</v>
      </c>
      <c r="L615" s="32" t="str">
        <f aca="false">IF(AND(J615=1,E615&lt;&gt;""),E615+ROW()/100000,"")</f>
        <v/>
      </c>
      <c r="M615" s="32" t="str">
        <f aca="false">IF(D615="Planned",ROW(),"")</f>
        <v/>
      </c>
      <c r="N615" s="32" t="str">
        <f aca="true">IF(K615=1,IF(E615="",0,TODAY()-E615)+ROW()/100000,"")</f>
        <v/>
      </c>
      <c r="O615" s="32" t="str">
        <f aca="false">IF(N615="","",RANK(N615,$N$2:$N$1000))</f>
        <v/>
      </c>
    </row>
    <row r="616" customFormat="false" ht="15" hidden="false" customHeight="false" outlineLevel="0" collapsed="false">
      <c r="A616" s="33"/>
      <c r="B616" s="33"/>
      <c r="C616" s="33"/>
      <c r="D616" s="33"/>
      <c r="E616" s="34"/>
      <c r="F616" s="34"/>
      <c r="G616" s="35" t="str">
        <f aca="true">IF(OR(E616="",J616=0),"",IF(F616&lt;&gt;"",F616-E616,TODAY()-E616))</f>
        <v/>
      </c>
      <c r="H616" s="29"/>
      <c r="I616" s="33"/>
      <c r="J616" s="32" t="n">
        <f aca="false">IF(OR(D616="",D616="Planned"),0,1)</f>
        <v>0</v>
      </c>
      <c r="K616" s="32" t="n">
        <f aca="false">IF(OR(D616="Under review",D616="Revision requested"),1,0)</f>
        <v>0</v>
      </c>
      <c r="L616" s="32" t="str">
        <f aca="false">IF(AND(J616=1,E616&lt;&gt;""),E616+ROW()/100000,"")</f>
        <v/>
      </c>
      <c r="M616" s="32" t="str">
        <f aca="false">IF(D616="Planned",ROW(),"")</f>
        <v/>
      </c>
      <c r="N616" s="32" t="str">
        <f aca="true">IF(K616=1,IF(E616="",0,TODAY()-E616)+ROW()/100000,"")</f>
        <v/>
      </c>
      <c r="O616" s="32" t="str">
        <f aca="false">IF(N616="","",RANK(N616,$N$2:$N$1000))</f>
        <v/>
      </c>
    </row>
    <row r="617" customFormat="false" ht="15" hidden="false" customHeight="false" outlineLevel="0" collapsed="false">
      <c r="A617" s="33"/>
      <c r="B617" s="33"/>
      <c r="C617" s="33"/>
      <c r="D617" s="33"/>
      <c r="E617" s="34"/>
      <c r="F617" s="34"/>
      <c r="G617" s="35" t="str">
        <f aca="true">IF(OR(E617="",J617=0),"",IF(F617&lt;&gt;"",F617-E617,TODAY()-E617))</f>
        <v/>
      </c>
      <c r="H617" s="29"/>
      <c r="I617" s="33"/>
      <c r="J617" s="32" t="n">
        <f aca="false">IF(OR(D617="",D617="Planned"),0,1)</f>
        <v>0</v>
      </c>
      <c r="K617" s="32" t="n">
        <f aca="false">IF(OR(D617="Under review",D617="Revision requested"),1,0)</f>
        <v>0</v>
      </c>
      <c r="L617" s="32" t="str">
        <f aca="false">IF(AND(J617=1,E617&lt;&gt;""),E617+ROW()/100000,"")</f>
        <v/>
      </c>
      <c r="M617" s="32" t="str">
        <f aca="false">IF(D617="Planned",ROW(),"")</f>
        <v/>
      </c>
      <c r="N617" s="32" t="str">
        <f aca="true">IF(K617=1,IF(E617="",0,TODAY()-E617)+ROW()/100000,"")</f>
        <v/>
      </c>
      <c r="O617" s="32" t="str">
        <f aca="false">IF(N617="","",RANK(N617,$N$2:$N$1000))</f>
        <v/>
      </c>
    </row>
    <row r="618" customFormat="false" ht="15" hidden="false" customHeight="false" outlineLevel="0" collapsed="false">
      <c r="A618" s="33"/>
      <c r="B618" s="33"/>
      <c r="C618" s="33"/>
      <c r="D618" s="33"/>
      <c r="E618" s="34"/>
      <c r="F618" s="34"/>
      <c r="G618" s="35" t="str">
        <f aca="true">IF(OR(E618="",J618=0),"",IF(F618&lt;&gt;"",F618-E618,TODAY()-E618))</f>
        <v/>
      </c>
      <c r="H618" s="29"/>
      <c r="I618" s="33"/>
      <c r="J618" s="32" t="n">
        <f aca="false">IF(OR(D618="",D618="Planned"),0,1)</f>
        <v>0</v>
      </c>
      <c r="K618" s="32" t="n">
        <f aca="false">IF(OR(D618="Under review",D618="Revision requested"),1,0)</f>
        <v>0</v>
      </c>
      <c r="L618" s="32" t="str">
        <f aca="false">IF(AND(J618=1,E618&lt;&gt;""),E618+ROW()/100000,"")</f>
        <v/>
      </c>
      <c r="M618" s="32" t="str">
        <f aca="false">IF(D618="Planned",ROW(),"")</f>
        <v/>
      </c>
      <c r="N618" s="32" t="str">
        <f aca="true">IF(K618=1,IF(E618="",0,TODAY()-E618)+ROW()/100000,"")</f>
        <v/>
      </c>
      <c r="O618" s="32" t="str">
        <f aca="false">IF(N618="","",RANK(N618,$N$2:$N$1000))</f>
        <v/>
      </c>
    </row>
    <row r="619" customFormat="false" ht="15" hidden="false" customHeight="false" outlineLevel="0" collapsed="false">
      <c r="A619" s="33"/>
      <c r="B619" s="33"/>
      <c r="C619" s="33"/>
      <c r="D619" s="33"/>
      <c r="E619" s="34"/>
      <c r="F619" s="34"/>
      <c r="G619" s="35" t="str">
        <f aca="true">IF(OR(E619="",J619=0),"",IF(F619&lt;&gt;"",F619-E619,TODAY()-E619))</f>
        <v/>
      </c>
      <c r="H619" s="29"/>
      <c r="I619" s="33"/>
      <c r="J619" s="32" t="n">
        <f aca="false">IF(OR(D619="",D619="Planned"),0,1)</f>
        <v>0</v>
      </c>
      <c r="K619" s="32" t="n">
        <f aca="false">IF(OR(D619="Under review",D619="Revision requested"),1,0)</f>
        <v>0</v>
      </c>
      <c r="L619" s="32" t="str">
        <f aca="false">IF(AND(J619=1,E619&lt;&gt;""),E619+ROW()/100000,"")</f>
        <v/>
      </c>
      <c r="M619" s="32" t="str">
        <f aca="false">IF(D619="Planned",ROW(),"")</f>
        <v/>
      </c>
      <c r="N619" s="32" t="str">
        <f aca="true">IF(K619=1,IF(E619="",0,TODAY()-E619)+ROW()/100000,"")</f>
        <v/>
      </c>
      <c r="O619" s="32" t="str">
        <f aca="false">IF(N619="","",RANK(N619,$N$2:$N$1000))</f>
        <v/>
      </c>
    </row>
    <row r="620" customFormat="false" ht="15" hidden="false" customHeight="false" outlineLevel="0" collapsed="false">
      <c r="A620" s="33"/>
      <c r="B620" s="33"/>
      <c r="C620" s="33"/>
      <c r="D620" s="33"/>
      <c r="E620" s="34"/>
      <c r="F620" s="34"/>
      <c r="G620" s="35" t="str">
        <f aca="true">IF(OR(E620="",J620=0),"",IF(F620&lt;&gt;"",F620-E620,TODAY()-E620))</f>
        <v/>
      </c>
      <c r="H620" s="29"/>
      <c r="I620" s="33"/>
      <c r="J620" s="32" t="n">
        <f aca="false">IF(OR(D620="",D620="Planned"),0,1)</f>
        <v>0</v>
      </c>
      <c r="K620" s="32" t="n">
        <f aca="false">IF(OR(D620="Under review",D620="Revision requested"),1,0)</f>
        <v>0</v>
      </c>
      <c r="L620" s="32" t="str">
        <f aca="false">IF(AND(J620=1,E620&lt;&gt;""),E620+ROW()/100000,"")</f>
        <v/>
      </c>
      <c r="M620" s="32" t="str">
        <f aca="false">IF(D620="Planned",ROW(),"")</f>
        <v/>
      </c>
      <c r="N620" s="32" t="str">
        <f aca="true">IF(K620=1,IF(E620="",0,TODAY()-E620)+ROW()/100000,"")</f>
        <v/>
      </c>
      <c r="O620" s="32" t="str">
        <f aca="false">IF(N620="","",RANK(N620,$N$2:$N$1000))</f>
        <v/>
      </c>
    </row>
    <row r="621" customFormat="false" ht="15" hidden="false" customHeight="false" outlineLevel="0" collapsed="false">
      <c r="A621" s="33"/>
      <c r="B621" s="33"/>
      <c r="C621" s="33"/>
      <c r="D621" s="33"/>
      <c r="E621" s="34"/>
      <c r="F621" s="34"/>
      <c r="G621" s="35" t="str">
        <f aca="true">IF(OR(E621="",J621=0),"",IF(F621&lt;&gt;"",F621-E621,TODAY()-E621))</f>
        <v/>
      </c>
      <c r="H621" s="29"/>
      <c r="I621" s="33"/>
      <c r="J621" s="32" t="n">
        <f aca="false">IF(OR(D621="",D621="Planned"),0,1)</f>
        <v>0</v>
      </c>
      <c r="K621" s="32" t="n">
        <f aca="false">IF(OR(D621="Under review",D621="Revision requested"),1,0)</f>
        <v>0</v>
      </c>
      <c r="L621" s="32" t="str">
        <f aca="false">IF(AND(J621=1,E621&lt;&gt;""),E621+ROW()/100000,"")</f>
        <v/>
      </c>
      <c r="M621" s="32" t="str">
        <f aca="false">IF(D621="Planned",ROW(),"")</f>
        <v/>
      </c>
      <c r="N621" s="32" t="str">
        <f aca="true">IF(K621=1,IF(E621="",0,TODAY()-E621)+ROW()/100000,"")</f>
        <v/>
      </c>
      <c r="O621" s="32" t="str">
        <f aca="false">IF(N621="","",RANK(N621,$N$2:$N$1000))</f>
        <v/>
      </c>
    </row>
    <row r="622" customFormat="false" ht="15" hidden="false" customHeight="false" outlineLevel="0" collapsed="false">
      <c r="A622" s="33"/>
      <c r="B622" s="33"/>
      <c r="C622" s="33"/>
      <c r="D622" s="33"/>
      <c r="E622" s="34"/>
      <c r="F622" s="34"/>
      <c r="G622" s="35" t="str">
        <f aca="true">IF(OR(E622="",J622=0),"",IF(F622&lt;&gt;"",F622-E622,TODAY()-E622))</f>
        <v/>
      </c>
      <c r="H622" s="29"/>
      <c r="I622" s="33"/>
      <c r="J622" s="32" t="n">
        <f aca="false">IF(OR(D622="",D622="Planned"),0,1)</f>
        <v>0</v>
      </c>
      <c r="K622" s="32" t="n">
        <f aca="false">IF(OR(D622="Under review",D622="Revision requested"),1,0)</f>
        <v>0</v>
      </c>
      <c r="L622" s="32" t="str">
        <f aca="false">IF(AND(J622=1,E622&lt;&gt;""),E622+ROW()/100000,"")</f>
        <v/>
      </c>
      <c r="M622" s="32" t="str">
        <f aca="false">IF(D622="Planned",ROW(),"")</f>
        <v/>
      </c>
      <c r="N622" s="32" t="str">
        <f aca="true">IF(K622=1,IF(E622="",0,TODAY()-E622)+ROW()/100000,"")</f>
        <v/>
      </c>
      <c r="O622" s="32" t="str">
        <f aca="false">IF(N622="","",RANK(N622,$N$2:$N$1000))</f>
        <v/>
      </c>
    </row>
    <row r="623" customFormat="false" ht="15" hidden="false" customHeight="false" outlineLevel="0" collapsed="false">
      <c r="A623" s="33"/>
      <c r="B623" s="33"/>
      <c r="C623" s="33"/>
      <c r="D623" s="33"/>
      <c r="E623" s="34"/>
      <c r="F623" s="34"/>
      <c r="G623" s="35" t="str">
        <f aca="true">IF(OR(E623="",J623=0),"",IF(F623&lt;&gt;"",F623-E623,TODAY()-E623))</f>
        <v/>
      </c>
      <c r="H623" s="29"/>
      <c r="I623" s="33"/>
      <c r="J623" s="32" t="n">
        <f aca="false">IF(OR(D623="",D623="Planned"),0,1)</f>
        <v>0</v>
      </c>
      <c r="K623" s="32" t="n">
        <f aca="false">IF(OR(D623="Under review",D623="Revision requested"),1,0)</f>
        <v>0</v>
      </c>
      <c r="L623" s="32" t="str">
        <f aca="false">IF(AND(J623=1,E623&lt;&gt;""),E623+ROW()/100000,"")</f>
        <v/>
      </c>
      <c r="M623" s="32" t="str">
        <f aca="false">IF(D623="Planned",ROW(),"")</f>
        <v/>
      </c>
      <c r="N623" s="32" t="str">
        <f aca="true">IF(K623=1,IF(E623="",0,TODAY()-E623)+ROW()/100000,"")</f>
        <v/>
      </c>
      <c r="O623" s="32" t="str">
        <f aca="false">IF(N623="","",RANK(N623,$N$2:$N$1000))</f>
        <v/>
      </c>
    </row>
    <row r="624" customFormat="false" ht="15" hidden="false" customHeight="false" outlineLevel="0" collapsed="false">
      <c r="A624" s="33"/>
      <c r="B624" s="33"/>
      <c r="C624" s="33"/>
      <c r="D624" s="33"/>
      <c r="E624" s="34"/>
      <c r="F624" s="34"/>
      <c r="G624" s="35" t="str">
        <f aca="true">IF(OR(E624="",J624=0),"",IF(F624&lt;&gt;"",F624-E624,TODAY()-E624))</f>
        <v/>
      </c>
      <c r="H624" s="29"/>
      <c r="I624" s="33"/>
      <c r="J624" s="32" t="n">
        <f aca="false">IF(OR(D624="",D624="Planned"),0,1)</f>
        <v>0</v>
      </c>
      <c r="K624" s="32" t="n">
        <f aca="false">IF(OR(D624="Under review",D624="Revision requested"),1,0)</f>
        <v>0</v>
      </c>
      <c r="L624" s="32" t="str">
        <f aca="false">IF(AND(J624=1,E624&lt;&gt;""),E624+ROW()/100000,"")</f>
        <v/>
      </c>
      <c r="M624" s="32" t="str">
        <f aca="false">IF(D624="Planned",ROW(),"")</f>
        <v/>
      </c>
      <c r="N624" s="32" t="str">
        <f aca="true">IF(K624=1,IF(E624="",0,TODAY()-E624)+ROW()/100000,"")</f>
        <v/>
      </c>
      <c r="O624" s="32" t="str">
        <f aca="false">IF(N624="","",RANK(N624,$N$2:$N$1000))</f>
        <v/>
      </c>
    </row>
    <row r="625" customFormat="false" ht="15" hidden="false" customHeight="false" outlineLevel="0" collapsed="false">
      <c r="A625" s="33"/>
      <c r="B625" s="33"/>
      <c r="C625" s="33"/>
      <c r="D625" s="33"/>
      <c r="E625" s="34"/>
      <c r="F625" s="34"/>
      <c r="G625" s="35" t="str">
        <f aca="true">IF(OR(E625="",J625=0),"",IF(F625&lt;&gt;"",F625-E625,TODAY()-E625))</f>
        <v/>
      </c>
      <c r="H625" s="29"/>
      <c r="I625" s="33"/>
      <c r="J625" s="32" t="n">
        <f aca="false">IF(OR(D625="",D625="Planned"),0,1)</f>
        <v>0</v>
      </c>
      <c r="K625" s="32" t="n">
        <f aca="false">IF(OR(D625="Under review",D625="Revision requested"),1,0)</f>
        <v>0</v>
      </c>
      <c r="L625" s="32" t="str">
        <f aca="false">IF(AND(J625=1,E625&lt;&gt;""),E625+ROW()/100000,"")</f>
        <v/>
      </c>
      <c r="M625" s="32" t="str">
        <f aca="false">IF(D625="Planned",ROW(),"")</f>
        <v/>
      </c>
      <c r="N625" s="32" t="str">
        <f aca="true">IF(K625=1,IF(E625="",0,TODAY()-E625)+ROW()/100000,"")</f>
        <v/>
      </c>
      <c r="O625" s="32" t="str">
        <f aca="false">IF(N625="","",RANK(N625,$N$2:$N$1000))</f>
        <v/>
      </c>
    </row>
    <row r="626" customFormat="false" ht="15" hidden="false" customHeight="false" outlineLevel="0" collapsed="false">
      <c r="A626" s="33"/>
      <c r="B626" s="33"/>
      <c r="C626" s="33"/>
      <c r="D626" s="33"/>
      <c r="E626" s="34"/>
      <c r="F626" s="34"/>
      <c r="G626" s="35" t="str">
        <f aca="true">IF(OR(E626="",J626=0),"",IF(F626&lt;&gt;"",F626-E626,TODAY()-E626))</f>
        <v/>
      </c>
      <c r="H626" s="29"/>
      <c r="I626" s="33"/>
      <c r="J626" s="32" t="n">
        <f aca="false">IF(OR(D626="",D626="Planned"),0,1)</f>
        <v>0</v>
      </c>
      <c r="K626" s="32" t="n">
        <f aca="false">IF(OR(D626="Under review",D626="Revision requested"),1,0)</f>
        <v>0</v>
      </c>
      <c r="L626" s="32" t="str">
        <f aca="false">IF(AND(J626=1,E626&lt;&gt;""),E626+ROW()/100000,"")</f>
        <v/>
      </c>
      <c r="M626" s="32" t="str">
        <f aca="false">IF(D626="Planned",ROW(),"")</f>
        <v/>
      </c>
      <c r="N626" s="32" t="str">
        <f aca="true">IF(K626=1,IF(E626="",0,TODAY()-E626)+ROW()/100000,"")</f>
        <v/>
      </c>
      <c r="O626" s="32" t="str">
        <f aca="false">IF(N626="","",RANK(N626,$N$2:$N$1000))</f>
        <v/>
      </c>
    </row>
    <row r="627" customFormat="false" ht="15" hidden="false" customHeight="false" outlineLevel="0" collapsed="false">
      <c r="A627" s="33"/>
      <c r="B627" s="33"/>
      <c r="C627" s="33"/>
      <c r="D627" s="33"/>
      <c r="E627" s="34"/>
      <c r="F627" s="34"/>
      <c r="G627" s="35" t="str">
        <f aca="true">IF(OR(E627="",J627=0),"",IF(F627&lt;&gt;"",F627-E627,TODAY()-E627))</f>
        <v/>
      </c>
      <c r="H627" s="29"/>
      <c r="I627" s="33"/>
      <c r="J627" s="32" t="n">
        <f aca="false">IF(OR(D627="",D627="Planned"),0,1)</f>
        <v>0</v>
      </c>
      <c r="K627" s="32" t="n">
        <f aca="false">IF(OR(D627="Under review",D627="Revision requested"),1,0)</f>
        <v>0</v>
      </c>
      <c r="L627" s="32" t="str">
        <f aca="false">IF(AND(J627=1,E627&lt;&gt;""),E627+ROW()/100000,"")</f>
        <v/>
      </c>
      <c r="M627" s="32" t="str">
        <f aca="false">IF(D627="Planned",ROW(),"")</f>
        <v/>
      </c>
      <c r="N627" s="32" t="str">
        <f aca="true">IF(K627=1,IF(E627="",0,TODAY()-E627)+ROW()/100000,"")</f>
        <v/>
      </c>
      <c r="O627" s="32" t="str">
        <f aca="false">IF(N627="","",RANK(N627,$N$2:$N$1000))</f>
        <v/>
      </c>
    </row>
    <row r="628" customFormat="false" ht="15" hidden="false" customHeight="false" outlineLevel="0" collapsed="false">
      <c r="A628" s="33"/>
      <c r="B628" s="33"/>
      <c r="C628" s="33"/>
      <c r="D628" s="33"/>
      <c r="E628" s="34"/>
      <c r="F628" s="34"/>
      <c r="G628" s="35" t="str">
        <f aca="true">IF(OR(E628="",J628=0),"",IF(F628&lt;&gt;"",F628-E628,TODAY()-E628))</f>
        <v/>
      </c>
      <c r="H628" s="29"/>
      <c r="I628" s="33"/>
      <c r="J628" s="32" t="n">
        <f aca="false">IF(OR(D628="",D628="Planned"),0,1)</f>
        <v>0</v>
      </c>
      <c r="K628" s="32" t="n">
        <f aca="false">IF(OR(D628="Under review",D628="Revision requested"),1,0)</f>
        <v>0</v>
      </c>
      <c r="L628" s="32" t="str">
        <f aca="false">IF(AND(J628=1,E628&lt;&gt;""),E628+ROW()/100000,"")</f>
        <v/>
      </c>
      <c r="M628" s="32" t="str">
        <f aca="false">IF(D628="Planned",ROW(),"")</f>
        <v/>
      </c>
      <c r="N628" s="32" t="str">
        <f aca="true">IF(K628=1,IF(E628="",0,TODAY()-E628)+ROW()/100000,"")</f>
        <v/>
      </c>
      <c r="O628" s="32" t="str">
        <f aca="false">IF(N628="","",RANK(N628,$N$2:$N$1000))</f>
        <v/>
      </c>
    </row>
    <row r="629" customFormat="false" ht="15" hidden="false" customHeight="false" outlineLevel="0" collapsed="false">
      <c r="A629" s="33"/>
      <c r="B629" s="33"/>
      <c r="C629" s="33"/>
      <c r="D629" s="33"/>
      <c r="E629" s="34"/>
      <c r="F629" s="34"/>
      <c r="G629" s="35" t="str">
        <f aca="true">IF(OR(E629="",J629=0),"",IF(F629&lt;&gt;"",F629-E629,TODAY()-E629))</f>
        <v/>
      </c>
      <c r="H629" s="29"/>
      <c r="I629" s="33"/>
      <c r="J629" s="32" t="n">
        <f aca="false">IF(OR(D629="",D629="Planned"),0,1)</f>
        <v>0</v>
      </c>
      <c r="K629" s="32" t="n">
        <f aca="false">IF(OR(D629="Under review",D629="Revision requested"),1,0)</f>
        <v>0</v>
      </c>
      <c r="L629" s="32" t="str">
        <f aca="false">IF(AND(J629=1,E629&lt;&gt;""),E629+ROW()/100000,"")</f>
        <v/>
      </c>
      <c r="M629" s="32" t="str">
        <f aca="false">IF(D629="Planned",ROW(),"")</f>
        <v/>
      </c>
      <c r="N629" s="32" t="str">
        <f aca="true">IF(K629=1,IF(E629="",0,TODAY()-E629)+ROW()/100000,"")</f>
        <v/>
      </c>
      <c r="O629" s="32" t="str">
        <f aca="false">IF(N629="","",RANK(N629,$N$2:$N$1000))</f>
        <v/>
      </c>
    </row>
    <row r="630" customFormat="false" ht="15" hidden="false" customHeight="false" outlineLevel="0" collapsed="false">
      <c r="A630" s="33"/>
      <c r="B630" s="33"/>
      <c r="C630" s="33"/>
      <c r="D630" s="33"/>
      <c r="E630" s="34"/>
      <c r="F630" s="34"/>
      <c r="G630" s="35" t="str">
        <f aca="true">IF(OR(E630="",J630=0),"",IF(F630&lt;&gt;"",F630-E630,TODAY()-E630))</f>
        <v/>
      </c>
      <c r="H630" s="29"/>
      <c r="I630" s="33"/>
      <c r="J630" s="32" t="n">
        <f aca="false">IF(OR(D630="",D630="Planned"),0,1)</f>
        <v>0</v>
      </c>
      <c r="K630" s="32" t="n">
        <f aca="false">IF(OR(D630="Under review",D630="Revision requested"),1,0)</f>
        <v>0</v>
      </c>
      <c r="L630" s="32" t="str">
        <f aca="false">IF(AND(J630=1,E630&lt;&gt;""),E630+ROW()/100000,"")</f>
        <v/>
      </c>
      <c r="M630" s="32" t="str">
        <f aca="false">IF(D630="Planned",ROW(),"")</f>
        <v/>
      </c>
      <c r="N630" s="32" t="str">
        <f aca="true">IF(K630=1,IF(E630="",0,TODAY()-E630)+ROW()/100000,"")</f>
        <v/>
      </c>
      <c r="O630" s="32" t="str">
        <f aca="false">IF(N630="","",RANK(N630,$N$2:$N$1000))</f>
        <v/>
      </c>
    </row>
    <row r="631" customFormat="false" ht="15" hidden="false" customHeight="false" outlineLevel="0" collapsed="false">
      <c r="A631" s="33"/>
      <c r="B631" s="33"/>
      <c r="C631" s="33"/>
      <c r="D631" s="33"/>
      <c r="E631" s="34"/>
      <c r="F631" s="34"/>
      <c r="G631" s="35" t="str">
        <f aca="true">IF(OR(E631="",J631=0),"",IF(F631&lt;&gt;"",F631-E631,TODAY()-E631))</f>
        <v/>
      </c>
      <c r="H631" s="29"/>
      <c r="I631" s="33"/>
      <c r="J631" s="32" t="n">
        <f aca="false">IF(OR(D631="",D631="Planned"),0,1)</f>
        <v>0</v>
      </c>
      <c r="K631" s="32" t="n">
        <f aca="false">IF(OR(D631="Under review",D631="Revision requested"),1,0)</f>
        <v>0</v>
      </c>
      <c r="L631" s="32" t="str">
        <f aca="false">IF(AND(J631=1,E631&lt;&gt;""),E631+ROW()/100000,"")</f>
        <v/>
      </c>
      <c r="M631" s="32" t="str">
        <f aca="false">IF(D631="Planned",ROW(),"")</f>
        <v/>
      </c>
      <c r="N631" s="32" t="str">
        <f aca="true">IF(K631=1,IF(E631="",0,TODAY()-E631)+ROW()/100000,"")</f>
        <v/>
      </c>
      <c r="O631" s="32" t="str">
        <f aca="false">IF(N631="","",RANK(N631,$N$2:$N$1000))</f>
        <v/>
      </c>
    </row>
    <row r="632" customFormat="false" ht="15" hidden="false" customHeight="false" outlineLevel="0" collapsed="false">
      <c r="A632" s="33"/>
      <c r="B632" s="33"/>
      <c r="C632" s="33"/>
      <c r="D632" s="33"/>
      <c r="E632" s="34"/>
      <c r="F632" s="34"/>
      <c r="G632" s="35" t="str">
        <f aca="true">IF(OR(E632="",J632=0),"",IF(F632&lt;&gt;"",F632-E632,TODAY()-E632))</f>
        <v/>
      </c>
      <c r="H632" s="29"/>
      <c r="I632" s="33"/>
      <c r="J632" s="32" t="n">
        <f aca="false">IF(OR(D632="",D632="Planned"),0,1)</f>
        <v>0</v>
      </c>
      <c r="K632" s="32" t="n">
        <f aca="false">IF(OR(D632="Under review",D632="Revision requested"),1,0)</f>
        <v>0</v>
      </c>
      <c r="L632" s="32" t="str">
        <f aca="false">IF(AND(J632=1,E632&lt;&gt;""),E632+ROW()/100000,"")</f>
        <v/>
      </c>
      <c r="M632" s="32" t="str">
        <f aca="false">IF(D632="Planned",ROW(),"")</f>
        <v/>
      </c>
      <c r="N632" s="32" t="str">
        <f aca="true">IF(K632=1,IF(E632="",0,TODAY()-E632)+ROW()/100000,"")</f>
        <v/>
      </c>
      <c r="O632" s="32" t="str">
        <f aca="false">IF(N632="","",RANK(N632,$N$2:$N$1000))</f>
        <v/>
      </c>
    </row>
    <row r="633" customFormat="false" ht="15" hidden="false" customHeight="false" outlineLevel="0" collapsed="false">
      <c r="A633" s="33"/>
      <c r="B633" s="33"/>
      <c r="C633" s="33"/>
      <c r="D633" s="33"/>
      <c r="E633" s="34"/>
      <c r="F633" s="34"/>
      <c r="G633" s="35" t="str">
        <f aca="true">IF(OR(E633="",J633=0),"",IF(F633&lt;&gt;"",F633-E633,TODAY()-E633))</f>
        <v/>
      </c>
      <c r="H633" s="29"/>
      <c r="I633" s="33"/>
      <c r="J633" s="32" t="n">
        <f aca="false">IF(OR(D633="",D633="Planned"),0,1)</f>
        <v>0</v>
      </c>
      <c r="K633" s="32" t="n">
        <f aca="false">IF(OR(D633="Under review",D633="Revision requested"),1,0)</f>
        <v>0</v>
      </c>
      <c r="L633" s="32" t="str">
        <f aca="false">IF(AND(J633=1,E633&lt;&gt;""),E633+ROW()/100000,"")</f>
        <v/>
      </c>
      <c r="M633" s="32" t="str">
        <f aca="false">IF(D633="Planned",ROW(),"")</f>
        <v/>
      </c>
      <c r="N633" s="32" t="str">
        <f aca="true">IF(K633=1,IF(E633="",0,TODAY()-E633)+ROW()/100000,"")</f>
        <v/>
      </c>
      <c r="O633" s="32" t="str">
        <f aca="false">IF(N633="","",RANK(N633,$N$2:$N$1000))</f>
        <v/>
      </c>
    </row>
    <row r="634" customFormat="false" ht="15" hidden="false" customHeight="false" outlineLevel="0" collapsed="false">
      <c r="A634" s="33"/>
      <c r="B634" s="33"/>
      <c r="C634" s="33"/>
      <c r="D634" s="33"/>
      <c r="E634" s="34"/>
      <c r="F634" s="34"/>
      <c r="G634" s="35" t="str">
        <f aca="true">IF(OR(E634="",J634=0),"",IF(F634&lt;&gt;"",F634-E634,TODAY()-E634))</f>
        <v/>
      </c>
      <c r="H634" s="29"/>
      <c r="I634" s="33"/>
      <c r="J634" s="32" t="n">
        <f aca="false">IF(OR(D634="",D634="Planned"),0,1)</f>
        <v>0</v>
      </c>
      <c r="K634" s="32" t="n">
        <f aca="false">IF(OR(D634="Under review",D634="Revision requested"),1,0)</f>
        <v>0</v>
      </c>
      <c r="L634" s="32" t="str">
        <f aca="false">IF(AND(J634=1,E634&lt;&gt;""),E634+ROW()/100000,"")</f>
        <v/>
      </c>
      <c r="M634" s="32" t="str">
        <f aca="false">IF(D634="Planned",ROW(),"")</f>
        <v/>
      </c>
      <c r="N634" s="32" t="str">
        <f aca="true">IF(K634=1,IF(E634="",0,TODAY()-E634)+ROW()/100000,"")</f>
        <v/>
      </c>
      <c r="O634" s="32" t="str">
        <f aca="false">IF(N634="","",RANK(N634,$N$2:$N$1000))</f>
        <v/>
      </c>
    </row>
    <row r="635" customFormat="false" ht="15" hidden="false" customHeight="false" outlineLevel="0" collapsed="false">
      <c r="A635" s="33"/>
      <c r="B635" s="33"/>
      <c r="C635" s="33"/>
      <c r="D635" s="33"/>
      <c r="E635" s="34"/>
      <c r="F635" s="34"/>
      <c r="G635" s="35" t="str">
        <f aca="true">IF(OR(E635="",J635=0),"",IF(F635&lt;&gt;"",F635-E635,TODAY()-E635))</f>
        <v/>
      </c>
      <c r="H635" s="29"/>
      <c r="I635" s="33"/>
      <c r="J635" s="32" t="n">
        <f aca="false">IF(OR(D635="",D635="Planned"),0,1)</f>
        <v>0</v>
      </c>
      <c r="K635" s="32" t="n">
        <f aca="false">IF(OR(D635="Under review",D635="Revision requested"),1,0)</f>
        <v>0</v>
      </c>
      <c r="L635" s="32" t="str">
        <f aca="false">IF(AND(J635=1,E635&lt;&gt;""),E635+ROW()/100000,"")</f>
        <v/>
      </c>
      <c r="M635" s="32" t="str">
        <f aca="false">IF(D635="Planned",ROW(),"")</f>
        <v/>
      </c>
      <c r="N635" s="32" t="str">
        <f aca="true">IF(K635=1,IF(E635="",0,TODAY()-E635)+ROW()/100000,"")</f>
        <v/>
      </c>
      <c r="O635" s="32" t="str">
        <f aca="false">IF(N635="","",RANK(N635,$N$2:$N$1000))</f>
        <v/>
      </c>
    </row>
    <row r="636" customFormat="false" ht="15" hidden="false" customHeight="false" outlineLevel="0" collapsed="false">
      <c r="A636" s="33"/>
      <c r="B636" s="33"/>
      <c r="C636" s="33"/>
      <c r="D636" s="33"/>
      <c r="E636" s="34"/>
      <c r="F636" s="34"/>
      <c r="G636" s="35" t="str">
        <f aca="true">IF(OR(E636="",J636=0),"",IF(F636&lt;&gt;"",F636-E636,TODAY()-E636))</f>
        <v/>
      </c>
      <c r="H636" s="29"/>
      <c r="I636" s="33"/>
      <c r="J636" s="32" t="n">
        <f aca="false">IF(OR(D636="",D636="Planned"),0,1)</f>
        <v>0</v>
      </c>
      <c r="K636" s="32" t="n">
        <f aca="false">IF(OR(D636="Under review",D636="Revision requested"),1,0)</f>
        <v>0</v>
      </c>
      <c r="L636" s="32" t="str">
        <f aca="false">IF(AND(J636=1,E636&lt;&gt;""),E636+ROW()/100000,"")</f>
        <v/>
      </c>
      <c r="M636" s="32" t="str">
        <f aca="false">IF(D636="Planned",ROW(),"")</f>
        <v/>
      </c>
      <c r="N636" s="32" t="str">
        <f aca="true">IF(K636=1,IF(E636="",0,TODAY()-E636)+ROW()/100000,"")</f>
        <v/>
      </c>
      <c r="O636" s="32" t="str">
        <f aca="false">IF(N636="","",RANK(N636,$N$2:$N$1000))</f>
        <v/>
      </c>
    </row>
    <row r="637" customFormat="false" ht="15" hidden="false" customHeight="false" outlineLevel="0" collapsed="false">
      <c r="A637" s="33"/>
      <c r="B637" s="33"/>
      <c r="C637" s="33"/>
      <c r="D637" s="33"/>
      <c r="E637" s="34"/>
      <c r="F637" s="34"/>
      <c r="G637" s="35" t="str">
        <f aca="true">IF(OR(E637="",J637=0),"",IF(F637&lt;&gt;"",F637-E637,TODAY()-E637))</f>
        <v/>
      </c>
      <c r="H637" s="29"/>
      <c r="I637" s="33"/>
      <c r="J637" s="32" t="n">
        <f aca="false">IF(OR(D637="",D637="Planned"),0,1)</f>
        <v>0</v>
      </c>
      <c r="K637" s="32" t="n">
        <f aca="false">IF(OR(D637="Under review",D637="Revision requested"),1,0)</f>
        <v>0</v>
      </c>
      <c r="L637" s="32" t="str">
        <f aca="false">IF(AND(J637=1,E637&lt;&gt;""),E637+ROW()/100000,"")</f>
        <v/>
      </c>
      <c r="M637" s="32" t="str">
        <f aca="false">IF(D637="Planned",ROW(),"")</f>
        <v/>
      </c>
      <c r="N637" s="32" t="str">
        <f aca="true">IF(K637=1,IF(E637="",0,TODAY()-E637)+ROW()/100000,"")</f>
        <v/>
      </c>
      <c r="O637" s="32" t="str">
        <f aca="false">IF(N637="","",RANK(N637,$N$2:$N$1000))</f>
        <v/>
      </c>
    </row>
    <row r="638" customFormat="false" ht="15" hidden="false" customHeight="false" outlineLevel="0" collapsed="false">
      <c r="A638" s="33"/>
      <c r="B638" s="33"/>
      <c r="C638" s="33"/>
      <c r="D638" s="33"/>
      <c r="E638" s="34"/>
      <c r="F638" s="34"/>
      <c r="G638" s="35" t="str">
        <f aca="true">IF(OR(E638="",J638=0),"",IF(F638&lt;&gt;"",F638-E638,TODAY()-E638))</f>
        <v/>
      </c>
      <c r="H638" s="29"/>
      <c r="I638" s="33"/>
      <c r="J638" s="32" t="n">
        <f aca="false">IF(OR(D638="",D638="Planned"),0,1)</f>
        <v>0</v>
      </c>
      <c r="K638" s="32" t="n">
        <f aca="false">IF(OR(D638="Under review",D638="Revision requested"),1,0)</f>
        <v>0</v>
      </c>
      <c r="L638" s="32" t="str">
        <f aca="false">IF(AND(J638=1,E638&lt;&gt;""),E638+ROW()/100000,"")</f>
        <v/>
      </c>
      <c r="M638" s="32" t="str">
        <f aca="false">IF(D638="Planned",ROW(),"")</f>
        <v/>
      </c>
      <c r="N638" s="32" t="str">
        <f aca="true">IF(K638=1,IF(E638="",0,TODAY()-E638)+ROW()/100000,"")</f>
        <v/>
      </c>
      <c r="O638" s="32" t="str">
        <f aca="false">IF(N638="","",RANK(N638,$N$2:$N$1000))</f>
        <v/>
      </c>
    </row>
    <row r="639" customFormat="false" ht="15" hidden="false" customHeight="false" outlineLevel="0" collapsed="false">
      <c r="A639" s="33"/>
      <c r="B639" s="33"/>
      <c r="C639" s="33"/>
      <c r="D639" s="33"/>
      <c r="E639" s="34"/>
      <c r="F639" s="34"/>
      <c r="G639" s="35" t="str">
        <f aca="true">IF(OR(E639="",J639=0),"",IF(F639&lt;&gt;"",F639-E639,TODAY()-E639))</f>
        <v/>
      </c>
      <c r="H639" s="29"/>
      <c r="I639" s="33"/>
      <c r="J639" s="32" t="n">
        <f aca="false">IF(OR(D639="",D639="Planned"),0,1)</f>
        <v>0</v>
      </c>
      <c r="K639" s="32" t="n">
        <f aca="false">IF(OR(D639="Under review",D639="Revision requested"),1,0)</f>
        <v>0</v>
      </c>
      <c r="L639" s="32" t="str">
        <f aca="false">IF(AND(J639=1,E639&lt;&gt;""),E639+ROW()/100000,"")</f>
        <v/>
      </c>
      <c r="M639" s="32" t="str">
        <f aca="false">IF(D639="Planned",ROW(),"")</f>
        <v/>
      </c>
      <c r="N639" s="32" t="str">
        <f aca="true">IF(K639=1,IF(E639="",0,TODAY()-E639)+ROW()/100000,"")</f>
        <v/>
      </c>
      <c r="O639" s="32" t="str">
        <f aca="false">IF(N639="","",RANK(N639,$N$2:$N$1000))</f>
        <v/>
      </c>
    </row>
    <row r="640" customFormat="false" ht="15" hidden="false" customHeight="false" outlineLevel="0" collapsed="false">
      <c r="A640" s="33"/>
      <c r="B640" s="33"/>
      <c r="C640" s="33"/>
      <c r="D640" s="33"/>
      <c r="E640" s="34"/>
      <c r="F640" s="34"/>
      <c r="G640" s="35" t="str">
        <f aca="true">IF(OR(E640="",J640=0),"",IF(F640&lt;&gt;"",F640-E640,TODAY()-E640))</f>
        <v/>
      </c>
      <c r="H640" s="29"/>
      <c r="I640" s="33"/>
      <c r="J640" s="32" t="n">
        <f aca="false">IF(OR(D640="",D640="Planned"),0,1)</f>
        <v>0</v>
      </c>
      <c r="K640" s="32" t="n">
        <f aca="false">IF(OR(D640="Under review",D640="Revision requested"),1,0)</f>
        <v>0</v>
      </c>
      <c r="L640" s="32" t="str">
        <f aca="false">IF(AND(J640=1,E640&lt;&gt;""),E640+ROW()/100000,"")</f>
        <v/>
      </c>
      <c r="M640" s="32" t="str">
        <f aca="false">IF(D640="Planned",ROW(),"")</f>
        <v/>
      </c>
      <c r="N640" s="32" t="str">
        <f aca="true">IF(K640=1,IF(E640="",0,TODAY()-E640)+ROW()/100000,"")</f>
        <v/>
      </c>
      <c r="O640" s="32" t="str">
        <f aca="false">IF(N640="","",RANK(N640,$N$2:$N$1000))</f>
        <v/>
      </c>
    </row>
    <row r="641" customFormat="false" ht="15" hidden="false" customHeight="false" outlineLevel="0" collapsed="false">
      <c r="A641" s="33"/>
      <c r="B641" s="33"/>
      <c r="C641" s="33"/>
      <c r="D641" s="33"/>
      <c r="E641" s="34"/>
      <c r="F641" s="34"/>
      <c r="G641" s="35" t="str">
        <f aca="true">IF(OR(E641="",J641=0),"",IF(F641&lt;&gt;"",F641-E641,TODAY()-E641))</f>
        <v/>
      </c>
      <c r="H641" s="29"/>
      <c r="I641" s="33"/>
      <c r="J641" s="32" t="n">
        <f aca="false">IF(OR(D641="",D641="Planned"),0,1)</f>
        <v>0</v>
      </c>
      <c r="K641" s="32" t="n">
        <f aca="false">IF(OR(D641="Under review",D641="Revision requested"),1,0)</f>
        <v>0</v>
      </c>
      <c r="L641" s="32" t="str">
        <f aca="false">IF(AND(J641=1,E641&lt;&gt;""),E641+ROW()/100000,"")</f>
        <v/>
      </c>
      <c r="M641" s="32" t="str">
        <f aca="false">IF(D641="Planned",ROW(),"")</f>
        <v/>
      </c>
      <c r="N641" s="32" t="str">
        <f aca="true">IF(K641=1,IF(E641="",0,TODAY()-E641)+ROW()/100000,"")</f>
        <v/>
      </c>
      <c r="O641" s="32" t="str">
        <f aca="false">IF(N641="","",RANK(N641,$N$2:$N$1000))</f>
        <v/>
      </c>
    </row>
    <row r="642" customFormat="false" ht="15" hidden="false" customHeight="false" outlineLevel="0" collapsed="false">
      <c r="A642" s="33"/>
      <c r="B642" s="33"/>
      <c r="C642" s="33"/>
      <c r="D642" s="33"/>
      <c r="E642" s="34"/>
      <c r="F642" s="34"/>
      <c r="G642" s="35" t="str">
        <f aca="true">IF(OR(E642="",J642=0),"",IF(F642&lt;&gt;"",F642-E642,TODAY()-E642))</f>
        <v/>
      </c>
      <c r="H642" s="29"/>
      <c r="I642" s="33"/>
      <c r="J642" s="32" t="n">
        <f aca="false">IF(OR(D642="",D642="Planned"),0,1)</f>
        <v>0</v>
      </c>
      <c r="K642" s="32" t="n">
        <f aca="false">IF(OR(D642="Under review",D642="Revision requested"),1,0)</f>
        <v>0</v>
      </c>
      <c r="L642" s="32" t="str">
        <f aca="false">IF(AND(J642=1,E642&lt;&gt;""),E642+ROW()/100000,"")</f>
        <v/>
      </c>
      <c r="M642" s="32" t="str">
        <f aca="false">IF(D642="Planned",ROW(),"")</f>
        <v/>
      </c>
      <c r="N642" s="32" t="str">
        <f aca="true">IF(K642=1,IF(E642="",0,TODAY()-E642)+ROW()/100000,"")</f>
        <v/>
      </c>
      <c r="O642" s="32" t="str">
        <f aca="false">IF(N642="","",RANK(N642,$N$2:$N$1000))</f>
        <v/>
      </c>
    </row>
    <row r="643" customFormat="false" ht="15" hidden="false" customHeight="false" outlineLevel="0" collapsed="false">
      <c r="A643" s="33"/>
      <c r="B643" s="33"/>
      <c r="C643" s="33"/>
      <c r="D643" s="33"/>
      <c r="E643" s="34"/>
      <c r="F643" s="34"/>
      <c r="G643" s="35" t="str">
        <f aca="true">IF(OR(E643="",J643=0),"",IF(F643&lt;&gt;"",F643-E643,TODAY()-E643))</f>
        <v/>
      </c>
      <c r="H643" s="29"/>
      <c r="I643" s="33"/>
      <c r="J643" s="32" t="n">
        <f aca="false">IF(OR(D643="",D643="Planned"),0,1)</f>
        <v>0</v>
      </c>
      <c r="K643" s="32" t="n">
        <f aca="false">IF(OR(D643="Under review",D643="Revision requested"),1,0)</f>
        <v>0</v>
      </c>
      <c r="L643" s="32" t="str">
        <f aca="false">IF(AND(J643=1,E643&lt;&gt;""),E643+ROW()/100000,"")</f>
        <v/>
      </c>
      <c r="M643" s="32" t="str">
        <f aca="false">IF(D643="Planned",ROW(),"")</f>
        <v/>
      </c>
      <c r="N643" s="32" t="str">
        <f aca="true">IF(K643=1,IF(E643="",0,TODAY()-E643)+ROW()/100000,"")</f>
        <v/>
      </c>
      <c r="O643" s="32" t="str">
        <f aca="false">IF(N643="","",RANK(N643,$N$2:$N$1000))</f>
        <v/>
      </c>
    </row>
    <row r="644" customFormat="false" ht="15" hidden="false" customHeight="false" outlineLevel="0" collapsed="false">
      <c r="A644" s="33"/>
      <c r="B644" s="33"/>
      <c r="C644" s="33"/>
      <c r="D644" s="33"/>
      <c r="E644" s="34"/>
      <c r="F644" s="34"/>
      <c r="G644" s="35" t="str">
        <f aca="true">IF(OR(E644="",J644=0),"",IF(F644&lt;&gt;"",F644-E644,TODAY()-E644))</f>
        <v/>
      </c>
      <c r="H644" s="29"/>
      <c r="I644" s="33"/>
      <c r="J644" s="32" t="n">
        <f aca="false">IF(OR(D644="",D644="Planned"),0,1)</f>
        <v>0</v>
      </c>
      <c r="K644" s="32" t="n">
        <f aca="false">IF(OR(D644="Under review",D644="Revision requested"),1,0)</f>
        <v>0</v>
      </c>
      <c r="L644" s="32" t="str">
        <f aca="false">IF(AND(J644=1,E644&lt;&gt;""),E644+ROW()/100000,"")</f>
        <v/>
      </c>
      <c r="M644" s="32" t="str">
        <f aca="false">IF(D644="Planned",ROW(),"")</f>
        <v/>
      </c>
      <c r="N644" s="32" t="str">
        <f aca="true">IF(K644=1,IF(E644="",0,TODAY()-E644)+ROW()/100000,"")</f>
        <v/>
      </c>
      <c r="O644" s="32" t="str">
        <f aca="false">IF(N644="","",RANK(N644,$N$2:$N$1000))</f>
        <v/>
      </c>
    </row>
    <row r="645" customFormat="false" ht="15" hidden="false" customHeight="false" outlineLevel="0" collapsed="false">
      <c r="A645" s="33"/>
      <c r="B645" s="33"/>
      <c r="C645" s="33"/>
      <c r="D645" s="33"/>
      <c r="E645" s="34"/>
      <c r="F645" s="34"/>
      <c r="G645" s="35" t="str">
        <f aca="true">IF(OR(E645="",J645=0),"",IF(F645&lt;&gt;"",F645-E645,TODAY()-E645))</f>
        <v/>
      </c>
      <c r="H645" s="29"/>
      <c r="I645" s="33"/>
      <c r="J645" s="32" t="n">
        <f aca="false">IF(OR(D645="",D645="Planned"),0,1)</f>
        <v>0</v>
      </c>
      <c r="K645" s="32" t="n">
        <f aca="false">IF(OR(D645="Under review",D645="Revision requested"),1,0)</f>
        <v>0</v>
      </c>
      <c r="L645" s="32" t="str">
        <f aca="false">IF(AND(J645=1,E645&lt;&gt;""),E645+ROW()/100000,"")</f>
        <v/>
      </c>
      <c r="M645" s="32" t="str">
        <f aca="false">IF(D645="Planned",ROW(),"")</f>
        <v/>
      </c>
      <c r="N645" s="32" t="str">
        <f aca="true">IF(K645=1,IF(E645="",0,TODAY()-E645)+ROW()/100000,"")</f>
        <v/>
      </c>
      <c r="O645" s="32" t="str">
        <f aca="false">IF(N645="","",RANK(N645,$N$2:$N$1000))</f>
        <v/>
      </c>
    </row>
    <row r="646" customFormat="false" ht="15" hidden="false" customHeight="false" outlineLevel="0" collapsed="false">
      <c r="A646" s="33"/>
      <c r="B646" s="33"/>
      <c r="C646" s="33"/>
      <c r="D646" s="33"/>
      <c r="E646" s="34"/>
      <c r="F646" s="34"/>
      <c r="G646" s="35" t="str">
        <f aca="true">IF(OR(E646="",J646=0),"",IF(F646&lt;&gt;"",F646-E646,TODAY()-E646))</f>
        <v/>
      </c>
      <c r="H646" s="29"/>
      <c r="I646" s="33"/>
      <c r="J646" s="32" t="n">
        <f aca="false">IF(OR(D646="",D646="Planned"),0,1)</f>
        <v>0</v>
      </c>
      <c r="K646" s="32" t="n">
        <f aca="false">IF(OR(D646="Under review",D646="Revision requested"),1,0)</f>
        <v>0</v>
      </c>
      <c r="L646" s="32" t="str">
        <f aca="false">IF(AND(J646=1,E646&lt;&gt;""),E646+ROW()/100000,"")</f>
        <v/>
      </c>
      <c r="M646" s="32" t="str">
        <f aca="false">IF(D646="Planned",ROW(),"")</f>
        <v/>
      </c>
      <c r="N646" s="32" t="str">
        <f aca="true">IF(K646=1,IF(E646="",0,TODAY()-E646)+ROW()/100000,"")</f>
        <v/>
      </c>
      <c r="O646" s="32" t="str">
        <f aca="false">IF(N646="","",RANK(N646,$N$2:$N$1000))</f>
        <v/>
      </c>
    </row>
    <row r="647" customFormat="false" ht="15" hidden="false" customHeight="false" outlineLevel="0" collapsed="false">
      <c r="A647" s="33"/>
      <c r="B647" s="33"/>
      <c r="C647" s="33"/>
      <c r="D647" s="33"/>
      <c r="E647" s="34"/>
      <c r="F647" s="34"/>
      <c r="G647" s="35" t="str">
        <f aca="true">IF(OR(E647="",J647=0),"",IF(F647&lt;&gt;"",F647-E647,TODAY()-E647))</f>
        <v/>
      </c>
      <c r="H647" s="29"/>
      <c r="I647" s="33"/>
      <c r="J647" s="32" t="n">
        <f aca="false">IF(OR(D647="",D647="Planned"),0,1)</f>
        <v>0</v>
      </c>
      <c r="K647" s="32" t="n">
        <f aca="false">IF(OR(D647="Under review",D647="Revision requested"),1,0)</f>
        <v>0</v>
      </c>
      <c r="L647" s="32" t="str">
        <f aca="false">IF(AND(J647=1,E647&lt;&gt;""),E647+ROW()/100000,"")</f>
        <v/>
      </c>
      <c r="M647" s="32" t="str">
        <f aca="false">IF(D647="Planned",ROW(),"")</f>
        <v/>
      </c>
      <c r="N647" s="32" t="str">
        <f aca="true">IF(K647=1,IF(E647="",0,TODAY()-E647)+ROW()/100000,"")</f>
        <v/>
      </c>
      <c r="O647" s="32" t="str">
        <f aca="false">IF(N647="","",RANK(N647,$N$2:$N$1000))</f>
        <v/>
      </c>
    </row>
    <row r="648" customFormat="false" ht="15" hidden="false" customHeight="false" outlineLevel="0" collapsed="false">
      <c r="A648" s="33"/>
      <c r="B648" s="33"/>
      <c r="C648" s="33"/>
      <c r="D648" s="33"/>
      <c r="E648" s="34"/>
      <c r="F648" s="34"/>
      <c r="G648" s="35" t="str">
        <f aca="true">IF(OR(E648="",J648=0),"",IF(F648&lt;&gt;"",F648-E648,TODAY()-E648))</f>
        <v/>
      </c>
      <c r="H648" s="29"/>
      <c r="I648" s="33"/>
      <c r="J648" s="32" t="n">
        <f aca="false">IF(OR(D648="",D648="Planned"),0,1)</f>
        <v>0</v>
      </c>
      <c r="K648" s="32" t="n">
        <f aca="false">IF(OR(D648="Under review",D648="Revision requested"),1,0)</f>
        <v>0</v>
      </c>
      <c r="L648" s="32" t="str">
        <f aca="false">IF(AND(J648=1,E648&lt;&gt;""),E648+ROW()/100000,"")</f>
        <v/>
      </c>
      <c r="M648" s="32" t="str">
        <f aca="false">IF(D648="Planned",ROW(),"")</f>
        <v/>
      </c>
      <c r="N648" s="32" t="str">
        <f aca="true">IF(K648=1,IF(E648="",0,TODAY()-E648)+ROW()/100000,"")</f>
        <v/>
      </c>
      <c r="O648" s="32" t="str">
        <f aca="false">IF(N648="","",RANK(N648,$N$2:$N$1000))</f>
        <v/>
      </c>
    </row>
    <row r="649" customFormat="false" ht="15" hidden="false" customHeight="false" outlineLevel="0" collapsed="false">
      <c r="A649" s="33"/>
      <c r="B649" s="33"/>
      <c r="C649" s="33"/>
      <c r="D649" s="33"/>
      <c r="E649" s="34"/>
      <c r="F649" s="34"/>
      <c r="G649" s="35" t="str">
        <f aca="true">IF(OR(E649="",J649=0),"",IF(F649&lt;&gt;"",F649-E649,TODAY()-E649))</f>
        <v/>
      </c>
      <c r="H649" s="29"/>
      <c r="I649" s="33"/>
      <c r="J649" s="32" t="n">
        <f aca="false">IF(OR(D649="",D649="Planned"),0,1)</f>
        <v>0</v>
      </c>
      <c r="K649" s="32" t="n">
        <f aca="false">IF(OR(D649="Under review",D649="Revision requested"),1,0)</f>
        <v>0</v>
      </c>
      <c r="L649" s="32" t="str">
        <f aca="false">IF(AND(J649=1,E649&lt;&gt;""),E649+ROW()/100000,"")</f>
        <v/>
      </c>
      <c r="M649" s="32" t="str">
        <f aca="false">IF(D649="Planned",ROW(),"")</f>
        <v/>
      </c>
      <c r="N649" s="32" t="str">
        <f aca="true">IF(K649=1,IF(E649="",0,TODAY()-E649)+ROW()/100000,"")</f>
        <v/>
      </c>
      <c r="O649" s="32" t="str">
        <f aca="false">IF(N649="","",RANK(N649,$N$2:$N$1000))</f>
        <v/>
      </c>
    </row>
    <row r="650" customFormat="false" ht="15" hidden="false" customHeight="false" outlineLevel="0" collapsed="false">
      <c r="A650" s="33"/>
      <c r="B650" s="33"/>
      <c r="C650" s="33"/>
      <c r="D650" s="33"/>
      <c r="E650" s="34"/>
      <c r="F650" s="34"/>
      <c r="G650" s="35" t="str">
        <f aca="true">IF(OR(E650="",J650=0),"",IF(F650&lt;&gt;"",F650-E650,TODAY()-E650))</f>
        <v/>
      </c>
      <c r="H650" s="29"/>
      <c r="I650" s="33"/>
      <c r="J650" s="32" t="n">
        <f aca="false">IF(OR(D650="",D650="Planned"),0,1)</f>
        <v>0</v>
      </c>
      <c r="K650" s="32" t="n">
        <f aca="false">IF(OR(D650="Under review",D650="Revision requested"),1,0)</f>
        <v>0</v>
      </c>
      <c r="L650" s="32" t="str">
        <f aca="false">IF(AND(J650=1,E650&lt;&gt;""),E650+ROW()/100000,"")</f>
        <v/>
      </c>
      <c r="M650" s="32" t="str">
        <f aca="false">IF(D650="Planned",ROW(),"")</f>
        <v/>
      </c>
      <c r="N650" s="32" t="str">
        <f aca="true">IF(K650=1,IF(E650="",0,TODAY()-E650)+ROW()/100000,"")</f>
        <v/>
      </c>
      <c r="O650" s="32" t="str">
        <f aca="false">IF(N650="","",RANK(N650,$N$2:$N$1000))</f>
        <v/>
      </c>
    </row>
    <row r="651" customFormat="false" ht="15" hidden="false" customHeight="false" outlineLevel="0" collapsed="false">
      <c r="A651" s="33"/>
      <c r="B651" s="33"/>
      <c r="C651" s="33"/>
      <c r="D651" s="33"/>
      <c r="E651" s="34"/>
      <c r="F651" s="34"/>
      <c r="G651" s="35" t="str">
        <f aca="true">IF(OR(E651="",J651=0),"",IF(F651&lt;&gt;"",F651-E651,TODAY()-E651))</f>
        <v/>
      </c>
      <c r="H651" s="29"/>
      <c r="I651" s="33"/>
      <c r="J651" s="32" t="n">
        <f aca="false">IF(OR(D651="",D651="Planned"),0,1)</f>
        <v>0</v>
      </c>
      <c r="K651" s="32" t="n">
        <f aca="false">IF(OR(D651="Under review",D651="Revision requested"),1,0)</f>
        <v>0</v>
      </c>
      <c r="L651" s="32" t="str">
        <f aca="false">IF(AND(J651=1,E651&lt;&gt;""),E651+ROW()/100000,"")</f>
        <v/>
      </c>
      <c r="M651" s="32" t="str">
        <f aca="false">IF(D651="Planned",ROW(),"")</f>
        <v/>
      </c>
      <c r="N651" s="32" t="str">
        <f aca="true">IF(K651=1,IF(E651="",0,TODAY()-E651)+ROW()/100000,"")</f>
        <v/>
      </c>
      <c r="O651" s="32" t="str">
        <f aca="false">IF(N651="","",RANK(N651,$N$2:$N$1000))</f>
        <v/>
      </c>
    </row>
    <row r="652" customFormat="false" ht="15" hidden="false" customHeight="false" outlineLevel="0" collapsed="false">
      <c r="A652" s="33"/>
      <c r="B652" s="33"/>
      <c r="C652" s="33"/>
      <c r="D652" s="33"/>
      <c r="E652" s="34"/>
      <c r="F652" s="34"/>
      <c r="G652" s="35" t="str">
        <f aca="true">IF(OR(E652="",J652=0),"",IF(F652&lt;&gt;"",F652-E652,TODAY()-E652))</f>
        <v/>
      </c>
      <c r="H652" s="29"/>
      <c r="I652" s="33"/>
      <c r="J652" s="32" t="n">
        <f aca="false">IF(OR(D652="",D652="Planned"),0,1)</f>
        <v>0</v>
      </c>
      <c r="K652" s="32" t="n">
        <f aca="false">IF(OR(D652="Under review",D652="Revision requested"),1,0)</f>
        <v>0</v>
      </c>
      <c r="L652" s="32" t="str">
        <f aca="false">IF(AND(J652=1,E652&lt;&gt;""),E652+ROW()/100000,"")</f>
        <v/>
      </c>
      <c r="M652" s="32" t="str">
        <f aca="false">IF(D652="Planned",ROW(),"")</f>
        <v/>
      </c>
      <c r="N652" s="32" t="str">
        <f aca="true">IF(K652=1,IF(E652="",0,TODAY()-E652)+ROW()/100000,"")</f>
        <v/>
      </c>
      <c r="O652" s="32" t="str">
        <f aca="false">IF(N652="","",RANK(N652,$N$2:$N$1000))</f>
        <v/>
      </c>
    </row>
    <row r="653" customFormat="false" ht="15" hidden="false" customHeight="false" outlineLevel="0" collapsed="false">
      <c r="A653" s="33"/>
      <c r="B653" s="33"/>
      <c r="C653" s="33"/>
      <c r="D653" s="33"/>
      <c r="E653" s="34"/>
      <c r="F653" s="34"/>
      <c r="G653" s="35" t="str">
        <f aca="true">IF(OR(E653="",J653=0),"",IF(F653&lt;&gt;"",F653-E653,TODAY()-E653))</f>
        <v/>
      </c>
      <c r="H653" s="29"/>
      <c r="I653" s="33"/>
      <c r="J653" s="32" t="n">
        <f aca="false">IF(OR(D653="",D653="Planned"),0,1)</f>
        <v>0</v>
      </c>
      <c r="K653" s="32" t="n">
        <f aca="false">IF(OR(D653="Under review",D653="Revision requested"),1,0)</f>
        <v>0</v>
      </c>
      <c r="L653" s="32" t="str">
        <f aca="false">IF(AND(J653=1,E653&lt;&gt;""),E653+ROW()/100000,"")</f>
        <v/>
      </c>
      <c r="M653" s="32" t="str">
        <f aca="false">IF(D653="Planned",ROW(),"")</f>
        <v/>
      </c>
      <c r="N653" s="32" t="str">
        <f aca="true">IF(K653=1,IF(E653="",0,TODAY()-E653)+ROW()/100000,"")</f>
        <v/>
      </c>
      <c r="O653" s="32" t="str">
        <f aca="false">IF(N653="","",RANK(N653,$N$2:$N$1000))</f>
        <v/>
      </c>
    </row>
    <row r="654" customFormat="false" ht="15" hidden="false" customHeight="false" outlineLevel="0" collapsed="false">
      <c r="A654" s="33"/>
      <c r="B654" s="33"/>
      <c r="C654" s="33"/>
      <c r="D654" s="33"/>
      <c r="E654" s="34"/>
      <c r="F654" s="34"/>
      <c r="G654" s="35" t="str">
        <f aca="true">IF(OR(E654="",J654=0),"",IF(F654&lt;&gt;"",F654-E654,TODAY()-E654))</f>
        <v/>
      </c>
      <c r="H654" s="29"/>
      <c r="I654" s="33"/>
      <c r="J654" s="32" t="n">
        <f aca="false">IF(OR(D654="",D654="Planned"),0,1)</f>
        <v>0</v>
      </c>
      <c r="K654" s="32" t="n">
        <f aca="false">IF(OR(D654="Under review",D654="Revision requested"),1,0)</f>
        <v>0</v>
      </c>
      <c r="L654" s="32" t="str">
        <f aca="false">IF(AND(J654=1,E654&lt;&gt;""),E654+ROW()/100000,"")</f>
        <v/>
      </c>
      <c r="M654" s="32" t="str">
        <f aca="false">IF(D654="Planned",ROW(),"")</f>
        <v/>
      </c>
      <c r="N654" s="32" t="str">
        <f aca="true">IF(K654=1,IF(E654="",0,TODAY()-E654)+ROW()/100000,"")</f>
        <v/>
      </c>
      <c r="O654" s="32" t="str">
        <f aca="false">IF(N654="","",RANK(N654,$N$2:$N$1000))</f>
        <v/>
      </c>
    </row>
    <row r="655" customFormat="false" ht="15" hidden="false" customHeight="false" outlineLevel="0" collapsed="false">
      <c r="A655" s="33"/>
      <c r="B655" s="33"/>
      <c r="C655" s="33"/>
      <c r="D655" s="33"/>
      <c r="E655" s="34"/>
      <c r="F655" s="34"/>
      <c r="G655" s="35" t="str">
        <f aca="true">IF(OR(E655="",J655=0),"",IF(F655&lt;&gt;"",F655-E655,TODAY()-E655))</f>
        <v/>
      </c>
      <c r="H655" s="29"/>
      <c r="I655" s="33"/>
      <c r="J655" s="32" t="n">
        <f aca="false">IF(OR(D655="",D655="Planned"),0,1)</f>
        <v>0</v>
      </c>
      <c r="K655" s="32" t="n">
        <f aca="false">IF(OR(D655="Under review",D655="Revision requested"),1,0)</f>
        <v>0</v>
      </c>
      <c r="L655" s="32" t="str">
        <f aca="false">IF(AND(J655=1,E655&lt;&gt;""),E655+ROW()/100000,"")</f>
        <v/>
      </c>
      <c r="M655" s="32" t="str">
        <f aca="false">IF(D655="Planned",ROW(),"")</f>
        <v/>
      </c>
      <c r="N655" s="32" t="str">
        <f aca="true">IF(K655=1,IF(E655="",0,TODAY()-E655)+ROW()/100000,"")</f>
        <v/>
      </c>
      <c r="O655" s="32" t="str">
        <f aca="false">IF(N655="","",RANK(N655,$N$2:$N$1000))</f>
        <v/>
      </c>
    </row>
    <row r="656" customFormat="false" ht="15" hidden="false" customHeight="false" outlineLevel="0" collapsed="false">
      <c r="A656" s="33"/>
      <c r="B656" s="33"/>
      <c r="C656" s="33"/>
      <c r="D656" s="33"/>
      <c r="E656" s="34"/>
      <c r="F656" s="34"/>
      <c r="G656" s="35" t="str">
        <f aca="true">IF(OR(E656="",J656=0),"",IF(F656&lt;&gt;"",F656-E656,TODAY()-E656))</f>
        <v/>
      </c>
      <c r="H656" s="29"/>
      <c r="I656" s="33"/>
      <c r="J656" s="32" t="n">
        <f aca="false">IF(OR(D656="",D656="Planned"),0,1)</f>
        <v>0</v>
      </c>
      <c r="K656" s="32" t="n">
        <f aca="false">IF(OR(D656="Under review",D656="Revision requested"),1,0)</f>
        <v>0</v>
      </c>
      <c r="L656" s="32" t="str">
        <f aca="false">IF(AND(J656=1,E656&lt;&gt;""),E656+ROW()/100000,"")</f>
        <v/>
      </c>
      <c r="M656" s="32" t="str">
        <f aca="false">IF(D656="Planned",ROW(),"")</f>
        <v/>
      </c>
      <c r="N656" s="32" t="str">
        <f aca="true">IF(K656=1,IF(E656="",0,TODAY()-E656)+ROW()/100000,"")</f>
        <v/>
      </c>
      <c r="O656" s="32" t="str">
        <f aca="false">IF(N656="","",RANK(N656,$N$2:$N$1000))</f>
        <v/>
      </c>
    </row>
    <row r="657" customFormat="false" ht="15" hidden="false" customHeight="false" outlineLevel="0" collapsed="false">
      <c r="A657" s="33"/>
      <c r="B657" s="33"/>
      <c r="C657" s="33"/>
      <c r="D657" s="33"/>
      <c r="E657" s="34"/>
      <c r="F657" s="34"/>
      <c r="G657" s="35" t="str">
        <f aca="true">IF(OR(E657="",J657=0),"",IF(F657&lt;&gt;"",F657-E657,TODAY()-E657))</f>
        <v/>
      </c>
      <c r="H657" s="29"/>
      <c r="I657" s="33"/>
      <c r="J657" s="32" t="n">
        <f aca="false">IF(OR(D657="",D657="Planned"),0,1)</f>
        <v>0</v>
      </c>
      <c r="K657" s="32" t="n">
        <f aca="false">IF(OR(D657="Under review",D657="Revision requested"),1,0)</f>
        <v>0</v>
      </c>
      <c r="L657" s="32" t="str">
        <f aca="false">IF(AND(J657=1,E657&lt;&gt;""),E657+ROW()/100000,"")</f>
        <v/>
      </c>
      <c r="M657" s="32" t="str">
        <f aca="false">IF(D657="Planned",ROW(),"")</f>
        <v/>
      </c>
      <c r="N657" s="32" t="str">
        <f aca="true">IF(K657=1,IF(E657="",0,TODAY()-E657)+ROW()/100000,"")</f>
        <v/>
      </c>
      <c r="O657" s="32" t="str">
        <f aca="false">IF(N657="","",RANK(N657,$N$2:$N$1000))</f>
        <v/>
      </c>
    </row>
    <row r="658" customFormat="false" ht="15" hidden="false" customHeight="false" outlineLevel="0" collapsed="false">
      <c r="A658" s="33"/>
      <c r="B658" s="33"/>
      <c r="C658" s="33"/>
      <c r="D658" s="33"/>
      <c r="E658" s="34"/>
      <c r="F658" s="34"/>
      <c r="G658" s="35" t="str">
        <f aca="true">IF(OR(E658="",J658=0),"",IF(F658&lt;&gt;"",F658-E658,TODAY()-E658))</f>
        <v/>
      </c>
      <c r="H658" s="29"/>
      <c r="I658" s="33"/>
      <c r="J658" s="32" t="n">
        <f aca="false">IF(OR(D658="",D658="Planned"),0,1)</f>
        <v>0</v>
      </c>
      <c r="K658" s="32" t="n">
        <f aca="false">IF(OR(D658="Under review",D658="Revision requested"),1,0)</f>
        <v>0</v>
      </c>
      <c r="L658" s="32" t="str">
        <f aca="false">IF(AND(J658=1,E658&lt;&gt;""),E658+ROW()/100000,"")</f>
        <v/>
      </c>
      <c r="M658" s="32" t="str">
        <f aca="false">IF(D658="Planned",ROW(),"")</f>
        <v/>
      </c>
      <c r="N658" s="32" t="str">
        <f aca="true">IF(K658=1,IF(E658="",0,TODAY()-E658)+ROW()/100000,"")</f>
        <v/>
      </c>
      <c r="O658" s="32" t="str">
        <f aca="false">IF(N658="","",RANK(N658,$N$2:$N$1000))</f>
        <v/>
      </c>
    </row>
    <row r="659" customFormat="false" ht="15" hidden="false" customHeight="false" outlineLevel="0" collapsed="false">
      <c r="A659" s="33"/>
      <c r="B659" s="33"/>
      <c r="C659" s="33"/>
      <c r="D659" s="33"/>
      <c r="E659" s="34"/>
      <c r="F659" s="34"/>
      <c r="G659" s="35" t="str">
        <f aca="true">IF(OR(E659="",J659=0),"",IF(F659&lt;&gt;"",F659-E659,TODAY()-E659))</f>
        <v/>
      </c>
      <c r="H659" s="29"/>
      <c r="I659" s="33"/>
      <c r="J659" s="32" t="n">
        <f aca="false">IF(OR(D659="",D659="Planned"),0,1)</f>
        <v>0</v>
      </c>
      <c r="K659" s="32" t="n">
        <f aca="false">IF(OR(D659="Under review",D659="Revision requested"),1,0)</f>
        <v>0</v>
      </c>
      <c r="L659" s="32" t="str">
        <f aca="false">IF(AND(J659=1,E659&lt;&gt;""),E659+ROW()/100000,"")</f>
        <v/>
      </c>
      <c r="M659" s="32" t="str">
        <f aca="false">IF(D659="Planned",ROW(),"")</f>
        <v/>
      </c>
      <c r="N659" s="32" t="str">
        <f aca="true">IF(K659=1,IF(E659="",0,TODAY()-E659)+ROW()/100000,"")</f>
        <v/>
      </c>
      <c r="O659" s="32" t="str">
        <f aca="false">IF(N659="","",RANK(N659,$N$2:$N$1000))</f>
        <v/>
      </c>
    </row>
    <row r="660" customFormat="false" ht="15" hidden="false" customHeight="false" outlineLevel="0" collapsed="false">
      <c r="A660" s="33"/>
      <c r="B660" s="33"/>
      <c r="C660" s="33"/>
      <c r="D660" s="33"/>
      <c r="E660" s="34"/>
      <c r="F660" s="34"/>
      <c r="G660" s="35" t="str">
        <f aca="true">IF(OR(E660="",J660=0),"",IF(F660&lt;&gt;"",F660-E660,TODAY()-E660))</f>
        <v/>
      </c>
      <c r="H660" s="29"/>
      <c r="I660" s="33"/>
      <c r="J660" s="32" t="n">
        <f aca="false">IF(OR(D660="",D660="Planned"),0,1)</f>
        <v>0</v>
      </c>
      <c r="K660" s="32" t="n">
        <f aca="false">IF(OR(D660="Under review",D660="Revision requested"),1,0)</f>
        <v>0</v>
      </c>
      <c r="L660" s="32" t="str">
        <f aca="false">IF(AND(J660=1,E660&lt;&gt;""),E660+ROW()/100000,"")</f>
        <v/>
      </c>
      <c r="M660" s="32" t="str">
        <f aca="false">IF(D660="Planned",ROW(),"")</f>
        <v/>
      </c>
      <c r="N660" s="32" t="str">
        <f aca="true">IF(K660=1,IF(E660="",0,TODAY()-E660)+ROW()/100000,"")</f>
        <v/>
      </c>
      <c r="O660" s="32" t="str">
        <f aca="false">IF(N660="","",RANK(N660,$N$2:$N$1000))</f>
        <v/>
      </c>
    </row>
    <row r="661" customFormat="false" ht="15" hidden="false" customHeight="false" outlineLevel="0" collapsed="false">
      <c r="A661" s="33"/>
      <c r="B661" s="33"/>
      <c r="C661" s="33"/>
      <c r="D661" s="33"/>
      <c r="E661" s="34"/>
      <c r="F661" s="34"/>
      <c r="G661" s="35" t="str">
        <f aca="true">IF(OR(E661="",J661=0),"",IF(F661&lt;&gt;"",F661-E661,TODAY()-E661))</f>
        <v/>
      </c>
      <c r="H661" s="29"/>
      <c r="I661" s="33"/>
      <c r="J661" s="32" t="n">
        <f aca="false">IF(OR(D661="",D661="Planned"),0,1)</f>
        <v>0</v>
      </c>
      <c r="K661" s="32" t="n">
        <f aca="false">IF(OR(D661="Under review",D661="Revision requested"),1,0)</f>
        <v>0</v>
      </c>
      <c r="L661" s="32" t="str">
        <f aca="false">IF(AND(J661=1,E661&lt;&gt;""),E661+ROW()/100000,"")</f>
        <v/>
      </c>
      <c r="M661" s="32" t="str">
        <f aca="false">IF(D661="Planned",ROW(),"")</f>
        <v/>
      </c>
      <c r="N661" s="32" t="str">
        <f aca="true">IF(K661=1,IF(E661="",0,TODAY()-E661)+ROW()/100000,"")</f>
        <v/>
      </c>
      <c r="O661" s="32" t="str">
        <f aca="false">IF(N661="","",RANK(N661,$N$2:$N$1000))</f>
        <v/>
      </c>
    </row>
    <row r="662" customFormat="false" ht="15" hidden="false" customHeight="false" outlineLevel="0" collapsed="false">
      <c r="A662" s="33"/>
      <c r="B662" s="33"/>
      <c r="C662" s="33"/>
      <c r="D662" s="33"/>
      <c r="E662" s="34"/>
      <c r="F662" s="34"/>
      <c r="G662" s="35" t="str">
        <f aca="true">IF(OR(E662="",J662=0),"",IF(F662&lt;&gt;"",F662-E662,TODAY()-E662))</f>
        <v/>
      </c>
      <c r="H662" s="29"/>
      <c r="I662" s="33"/>
      <c r="J662" s="32" t="n">
        <f aca="false">IF(OR(D662="",D662="Planned"),0,1)</f>
        <v>0</v>
      </c>
      <c r="K662" s="32" t="n">
        <f aca="false">IF(OR(D662="Under review",D662="Revision requested"),1,0)</f>
        <v>0</v>
      </c>
      <c r="L662" s="32" t="str">
        <f aca="false">IF(AND(J662=1,E662&lt;&gt;""),E662+ROW()/100000,"")</f>
        <v/>
      </c>
      <c r="M662" s="32" t="str">
        <f aca="false">IF(D662="Planned",ROW(),"")</f>
        <v/>
      </c>
      <c r="N662" s="32" t="str">
        <f aca="true">IF(K662=1,IF(E662="",0,TODAY()-E662)+ROW()/100000,"")</f>
        <v/>
      </c>
      <c r="O662" s="32" t="str">
        <f aca="false">IF(N662="","",RANK(N662,$N$2:$N$1000))</f>
        <v/>
      </c>
    </row>
    <row r="663" customFormat="false" ht="15" hidden="false" customHeight="false" outlineLevel="0" collapsed="false">
      <c r="A663" s="33"/>
      <c r="B663" s="33"/>
      <c r="C663" s="33"/>
      <c r="D663" s="33"/>
      <c r="E663" s="34"/>
      <c r="F663" s="34"/>
      <c r="G663" s="35" t="str">
        <f aca="true">IF(OR(E663="",J663=0),"",IF(F663&lt;&gt;"",F663-E663,TODAY()-E663))</f>
        <v/>
      </c>
      <c r="H663" s="29"/>
      <c r="I663" s="33"/>
      <c r="J663" s="32" t="n">
        <f aca="false">IF(OR(D663="",D663="Planned"),0,1)</f>
        <v>0</v>
      </c>
      <c r="K663" s="32" t="n">
        <f aca="false">IF(OR(D663="Under review",D663="Revision requested"),1,0)</f>
        <v>0</v>
      </c>
      <c r="L663" s="32" t="str">
        <f aca="false">IF(AND(J663=1,E663&lt;&gt;""),E663+ROW()/100000,"")</f>
        <v/>
      </c>
      <c r="M663" s="32" t="str">
        <f aca="false">IF(D663="Planned",ROW(),"")</f>
        <v/>
      </c>
      <c r="N663" s="32" t="str">
        <f aca="true">IF(K663=1,IF(E663="",0,TODAY()-E663)+ROW()/100000,"")</f>
        <v/>
      </c>
      <c r="O663" s="32" t="str">
        <f aca="false">IF(N663="","",RANK(N663,$N$2:$N$1000))</f>
        <v/>
      </c>
    </row>
    <row r="664" customFormat="false" ht="15" hidden="false" customHeight="false" outlineLevel="0" collapsed="false">
      <c r="A664" s="33"/>
      <c r="B664" s="33"/>
      <c r="C664" s="33"/>
      <c r="D664" s="33"/>
      <c r="E664" s="34"/>
      <c r="F664" s="34"/>
      <c r="G664" s="35" t="str">
        <f aca="true">IF(OR(E664="",J664=0),"",IF(F664&lt;&gt;"",F664-E664,TODAY()-E664))</f>
        <v/>
      </c>
      <c r="H664" s="29"/>
      <c r="I664" s="33"/>
      <c r="J664" s="32" t="n">
        <f aca="false">IF(OR(D664="",D664="Planned"),0,1)</f>
        <v>0</v>
      </c>
      <c r="K664" s="32" t="n">
        <f aca="false">IF(OR(D664="Under review",D664="Revision requested"),1,0)</f>
        <v>0</v>
      </c>
      <c r="L664" s="32" t="str">
        <f aca="false">IF(AND(J664=1,E664&lt;&gt;""),E664+ROW()/100000,"")</f>
        <v/>
      </c>
      <c r="M664" s="32" t="str">
        <f aca="false">IF(D664="Planned",ROW(),"")</f>
        <v/>
      </c>
      <c r="N664" s="32" t="str">
        <f aca="true">IF(K664=1,IF(E664="",0,TODAY()-E664)+ROW()/100000,"")</f>
        <v/>
      </c>
      <c r="O664" s="32" t="str">
        <f aca="false">IF(N664="","",RANK(N664,$N$2:$N$1000))</f>
        <v/>
      </c>
    </row>
    <row r="665" customFormat="false" ht="15" hidden="false" customHeight="false" outlineLevel="0" collapsed="false">
      <c r="A665" s="33"/>
      <c r="B665" s="33"/>
      <c r="C665" s="33"/>
      <c r="D665" s="33"/>
      <c r="E665" s="34"/>
      <c r="F665" s="34"/>
      <c r="G665" s="35" t="str">
        <f aca="true">IF(OR(E665="",J665=0),"",IF(F665&lt;&gt;"",F665-E665,TODAY()-E665))</f>
        <v/>
      </c>
      <c r="H665" s="29"/>
      <c r="I665" s="33"/>
      <c r="J665" s="32" t="n">
        <f aca="false">IF(OR(D665="",D665="Planned"),0,1)</f>
        <v>0</v>
      </c>
      <c r="K665" s="32" t="n">
        <f aca="false">IF(OR(D665="Under review",D665="Revision requested"),1,0)</f>
        <v>0</v>
      </c>
      <c r="L665" s="32" t="str">
        <f aca="false">IF(AND(J665=1,E665&lt;&gt;""),E665+ROW()/100000,"")</f>
        <v/>
      </c>
      <c r="M665" s="32" t="str">
        <f aca="false">IF(D665="Planned",ROW(),"")</f>
        <v/>
      </c>
      <c r="N665" s="32" t="str">
        <f aca="true">IF(K665=1,IF(E665="",0,TODAY()-E665)+ROW()/100000,"")</f>
        <v/>
      </c>
      <c r="O665" s="32" t="str">
        <f aca="false">IF(N665="","",RANK(N665,$N$2:$N$1000))</f>
        <v/>
      </c>
    </row>
    <row r="666" customFormat="false" ht="15" hidden="false" customHeight="false" outlineLevel="0" collapsed="false">
      <c r="A666" s="33"/>
      <c r="B666" s="33"/>
      <c r="C666" s="33"/>
      <c r="D666" s="33"/>
      <c r="E666" s="34"/>
      <c r="F666" s="34"/>
      <c r="G666" s="35" t="str">
        <f aca="true">IF(OR(E666="",J666=0),"",IF(F666&lt;&gt;"",F666-E666,TODAY()-E666))</f>
        <v/>
      </c>
      <c r="H666" s="29"/>
      <c r="I666" s="33"/>
      <c r="J666" s="32" t="n">
        <f aca="false">IF(OR(D666="",D666="Planned"),0,1)</f>
        <v>0</v>
      </c>
      <c r="K666" s="32" t="n">
        <f aca="false">IF(OR(D666="Under review",D666="Revision requested"),1,0)</f>
        <v>0</v>
      </c>
      <c r="L666" s="32" t="str">
        <f aca="false">IF(AND(J666=1,E666&lt;&gt;""),E666+ROW()/100000,"")</f>
        <v/>
      </c>
      <c r="M666" s="32" t="str">
        <f aca="false">IF(D666="Planned",ROW(),"")</f>
        <v/>
      </c>
      <c r="N666" s="32" t="str">
        <f aca="true">IF(K666=1,IF(E666="",0,TODAY()-E666)+ROW()/100000,"")</f>
        <v/>
      </c>
      <c r="O666" s="32" t="str">
        <f aca="false">IF(N666="","",RANK(N666,$N$2:$N$1000))</f>
        <v/>
      </c>
    </row>
    <row r="667" customFormat="false" ht="15" hidden="false" customHeight="false" outlineLevel="0" collapsed="false">
      <c r="A667" s="33"/>
      <c r="B667" s="33"/>
      <c r="C667" s="33"/>
      <c r="D667" s="33"/>
      <c r="E667" s="34"/>
      <c r="F667" s="34"/>
      <c r="G667" s="35" t="str">
        <f aca="true">IF(OR(E667="",J667=0),"",IF(F667&lt;&gt;"",F667-E667,TODAY()-E667))</f>
        <v/>
      </c>
      <c r="H667" s="29"/>
      <c r="I667" s="33"/>
      <c r="J667" s="32" t="n">
        <f aca="false">IF(OR(D667="",D667="Planned"),0,1)</f>
        <v>0</v>
      </c>
      <c r="K667" s="32" t="n">
        <f aca="false">IF(OR(D667="Under review",D667="Revision requested"),1,0)</f>
        <v>0</v>
      </c>
      <c r="L667" s="32" t="str">
        <f aca="false">IF(AND(J667=1,E667&lt;&gt;""),E667+ROW()/100000,"")</f>
        <v/>
      </c>
      <c r="M667" s="32" t="str">
        <f aca="false">IF(D667="Planned",ROW(),"")</f>
        <v/>
      </c>
      <c r="N667" s="32" t="str">
        <f aca="true">IF(K667=1,IF(E667="",0,TODAY()-E667)+ROW()/100000,"")</f>
        <v/>
      </c>
      <c r="O667" s="32" t="str">
        <f aca="false">IF(N667="","",RANK(N667,$N$2:$N$1000))</f>
        <v/>
      </c>
    </row>
    <row r="668" customFormat="false" ht="15" hidden="false" customHeight="false" outlineLevel="0" collapsed="false">
      <c r="A668" s="33"/>
      <c r="B668" s="33"/>
      <c r="C668" s="33"/>
      <c r="D668" s="33"/>
      <c r="E668" s="34"/>
      <c r="F668" s="34"/>
      <c r="G668" s="35" t="str">
        <f aca="true">IF(OR(E668="",J668=0),"",IF(F668&lt;&gt;"",F668-E668,TODAY()-E668))</f>
        <v/>
      </c>
      <c r="H668" s="29"/>
      <c r="I668" s="33"/>
      <c r="J668" s="32" t="n">
        <f aca="false">IF(OR(D668="",D668="Planned"),0,1)</f>
        <v>0</v>
      </c>
      <c r="K668" s="32" t="n">
        <f aca="false">IF(OR(D668="Under review",D668="Revision requested"),1,0)</f>
        <v>0</v>
      </c>
      <c r="L668" s="32" t="str">
        <f aca="false">IF(AND(J668=1,E668&lt;&gt;""),E668+ROW()/100000,"")</f>
        <v/>
      </c>
      <c r="M668" s="32" t="str">
        <f aca="false">IF(D668="Planned",ROW(),"")</f>
        <v/>
      </c>
      <c r="N668" s="32" t="str">
        <f aca="true">IF(K668=1,IF(E668="",0,TODAY()-E668)+ROW()/100000,"")</f>
        <v/>
      </c>
      <c r="O668" s="32" t="str">
        <f aca="false">IF(N668="","",RANK(N668,$N$2:$N$1000))</f>
        <v/>
      </c>
    </row>
    <row r="669" customFormat="false" ht="15" hidden="false" customHeight="false" outlineLevel="0" collapsed="false">
      <c r="A669" s="33"/>
      <c r="B669" s="33"/>
      <c r="C669" s="33"/>
      <c r="D669" s="33"/>
      <c r="E669" s="34"/>
      <c r="F669" s="34"/>
      <c r="G669" s="35" t="str">
        <f aca="true">IF(OR(E669="",J669=0),"",IF(F669&lt;&gt;"",F669-E669,TODAY()-E669))</f>
        <v/>
      </c>
      <c r="H669" s="29"/>
      <c r="I669" s="33"/>
      <c r="J669" s="32" t="n">
        <f aca="false">IF(OR(D669="",D669="Planned"),0,1)</f>
        <v>0</v>
      </c>
      <c r="K669" s="32" t="n">
        <f aca="false">IF(OR(D669="Under review",D669="Revision requested"),1,0)</f>
        <v>0</v>
      </c>
      <c r="L669" s="32" t="str">
        <f aca="false">IF(AND(J669=1,E669&lt;&gt;""),E669+ROW()/100000,"")</f>
        <v/>
      </c>
      <c r="M669" s="32" t="str">
        <f aca="false">IF(D669="Planned",ROW(),"")</f>
        <v/>
      </c>
      <c r="N669" s="32" t="str">
        <f aca="true">IF(K669=1,IF(E669="",0,TODAY()-E669)+ROW()/100000,"")</f>
        <v/>
      </c>
      <c r="O669" s="32" t="str">
        <f aca="false">IF(N669="","",RANK(N669,$N$2:$N$1000))</f>
        <v/>
      </c>
    </row>
    <row r="670" customFormat="false" ht="15" hidden="false" customHeight="false" outlineLevel="0" collapsed="false">
      <c r="A670" s="33"/>
      <c r="B670" s="33"/>
      <c r="C670" s="33"/>
      <c r="D670" s="33"/>
      <c r="E670" s="34"/>
      <c r="F670" s="34"/>
      <c r="G670" s="35" t="str">
        <f aca="true">IF(OR(E670="",J670=0),"",IF(F670&lt;&gt;"",F670-E670,TODAY()-E670))</f>
        <v/>
      </c>
      <c r="H670" s="29"/>
      <c r="I670" s="33"/>
      <c r="J670" s="32" t="n">
        <f aca="false">IF(OR(D670="",D670="Planned"),0,1)</f>
        <v>0</v>
      </c>
      <c r="K670" s="32" t="n">
        <f aca="false">IF(OR(D670="Under review",D670="Revision requested"),1,0)</f>
        <v>0</v>
      </c>
      <c r="L670" s="32" t="str">
        <f aca="false">IF(AND(J670=1,E670&lt;&gt;""),E670+ROW()/100000,"")</f>
        <v/>
      </c>
      <c r="M670" s="32" t="str">
        <f aca="false">IF(D670="Planned",ROW(),"")</f>
        <v/>
      </c>
      <c r="N670" s="32" t="str">
        <f aca="true">IF(K670=1,IF(E670="",0,TODAY()-E670)+ROW()/100000,"")</f>
        <v/>
      </c>
      <c r="O670" s="32" t="str">
        <f aca="false">IF(N670="","",RANK(N670,$N$2:$N$1000))</f>
        <v/>
      </c>
    </row>
    <row r="671" customFormat="false" ht="15" hidden="false" customHeight="false" outlineLevel="0" collapsed="false">
      <c r="A671" s="33"/>
      <c r="B671" s="33"/>
      <c r="C671" s="33"/>
      <c r="D671" s="33"/>
      <c r="E671" s="34"/>
      <c r="F671" s="34"/>
      <c r="G671" s="35" t="str">
        <f aca="true">IF(OR(E671="",J671=0),"",IF(F671&lt;&gt;"",F671-E671,TODAY()-E671))</f>
        <v/>
      </c>
      <c r="H671" s="29"/>
      <c r="I671" s="33"/>
      <c r="J671" s="32" t="n">
        <f aca="false">IF(OR(D671="",D671="Planned"),0,1)</f>
        <v>0</v>
      </c>
      <c r="K671" s="32" t="n">
        <f aca="false">IF(OR(D671="Under review",D671="Revision requested"),1,0)</f>
        <v>0</v>
      </c>
      <c r="L671" s="32" t="str">
        <f aca="false">IF(AND(J671=1,E671&lt;&gt;""),E671+ROW()/100000,"")</f>
        <v/>
      </c>
      <c r="M671" s="32" t="str">
        <f aca="false">IF(D671="Planned",ROW(),"")</f>
        <v/>
      </c>
      <c r="N671" s="32" t="str">
        <f aca="true">IF(K671=1,IF(E671="",0,TODAY()-E671)+ROW()/100000,"")</f>
        <v/>
      </c>
      <c r="O671" s="32" t="str">
        <f aca="false">IF(N671="","",RANK(N671,$N$2:$N$1000))</f>
        <v/>
      </c>
    </row>
    <row r="672" customFormat="false" ht="15" hidden="false" customHeight="false" outlineLevel="0" collapsed="false">
      <c r="A672" s="33"/>
      <c r="B672" s="33"/>
      <c r="C672" s="33"/>
      <c r="D672" s="33"/>
      <c r="E672" s="34"/>
      <c r="F672" s="34"/>
      <c r="G672" s="35" t="str">
        <f aca="true">IF(OR(E672="",J672=0),"",IF(F672&lt;&gt;"",F672-E672,TODAY()-E672))</f>
        <v/>
      </c>
      <c r="H672" s="29"/>
      <c r="I672" s="33"/>
      <c r="J672" s="32" t="n">
        <f aca="false">IF(OR(D672="",D672="Planned"),0,1)</f>
        <v>0</v>
      </c>
      <c r="K672" s="32" t="n">
        <f aca="false">IF(OR(D672="Under review",D672="Revision requested"),1,0)</f>
        <v>0</v>
      </c>
      <c r="L672" s="32" t="str">
        <f aca="false">IF(AND(J672=1,E672&lt;&gt;""),E672+ROW()/100000,"")</f>
        <v/>
      </c>
      <c r="M672" s="32" t="str">
        <f aca="false">IF(D672="Planned",ROW(),"")</f>
        <v/>
      </c>
      <c r="N672" s="32" t="str">
        <f aca="true">IF(K672=1,IF(E672="",0,TODAY()-E672)+ROW()/100000,"")</f>
        <v/>
      </c>
      <c r="O672" s="32" t="str">
        <f aca="false">IF(N672="","",RANK(N672,$N$2:$N$1000))</f>
        <v/>
      </c>
    </row>
    <row r="673" customFormat="false" ht="15" hidden="false" customHeight="false" outlineLevel="0" collapsed="false">
      <c r="A673" s="33"/>
      <c r="B673" s="33"/>
      <c r="C673" s="33"/>
      <c r="D673" s="33"/>
      <c r="E673" s="34"/>
      <c r="F673" s="34"/>
      <c r="G673" s="35" t="str">
        <f aca="true">IF(OR(E673="",J673=0),"",IF(F673&lt;&gt;"",F673-E673,TODAY()-E673))</f>
        <v/>
      </c>
      <c r="H673" s="29"/>
      <c r="I673" s="33"/>
      <c r="J673" s="32" t="n">
        <f aca="false">IF(OR(D673="",D673="Planned"),0,1)</f>
        <v>0</v>
      </c>
      <c r="K673" s="32" t="n">
        <f aca="false">IF(OR(D673="Under review",D673="Revision requested"),1,0)</f>
        <v>0</v>
      </c>
      <c r="L673" s="32" t="str">
        <f aca="false">IF(AND(J673=1,E673&lt;&gt;""),E673+ROW()/100000,"")</f>
        <v/>
      </c>
      <c r="M673" s="32" t="str">
        <f aca="false">IF(D673="Planned",ROW(),"")</f>
        <v/>
      </c>
      <c r="N673" s="32" t="str">
        <f aca="true">IF(K673=1,IF(E673="",0,TODAY()-E673)+ROW()/100000,"")</f>
        <v/>
      </c>
      <c r="O673" s="32" t="str">
        <f aca="false">IF(N673="","",RANK(N673,$N$2:$N$1000))</f>
        <v/>
      </c>
    </row>
    <row r="674" customFormat="false" ht="15" hidden="false" customHeight="false" outlineLevel="0" collapsed="false">
      <c r="A674" s="33"/>
      <c r="B674" s="33"/>
      <c r="C674" s="33"/>
      <c r="D674" s="33"/>
      <c r="E674" s="34"/>
      <c r="F674" s="34"/>
      <c r="G674" s="35" t="str">
        <f aca="true">IF(OR(E674="",J674=0),"",IF(F674&lt;&gt;"",F674-E674,TODAY()-E674))</f>
        <v/>
      </c>
      <c r="H674" s="29"/>
      <c r="I674" s="33"/>
      <c r="J674" s="32" t="n">
        <f aca="false">IF(OR(D674="",D674="Planned"),0,1)</f>
        <v>0</v>
      </c>
      <c r="K674" s="32" t="n">
        <f aca="false">IF(OR(D674="Under review",D674="Revision requested"),1,0)</f>
        <v>0</v>
      </c>
      <c r="L674" s="32" t="str">
        <f aca="false">IF(AND(J674=1,E674&lt;&gt;""),E674+ROW()/100000,"")</f>
        <v/>
      </c>
      <c r="M674" s="32" t="str">
        <f aca="false">IF(D674="Planned",ROW(),"")</f>
        <v/>
      </c>
      <c r="N674" s="32" t="str">
        <f aca="true">IF(K674=1,IF(E674="",0,TODAY()-E674)+ROW()/100000,"")</f>
        <v/>
      </c>
      <c r="O674" s="32" t="str">
        <f aca="false">IF(N674="","",RANK(N674,$N$2:$N$1000))</f>
        <v/>
      </c>
    </row>
    <row r="675" customFormat="false" ht="15" hidden="false" customHeight="false" outlineLevel="0" collapsed="false">
      <c r="A675" s="33"/>
      <c r="B675" s="33"/>
      <c r="C675" s="33"/>
      <c r="D675" s="33"/>
      <c r="E675" s="34"/>
      <c r="F675" s="34"/>
      <c r="G675" s="35" t="str">
        <f aca="true">IF(OR(E675="",J675=0),"",IF(F675&lt;&gt;"",F675-E675,TODAY()-E675))</f>
        <v/>
      </c>
      <c r="H675" s="29"/>
      <c r="I675" s="33"/>
      <c r="J675" s="32" t="n">
        <f aca="false">IF(OR(D675="",D675="Planned"),0,1)</f>
        <v>0</v>
      </c>
      <c r="K675" s="32" t="n">
        <f aca="false">IF(OR(D675="Under review",D675="Revision requested"),1,0)</f>
        <v>0</v>
      </c>
      <c r="L675" s="32" t="str">
        <f aca="false">IF(AND(J675=1,E675&lt;&gt;""),E675+ROW()/100000,"")</f>
        <v/>
      </c>
      <c r="M675" s="32" t="str">
        <f aca="false">IF(D675="Planned",ROW(),"")</f>
        <v/>
      </c>
      <c r="N675" s="32" t="str">
        <f aca="true">IF(K675=1,IF(E675="",0,TODAY()-E675)+ROW()/100000,"")</f>
        <v/>
      </c>
      <c r="O675" s="32" t="str">
        <f aca="false">IF(N675="","",RANK(N675,$N$2:$N$1000))</f>
        <v/>
      </c>
    </row>
    <row r="676" customFormat="false" ht="15" hidden="false" customHeight="false" outlineLevel="0" collapsed="false">
      <c r="A676" s="33"/>
      <c r="B676" s="33"/>
      <c r="C676" s="33"/>
      <c r="D676" s="33"/>
      <c r="E676" s="34"/>
      <c r="F676" s="34"/>
      <c r="G676" s="35" t="str">
        <f aca="true">IF(OR(E676="",J676=0),"",IF(F676&lt;&gt;"",F676-E676,TODAY()-E676))</f>
        <v/>
      </c>
      <c r="H676" s="29"/>
      <c r="I676" s="33"/>
      <c r="J676" s="32" t="n">
        <f aca="false">IF(OR(D676="",D676="Planned"),0,1)</f>
        <v>0</v>
      </c>
      <c r="K676" s="32" t="n">
        <f aca="false">IF(OR(D676="Under review",D676="Revision requested"),1,0)</f>
        <v>0</v>
      </c>
      <c r="L676" s="32" t="str">
        <f aca="false">IF(AND(J676=1,E676&lt;&gt;""),E676+ROW()/100000,"")</f>
        <v/>
      </c>
      <c r="M676" s="32" t="str">
        <f aca="false">IF(D676="Planned",ROW(),"")</f>
        <v/>
      </c>
      <c r="N676" s="32" t="str">
        <f aca="true">IF(K676=1,IF(E676="",0,TODAY()-E676)+ROW()/100000,"")</f>
        <v/>
      </c>
      <c r="O676" s="32" t="str">
        <f aca="false">IF(N676="","",RANK(N676,$N$2:$N$1000))</f>
        <v/>
      </c>
    </row>
    <row r="677" customFormat="false" ht="15" hidden="false" customHeight="false" outlineLevel="0" collapsed="false">
      <c r="A677" s="33"/>
      <c r="B677" s="33"/>
      <c r="C677" s="33"/>
      <c r="D677" s="33"/>
      <c r="E677" s="34"/>
      <c r="F677" s="34"/>
      <c r="G677" s="35" t="str">
        <f aca="true">IF(OR(E677="",J677=0),"",IF(F677&lt;&gt;"",F677-E677,TODAY()-E677))</f>
        <v/>
      </c>
      <c r="H677" s="29"/>
      <c r="I677" s="33"/>
      <c r="J677" s="32" t="n">
        <f aca="false">IF(OR(D677="",D677="Planned"),0,1)</f>
        <v>0</v>
      </c>
      <c r="K677" s="32" t="n">
        <f aca="false">IF(OR(D677="Under review",D677="Revision requested"),1,0)</f>
        <v>0</v>
      </c>
      <c r="L677" s="32" t="str">
        <f aca="false">IF(AND(J677=1,E677&lt;&gt;""),E677+ROW()/100000,"")</f>
        <v/>
      </c>
      <c r="M677" s="32" t="str">
        <f aca="false">IF(D677="Planned",ROW(),"")</f>
        <v/>
      </c>
      <c r="N677" s="32" t="str">
        <f aca="true">IF(K677=1,IF(E677="",0,TODAY()-E677)+ROW()/100000,"")</f>
        <v/>
      </c>
      <c r="O677" s="32" t="str">
        <f aca="false">IF(N677="","",RANK(N677,$N$2:$N$1000))</f>
        <v/>
      </c>
    </row>
    <row r="678" customFormat="false" ht="15" hidden="false" customHeight="false" outlineLevel="0" collapsed="false">
      <c r="A678" s="33"/>
      <c r="B678" s="33"/>
      <c r="C678" s="33"/>
      <c r="D678" s="33"/>
      <c r="E678" s="34"/>
      <c r="F678" s="34"/>
      <c r="G678" s="35" t="str">
        <f aca="true">IF(OR(E678="",J678=0),"",IF(F678&lt;&gt;"",F678-E678,TODAY()-E678))</f>
        <v/>
      </c>
      <c r="H678" s="29"/>
      <c r="I678" s="33"/>
      <c r="J678" s="32" t="n">
        <f aca="false">IF(OR(D678="",D678="Planned"),0,1)</f>
        <v>0</v>
      </c>
      <c r="K678" s="32" t="n">
        <f aca="false">IF(OR(D678="Under review",D678="Revision requested"),1,0)</f>
        <v>0</v>
      </c>
      <c r="L678" s="32" t="str">
        <f aca="false">IF(AND(J678=1,E678&lt;&gt;""),E678+ROW()/100000,"")</f>
        <v/>
      </c>
      <c r="M678" s="32" t="str">
        <f aca="false">IF(D678="Planned",ROW(),"")</f>
        <v/>
      </c>
      <c r="N678" s="32" t="str">
        <f aca="true">IF(K678=1,IF(E678="",0,TODAY()-E678)+ROW()/100000,"")</f>
        <v/>
      </c>
      <c r="O678" s="32" t="str">
        <f aca="false">IF(N678="","",RANK(N678,$N$2:$N$1000))</f>
        <v/>
      </c>
    </row>
    <row r="679" customFormat="false" ht="15" hidden="false" customHeight="false" outlineLevel="0" collapsed="false">
      <c r="A679" s="33"/>
      <c r="B679" s="33"/>
      <c r="C679" s="33"/>
      <c r="D679" s="33"/>
      <c r="E679" s="34"/>
      <c r="F679" s="34"/>
      <c r="G679" s="35" t="str">
        <f aca="true">IF(OR(E679="",J679=0),"",IF(F679&lt;&gt;"",F679-E679,TODAY()-E679))</f>
        <v/>
      </c>
      <c r="H679" s="29"/>
      <c r="I679" s="33"/>
      <c r="J679" s="32" t="n">
        <f aca="false">IF(OR(D679="",D679="Planned"),0,1)</f>
        <v>0</v>
      </c>
      <c r="K679" s="32" t="n">
        <f aca="false">IF(OR(D679="Under review",D679="Revision requested"),1,0)</f>
        <v>0</v>
      </c>
      <c r="L679" s="32" t="str">
        <f aca="false">IF(AND(J679=1,E679&lt;&gt;""),E679+ROW()/100000,"")</f>
        <v/>
      </c>
      <c r="M679" s="32" t="str">
        <f aca="false">IF(D679="Planned",ROW(),"")</f>
        <v/>
      </c>
      <c r="N679" s="32" t="str">
        <f aca="true">IF(K679=1,IF(E679="",0,TODAY()-E679)+ROW()/100000,"")</f>
        <v/>
      </c>
      <c r="O679" s="32" t="str">
        <f aca="false">IF(N679="","",RANK(N679,$N$2:$N$1000))</f>
        <v/>
      </c>
    </row>
    <row r="680" customFormat="false" ht="15" hidden="false" customHeight="false" outlineLevel="0" collapsed="false">
      <c r="A680" s="33"/>
      <c r="B680" s="33"/>
      <c r="C680" s="33"/>
      <c r="D680" s="33"/>
      <c r="E680" s="34"/>
      <c r="F680" s="34"/>
      <c r="G680" s="35" t="str">
        <f aca="true">IF(OR(E680="",J680=0),"",IF(F680&lt;&gt;"",F680-E680,TODAY()-E680))</f>
        <v/>
      </c>
      <c r="H680" s="29"/>
      <c r="I680" s="33"/>
      <c r="J680" s="32" t="n">
        <f aca="false">IF(OR(D680="",D680="Planned"),0,1)</f>
        <v>0</v>
      </c>
      <c r="K680" s="32" t="n">
        <f aca="false">IF(OR(D680="Under review",D680="Revision requested"),1,0)</f>
        <v>0</v>
      </c>
      <c r="L680" s="32" t="str">
        <f aca="false">IF(AND(J680=1,E680&lt;&gt;""),E680+ROW()/100000,"")</f>
        <v/>
      </c>
      <c r="M680" s="32" t="str">
        <f aca="false">IF(D680="Planned",ROW(),"")</f>
        <v/>
      </c>
      <c r="N680" s="32" t="str">
        <f aca="true">IF(K680=1,IF(E680="",0,TODAY()-E680)+ROW()/100000,"")</f>
        <v/>
      </c>
      <c r="O680" s="32" t="str">
        <f aca="false">IF(N680="","",RANK(N680,$N$2:$N$1000))</f>
        <v/>
      </c>
    </row>
    <row r="681" customFormat="false" ht="15" hidden="false" customHeight="false" outlineLevel="0" collapsed="false">
      <c r="A681" s="33"/>
      <c r="B681" s="33"/>
      <c r="C681" s="33"/>
      <c r="D681" s="33"/>
      <c r="E681" s="34"/>
      <c r="F681" s="34"/>
      <c r="G681" s="35" t="str">
        <f aca="true">IF(OR(E681="",J681=0),"",IF(F681&lt;&gt;"",F681-E681,TODAY()-E681))</f>
        <v/>
      </c>
      <c r="H681" s="29"/>
      <c r="I681" s="33"/>
      <c r="J681" s="32" t="n">
        <f aca="false">IF(OR(D681="",D681="Planned"),0,1)</f>
        <v>0</v>
      </c>
      <c r="K681" s="32" t="n">
        <f aca="false">IF(OR(D681="Under review",D681="Revision requested"),1,0)</f>
        <v>0</v>
      </c>
      <c r="L681" s="32" t="str">
        <f aca="false">IF(AND(J681=1,E681&lt;&gt;""),E681+ROW()/100000,"")</f>
        <v/>
      </c>
      <c r="M681" s="32" t="str">
        <f aca="false">IF(D681="Planned",ROW(),"")</f>
        <v/>
      </c>
      <c r="N681" s="32" t="str">
        <f aca="true">IF(K681=1,IF(E681="",0,TODAY()-E681)+ROW()/100000,"")</f>
        <v/>
      </c>
      <c r="O681" s="32" t="str">
        <f aca="false">IF(N681="","",RANK(N681,$N$2:$N$1000))</f>
        <v/>
      </c>
    </row>
    <row r="682" customFormat="false" ht="15" hidden="false" customHeight="false" outlineLevel="0" collapsed="false">
      <c r="A682" s="33"/>
      <c r="B682" s="33"/>
      <c r="C682" s="33"/>
      <c r="D682" s="33"/>
      <c r="E682" s="34"/>
      <c r="F682" s="34"/>
      <c r="G682" s="35" t="str">
        <f aca="true">IF(OR(E682="",J682=0),"",IF(F682&lt;&gt;"",F682-E682,TODAY()-E682))</f>
        <v/>
      </c>
      <c r="H682" s="29"/>
      <c r="I682" s="33"/>
      <c r="J682" s="32" t="n">
        <f aca="false">IF(OR(D682="",D682="Planned"),0,1)</f>
        <v>0</v>
      </c>
      <c r="K682" s="32" t="n">
        <f aca="false">IF(OR(D682="Under review",D682="Revision requested"),1,0)</f>
        <v>0</v>
      </c>
      <c r="L682" s="32" t="str">
        <f aca="false">IF(AND(J682=1,E682&lt;&gt;""),E682+ROW()/100000,"")</f>
        <v/>
      </c>
      <c r="M682" s="32" t="str">
        <f aca="false">IF(D682="Planned",ROW(),"")</f>
        <v/>
      </c>
      <c r="N682" s="32" t="str">
        <f aca="true">IF(K682=1,IF(E682="",0,TODAY()-E682)+ROW()/100000,"")</f>
        <v/>
      </c>
      <c r="O682" s="32" t="str">
        <f aca="false">IF(N682="","",RANK(N682,$N$2:$N$1000))</f>
        <v/>
      </c>
    </row>
    <row r="683" customFormat="false" ht="15" hidden="false" customHeight="false" outlineLevel="0" collapsed="false">
      <c r="A683" s="33"/>
      <c r="B683" s="33"/>
      <c r="C683" s="33"/>
      <c r="D683" s="33"/>
      <c r="E683" s="34"/>
      <c r="F683" s="34"/>
      <c r="G683" s="35" t="str">
        <f aca="true">IF(OR(E683="",J683=0),"",IF(F683&lt;&gt;"",F683-E683,TODAY()-E683))</f>
        <v/>
      </c>
      <c r="H683" s="29"/>
      <c r="I683" s="33"/>
      <c r="J683" s="32" t="n">
        <f aca="false">IF(OR(D683="",D683="Planned"),0,1)</f>
        <v>0</v>
      </c>
      <c r="K683" s="32" t="n">
        <f aca="false">IF(OR(D683="Under review",D683="Revision requested"),1,0)</f>
        <v>0</v>
      </c>
      <c r="L683" s="32" t="str">
        <f aca="false">IF(AND(J683=1,E683&lt;&gt;""),E683+ROW()/100000,"")</f>
        <v/>
      </c>
      <c r="M683" s="32" t="str">
        <f aca="false">IF(D683="Planned",ROW(),"")</f>
        <v/>
      </c>
      <c r="N683" s="32" t="str">
        <f aca="true">IF(K683=1,IF(E683="",0,TODAY()-E683)+ROW()/100000,"")</f>
        <v/>
      </c>
      <c r="O683" s="32" t="str">
        <f aca="false">IF(N683="","",RANK(N683,$N$2:$N$1000))</f>
        <v/>
      </c>
    </row>
    <row r="684" customFormat="false" ht="15" hidden="false" customHeight="false" outlineLevel="0" collapsed="false">
      <c r="A684" s="33"/>
      <c r="B684" s="33"/>
      <c r="C684" s="33"/>
      <c r="D684" s="33"/>
      <c r="E684" s="34"/>
      <c r="F684" s="34"/>
      <c r="G684" s="35" t="str">
        <f aca="true">IF(OR(E684="",J684=0),"",IF(F684&lt;&gt;"",F684-E684,TODAY()-E684))</f>
        <v/>
      </c>
      <c r="H684" s="29"/>
      <c r="I684" s="33"/>
      <c r="J684" s="32" t="n">
        <f aca="false">IF(OR(D684="",D684="Planned"),0,1)</f>
        <v>0</v>
      </c>
      <c r="K684" s="32" t="n">
        <f aca="false">IF(OR(D684="Under review",D684="Revision requested"),1,0)</f>
        <v>0</v>
      </c>
      <c r="L684" s="32" t="str">
        <f aca="false">IF(AND(J684=1,E684&lt;&gt;""),E684+ROW()/100000,"")</f>
        <v/>
      </c>
      <c r="M684" s="32" t="str">
        <f aca="false">IF(D684="Planned",ROW(),"")</f>
        <v/>
      </c>
      <c r="N684" s="32" t="str">
        <f aca="true">IF(K684=1,IF(E684="",0,TODAY()-E684)+ROW()/100000,"")</f>
        <v/>
      </c>
      <c r="O684" s="32" t="str">
        <f aca="false">IF(N684="","",RANK(N684,$N$2:$N$1000))</f>
        <v/>
      </c>
    </row>
    <row r="685" customFormat="false" ht="15" hidden="false" customHeight="false" outlineLevel="0" collapsed="false">
      <c r="A685" s="33"/>
      <c r="B685" s="33"/>
      <c r="C685" s="33"/>
      <c r="D685" s="33"/>
      <c r="E685" s="34"/>
      <c r="F685" s="34"/>
      <c r="G685" s="35" t="str">
        <f aca="true">IF(OR(E685="",J685=0),"",IF(F685&lt;&gt;"",F685-E685,TODAY()-E685))</f>
        <v/>
      </c>
      <c r="H685" s="29"/>
      <c r="I685" s="33"/>
      <c r="J685" s="32" t="n">
        <f aca="false">IF(OR(D685="",D685="Planned"),0,1)</f>
        <v>0</v>
      </c>
      <c r="K685" s="32" t="n">
        <f aca="false">IF(OR(D685="Under review",D685="Revision requested"),1,0)</f>
        <v>0</v>
      </c>
      <c r="L685" s="32" t="str">
        <f aca="false">IF(AND(J685=1,E685&lt;&gt;""),E685+ROW()/100000,"")</f>
        <v/>
      </c>
      <c r="M685" s="32" t="str">
        <f aca="false">IF(D685="Planned",ROW(),"")</f>
        <v/>
      </c>
      <c r="N685" s="32" t="str">
        <f aca="true">IF(K685=1,IF(E685="",0,TODAY()-E685)+ROW()/100000,"")</f>
        <v/>
      </c>
      <c r="O685" s="32" t="str">
        <f aca="false">IF(N685="","",RANK(N685,$N$2:$N$1000))</f>
        <v/>
      </c>
    </row>
    <row r="686" customFormat="false" ht="15" hidden="false" customHeight="false" outlineLevel="0" collapsed="false">
      <c r="A686" s="33"/>
      <c r="B686" s="33"/>
      <c r="C686" s="33"/>
      <c r="D686" s="33"/>
      <c r="E686" s="34"/>
      <c r="F686" s="34"/>
      <c r="G686" s="35" t="str">
        <f aca="true">IF(OR(E686="",J686=0),"",IF(F686&lt;&gt;"",F686-E686,TODAY()-E686))</f>
        <v/>
      </c>
      <c r="H686" s="29"/>
      <c r="I686" s="33"/>
      <c r="J686" s="32" t="n">
        <f aca="false">IF(OR(D686="",D686="Planned"),0,1)</f>
        <v>0</v>
      </c>
      <c r="K686" s="32" t="n">
        <f aca="false">IF(OR(D686="Under review",D686="Revision requested"),1,0)</f>
        <v>0</v>
      </c>
      <c r="L686" s="32" t="str">
        <f aca="false">IF(AND(J686=1,E686&lt;&gt;""),E686+ROW()/100000,"")</f>
        <v/>
      </c>
      <c r="M686" s="32" t="str">
        <f aca="false">IF(D686="Planned",ROW(),"")</f>
        <v/>
      </c>
      <c r="N686" s="32" t="str">
        <f aca="true">IF(K686=1,IF(E686="",0,TODAY()-E686)+ROW()/100000,"")</f>
        <v/>
      </c>
      <c r="O686" s="32" t="str">
        <f aca="false">IF(N686="","",RANK(N686,$N$2:$N$1000))</f>
        <v/>
      </c>
    </row>
    <row r="687" customFormat="false" ht="15" hidden="false" customHeight="false" outlineLevel="0" collapsed="false">
      <c r="A687" s="33"/>
      <c r="B687" s="33"/>
      <c r="C687" s="33"/>
      <c r="D687" s="33"/>
      <c r="E687" s="34"/>
      <c r="F687" s="34"/>
      <c r="G687" s="35" t="str">
        <f aca="true">IF(OR(E687="",J687=0),"",IF(F687&lt;&gt;"",F687-E687,TODAY()-E687))</f>
        <v/>
      </c>
      <c r="H687" s="29"/>
      <c r="I687" s="33"/>
      <c r="J687" s="32" t="n">
        <f aca="false">IF(OR(D687="",D687="Planned"),0,1)</f>
        <v>0</v>
      </c>
      <c r="K687" s="32" t="n">
        <f aca="false">IF(OR(D687="Under review",D687="Revision requested"),1,0)</f>
        <v>0</v>
      </c>
      <c r="L687" s="32" t="str">
        <f aca="false">IF(AND(J687=1,E687&lt;&gt;""),E687+ROW()/100000,"")</f>
        <v/>
      </c>
      <c r="M687" s="32" t="str">
        <f aca="false">IF(D687="Planned",ROW(),"")</f>
        <v/>
      </c>
      <c r="N687" s="32" t="str">
        <f aca="true">IF(K687=1,IF(E687="",0,TODAY()-E687)+ROW()/100000,"")</f>
        <v/>
      </c>
      <c r="O687" s="32" t="str">
        <f aca="false">IF(N687="","",RANK(N687,$N$2:$N$1000))</f>
        <v/>
      </c>
    </row>
    <row r="688" customFormat="false" ht="15" hidden="false" customHeight="false" outlineLevel="0" collapsed="false">
      <c r="A688" s="33"/>
      <c r="B688" s="33"/>
      <c r="C688" s="33"/>
      <c r="D688" s="33"/>
      <c r="E688" s="34"/>
      <c r="F688" s="34"/>
      <c r="G688" s="35" t="str">
        <f aca="true">IF(OR(E688="",J688=0),"",IF(F688&lt;&gt;"",F688-E688,TODAY()-E688))</f>
        <v/>
      </c>
      <c r="H688" s="29"/>
      <c r="I688" s="33"/>
      <c r="J688" s="32" t="n">
        <f aca="false">IF(OR(D688="",D688="Planned"),0,1)</f>
        <v>0</v>
      </c>
      <c r="K688" s="32" t="n">
        <f aca="false">IF(OR(D688="Under review",D688="Revision requested"),1,0)</f>
        <v>0</v>
      </c>
      <c r="L688" s="32" t="str">
        <f aca="false">IF(AND(J688=1,E688&lt;&gt;""),E688+ROW()/100000,"")</f>
        <v/>
      </c>
      <c r="M688" s="32" t="str">
        <f aca="false">IF(D688="Planned",ROW(),"")</f>
        <v/>
      </c>
      <c r="N688" s="32" t="str">
        <f aca="true">IF(K688=1,IF(E688="",0,TODAY()-E688)+ROW()/100000,"")</f>
        <v/>
      </c>
      <c r="O688" s="32" t="str">
        <f aca="false">IF(N688="","",RANK(N688,$N$2:$N$1000))</f>
        <v/>
      </c>
    </row>
    <row r="689" customFormat="false" ht="15" hidden="false" customHeight="false" outlineLevel="0" collapsed="false">
      <c r="A689" s="33"/>
      <c r="B689" s="33"/>
      <c r="C689" s="33"/>
      <c r="D689" s="33"/>
      <c r="E689" s="34"/>
      <c r="F689" s="34"/>
      <c r="G689" s="35" t="str">
        <f aca="true">IF(OR(E689="",J689=0),"",IF(F689&lt;&gt;"",F689-E689,TODAY()-E689))</f>
        <v/>
      </c>
      <c r="H689" s="29"/>
      <c r="I689" s="33"/>
      <c r="J689" s="32" t="n">
        <f aca="false">IF(OR(D689="",D689="Planned"),0,1)</f>
        <v>0</v>
      </c>
      <c r="K689" s="32" t="n">
        <f aca="false">IF(OR(D689="Under review",D689="Revision requested"),1,0)</f>
        <v>0</v>
      </c>
      <c r="L689" s="32" t="str">
        <f aca="false">IF(AND(J689=1,E689&lt;&gt;""),E689+ROW()/100000,"")</f>
        <v/>
      </c>
      <c r="M689" s="32" t="str">
        <f aca="false">IF(D689="Planned",ROW(),"")</f>
        <v/>
      </c>
      <c r="N689" s="32" t="str">
        <f aca="true">IF(K689=1,IF(E689="",0,TODAY()-E689)+ROW()/100000,"")</f>
        <v/>
      </c>
      <c r="O689" s="32" t="str">
        <f aca="false">IF(N689="","",RANK(N689,$N$2:$N$1000))</f>
        <v/>
      </c>
    </row>
    <row r="690" customFormat="false" ht="15" hidden="false" customHeight="false" outlineLevel="0" collapsed="false">
      <c r="A690" s="33"/>
      <c r="B690" s="33"/>
      <c r="C690" s="33"/>
      <c r="D690" s="33"/>
      <c r="E690" s="34"/>
      <c r="F690" s="34"/>
      <c r="G690" s="35" t="str">
        <f aca="true">IF(OR(E690="",J690=0),"",IF(F690&lt;&gt;"",F690-E690,TODAY()-E690))</f>
        <v/>
      </c>
      <c r="H690" s="29"/>
      <c r="I690" s="33"/>
      <c r="J690" s="32" t="n">
        <f aca="false">IF(OR(D690="",D690="Planned"),0,1)</f>
        <v>0</v>
      </c>
      <c r="K690" s="32" t="n">
        <f aca="false">IF(OR(D690="Under review",D690="Revision requested"),1,0)</f>
        <v>0</v>
      </c>
      <c r="L690" s="32" t="str">
        <f aca="false">IF(AND(J690=1,E690&lt;&gt;""),E690+ROW()/100000,"")</f>
        <v/>
      </c>
      <c r="M690" s="32" t="str">
        <f aca="false">IF(D690="Planned",ROW(),"")</f>
        <v/>
      </c>
      <c r="N690" s="32" t="str">
        <f aca="true">IF(K690=1,IF(E690="",0,TODAY()-E690)+ROW()/100000,"")</f>
        <v/>
      </c>
      <c r="O690" s="32" t="str">
        <f aca="false">IF(N690="","",RANK(N690,$N$2:$N$1000))</f>
        <v/>
      </c>
    </row>
    <row r="691" customFormat="false" ht="15" hidden="false" customHeight="false" outlineLevel="0" collapsed="false">
      <c r="A691" s="33"/>
      <c r="B691" s="33"/>
      <c r="C691" s="33"/>
      <c r="D691" s="33"/>
      <c r="E691" s="34"/>
      <c r="F691" s="34"/>
      <c r="G691" s="35" t="str">
        <f aca="true">IF(OR(E691="",J691=0),"",IF(F691&lt;&gt;"",F691-E691,TODAY()-E691))</f>
        <v/>
      </c>
      <c r="H691" s="29"/>
      <c r="I691" s="33"/>
      <c r="J691" s="32" t="n">
        <f aca="false">IF(OR(D691="",D691="Planned"),0,1)</f>
        <v>0</v>
      </c>
      <c r="K691" s="32" t="n">
        <f aca="false">IF(OR(D691="Under review",D691="Revision requested"),1,0)</f>
        <v>0</v>
      </c>
      <c r="L691" s="32" t="str">
        <f aca="false">IF(AND(J691=1,E691&lt;&gt;""),E691+ROW()/100000,"")</f>
        <v/>
      </c>
      <c r="M691" s="32" t="str">
        <f aca="false">IF(D691="Planned",ROW(),"")</f>
        <v/>
      </c>
      <c r="N691" s="32" t="str">
        <f aca="true">IF(K691=1,IF(E691="",0,TODAY()-E691)+ROW()/100000,"")</f>
        <v/>
      </c>
      <c r="O691" s="32" t="str">
        <f aca="false">IF(N691="","",RANK(N691,$N$2:$N$1000))</f>
        <v/>
      </c>
    </row>
    <row r="692" customFormat="false" ht="15" hidden="false" customHeight="false" outlineLevel="0" collapsed="false">
      <c r="A692" s="33"/>
      <c r="B692" s="33"/>
      <c r="C692" s="33"/>
      <c r="D692" s="33"/>
      <c r="E692" s="34"/>
      <c r="F692" s="34"/>
      <c r="G692" s="35" t="str">
        <f aca="true">IF(OR(E692="",J692=0),"",IF(F692&lt;&gt;"",F692-E692,TODAY()-E692))</f>
        <v/>
      </c>
      <c r="H692" s="29"/>
      <c r="I692" s="33"/>
      <c r="J692" s="32" t="n">
        <f aca="false">IF(OR(D692="",D692="Planned"),0,1)</f>
        <v>0</v>
      </c>
      <c r="K692" s="32" t="n">
        <f aca="false">IF(OR(D692="Under review",D692="Revision requested"),1,0)</f>
        <v>0</v>
      </c>
      <c r="L692" s="32" t="str">
        <f aca="false">IF(AND(J692=1,E692&lt;&gt;""),E692+ROW()/100000,"")</f>
        <v/>
      </c>
      <c r="M692" s="32" t="str">
        <f aca="false">IF(D692="Planned",ROW(),"")</f>
        <v/>
      </c>
      <c r="N692" s="32" t="str">
        <f aca="true">IF(K692=1,IF(E692="",0,TODAY()-E692)+ROW()/100000,"")</f>
        <v/>
      </c>
      <c r="O692" s="32" t="str">
        <f aca="false">IF(N692="","",RANK(N692,$N$2:$N$1000))</f>
        <v/>
      </c>
    </row>
    <row r="693" customFormat="false" ht="15" hidden="false" customHeight="false" outlineLevel="0" collapsed="false">
      <c r="A693" s="33"/>
      <c r="B693" s="33"/>
      <c r="C693" s="33"/>
      <c r="D693" s="33"/>
      <c r="E693" s="34"/>
      <c r="F693" s="34"/>
      <c r="G693" s="35" t="str">
        <f aca="true">IF(OR(E693="",J693=0),"",IF(F693&lt;&gt;"",F693-E693,TODAY()-E693))</f>
        <v/>
      </c>
      <c r="H693" s="29"/>
      <c r="I693" s="33"/>
      <c r="J693" s="32" t="n">
        <f aca="false">IF(OR(D693="",D693="Planned"),0,1)</f>
        <v>0</v>
      </c>
      <c r="K693" s="32" t="n">
        <f aca="false">IF(OR(D693="Under review",D693="Revision requested"),1,0)</f>
        <v>0</v>
      </c>
      <c r="L693" s="32" t="str">
        <f aca="false">IF(AND(J693=1,E693&lt;&gt;""),E693+ROW()/100000,"")</f>
        <v/>
      </c>
      <c r="M693" s="32" t="str">
        <f aca="false">IF(D693="Planned",ROW(),"")</f>
        <v/>
      </c>
      <c r="N693" s="32" t="str">
        <f aca="true">IF(K693=1,IF(E693="",0,TODAY()-E693)+ROW()/100000,"")</f>
        <v/>
      </c>
      <c r="O693" s="32" t="str">
        <f aca="false">IF(N693="","",RANK(N693,$N$2:$N$1000))</f>
        <v/>
      </c>
    </row>
    <row r="694" customFormat="false" ht="15" hidden="false" customHeight="false" outlineLevel="0" collapsed="false">
      <c r="A694" s="33"/>
      <c r="B694" s="33"/>
      <c r="C694" s="33"/>
      <c r="D694" s="33"/>
      <c r="E694" s="34"/>
      <c r="F694" s="34"/>
      <c r="G694" s="35" t="str">
        <f aca="true">IF(OR(E694="",J694=0),"",IF(F694&lt;&gt;"",F694-E694,TODAY()-E694))</f>
        <v/>
      </c>
      <c r="H694" s="29"/>
      <c r="I694" s="33"/>
      <c r="J694" s="32" t="n">
        <f aca="false">IF(OR(D694="",D694="Planned"),0,1)</f>
        <v>0</v>
      </c>
      <c r="K694" s="32" t="n">
        <f aca="false">IF(OR(D694="Under review",D694="Revision requested"),1,0)</f>
        <v>0</v>
      </c>
      <c r="L694" s="32" t="str">
        <f aca="false">IF(AND(J694=1,E694&lt;&gt;""),E694+ROW()/100000,"")</f>
        <v/>
      </c>
      <c r="M694" s="32" t="str">
        <f aca="false">IF(D694="Planned",ROW(),"")</f>
        <v/>
      </c>
      <c r="N694" s="32" t="str">
        <f aca="true">IF(K694=1,IF(E694="",0,TODAY()-E694)+ROW()/100000,"")</f>
        <v/>
      </c>
      <c r="O694" s="32" t="str">
        <f aca="false">IF(N694="","",RANK(N694,$N$2:$N$1000))</f>
        <v/>
      </c>
    </row>
    <row r="695" customFormat="false" ht="15" hidden="false" customHeight="false" outlineLevel="0" collapsed="false">
      <c r="A695" s="33"/>
      <c r="B695" s="33"/>
      <c r="C695" s="33"/>
      <c r="D695" s="33"/>
      <c r="E695" s="34"/>
      <c r="F695" s="34"/>
      <c r="G695" s="35" t="str">
        <f aca="true">IF(OR(E695="",J695=0),"",IF(F695&lt;&gt;"",F695-E695,TODAY()-E695))</f>
        <v/>
      </c>
      <c r="H695" s="29"/>
      <c r="I695" s="33"/>
      <c r="J695" s="32" t="n">
        <f aca="false">IF(OR(D695="",D695="Planned"),0,1)</f>
        <v>0</v>
      </c>
      <c r="K695" s="32" t="n">
        <f aca="false">IF(OR(D695="Under review",D695="Revision requested"),1,0)</f>
        <v>0</v>
      </c>
      <c r="L695" s="32" t="str">
        <f aca="false">IF(AND(J695=1,E695&lt;&gt;""),E695+ROW()/100000,"")</f>
        <v/>
      </c>
      <c r="M695" s="32" t="str">
        <f aca="false">IF(D695="Planned",ROW(),"")</f>
        <v/>
      </c>
      <c r="N695" s="32" t="str">
        <f aca="true">IF(K695=1,IF(E695="",0,TODAY()-E695)+ROW()/100000,"")</f>
        <v/>
      </c>
      <c r="O695" s="32" t="str">
        <f aca="false">IF(N695="","",RANK(N695,$N$2:$N$1000))</f>
        <v/>
      </c>
    </row>
    <row r="696" customFormat="false" ht="15" hidden="false" customHeight="false" outlineLevel="0" collapsed="false">
      <c r="A696" s="33"/>
      <c r="B696" s="33"/>
      <c r="C696" s="33"/>
      <c r="D696" s="33"/>
      <c r="E696" s="34"/>
      <c r="F696" s="34"/>
      <c r="G696" s="35" t="str">
        <f aca="true">IF(OR(E696="",J696=0),"",IF(F696&lt;&gt;"",F696-E696,TODAY()-E696))</f>
        <v/>
      </c>
      <c r="H696" s="29"/>
      <c r="I696" s="33"/>
      <c r="J696" s="32" t="n">
        <f aca="false">IF(OR(D696="",D696="Planned"),0,1)</f>
        <v>0</v>
      </c>
      <c r="K696" s="32" t="n">
        <f aca="false">IF(OR(D696="Under review",D696="Revision requested"),1,0)</f>
        <v>0</v>
      </c>
      <c r="L696" s="32" t="str">
        <f aca="false">IF(AND(J696=1,E696&lt;&gt;""),E696+ROW()/100000,"")</f>
        <v/>
      </c>
      <c r="M696" s="32" t="str">
        <f aca="false">IF(D696="Planned",ROW(),"")</f>
        <v/>
      </c>
      <c r="N696" s="32" t="str">
        <f aca="true">IF(K696=1,IF(E696="",0,TODAY()-E696)+ROW()/100000,"")</f>
        <v/>
      </c>
      <c r="O696" s="32" t="str">
        <f aca="false">IF(N696="","",RANK(N696,$N$2:$N$1000))</f>
        <v/>
      </c>
    </row>
    <row r="697" customFormat="false" ht="15" hidden="false" customHeight="false" outlineLevel="0" collapsed="false">
      <c r="A697" s="33"/>
      <c r="B697" s="33"/>
      <c r="C697" s="33"/>
      <c r="D697" s="33"/>
      <c r="E697" s="34"/>
      <c r="F697" s="34"/>
      <c r="G697" s="35" t="str">
        <f aca="true">IF(OR(E697="",J697=0),"",IF(F697&lt;&gt;"",F697-E697,TODAY()-E697))</f>
        <v/>
      </c>
      <c r="H697" s="29"/>
      <c r="I697" s="33"/>
      <c r="J697" s="32" t="n">
        <f aca="false">IF(OR(D697="",D697="Planned"),0,1)</f>
        <v>0</v>
      </c>
      <c r="K697" s="32" t="n">
        <f aca="false">IF(OR(D697="Under review",D697="Revision requested"),1,0)</f>
        <v>0</v>
      </c>
      <c r="L697" s="32" t="str">
        <f aca="false">IF(AND(J697=1,E697&lt;&gt;""),E697+ROW()/100000,"")</f>
        <v/>
      </c>
      <c r="M697" s="32" t="str">
        <f aca="false">IF(D697="Planned",ROW(),"")</f>
        <v/>
      </c>
      <c r="N697" s="32" t="str">
        <f aca="true">IF(K697=1,IF(E697="",0,TODAY()-E697)+ROW()/100000,"")</f>
        <v/>
      </c>
      <c r="O697" s="32" t="str">
        <f aca="false">IF(N697="","",RANK(N697,$N$2:$N$1000))</f>
        <v/>
      </c>
    </row>
    <row r="698" customFormat="false" ht="15" hidden="false" customHeight="false" outlineLevel="0" collapsed="false">
      <c r="A698" s="33"/>
      <c r="B698" s="33"/>
      <c r="C698" s="33"/>
      <c r="D698" s="33"/>
      <c r="E698" s="34"/>
      <c r="F698" s="34"/>
      <c r="G698" s="35" t="str">
        <f aca="true">IF(OR(E698="",J698=0),"",IF(F698&lt;&gt;"",F698-E698,TODAY()-E698))</f>
        <v/>
      </c>
      <c r="H698" s="29"/>
      <c r="I698" s="33"/>
      <c r="J698" s="32" t="n">
        <f aca="false">IF(OR(D698="",D698="Planned"),0,1)</f>
        <v>0</v>
      </c>
      <c r="K698" s="32" t="n">
        <f aca="false">IF(OR(D698="Under review",D698="Revision requested"),1,0)</f>
        <v>0</v>
      </c>
      <c r="L698" s="32" t="str">
        <f aca="false">IF(AND(J698=1,E698&lt;&gt;""),E698+ROW()/100000,"")</f>
        <v/>
      </c>
      <c r="M698" s="32" t="str">
        <f aca="false">IF(D698="Planned",ROW(),"")</f>
        <v/>
      </c>
      <c r="N698" s="32" t="str">
        <f aca="true">IF(K698=1,IF(E698="",0,TODAY()-E698)+ROW()/100000,"")</f>
        <v/>
      </c>
      <c r="O698" s="32" t="str">
        <f aca="false">IF(N698="","",RANK(N698,$N$2:$N$1000))</f>
        <v/>
      </c>
    </row>
    <row r="699" customFormat="false" ht="15" hidden="false" customHeight="false" outlineLevel="0" collapsed="false">
      <c r="A699" s="33"/>
      <c r="B699" s="33"/>
      <c r="C699" s="33"/>
      <c r="D699" s="33"/>
      <c r="E699" s="34"/>
      <c r="F699" s="34"/>
      <c r="G699" s="35" t="str">
        <f aca="true">IF(OR(E699="",J699=0),"",IF(F699&lt;&gt;"",F699-E699,TODAY()-E699))</f>
        <v/>
      </c>
      <c r="H699" s="29"/>
      <c r="I699" s="33"/>
      <c r="J699" s="32" t="n">
        <f aca="false">IF(OR(D699="",D699="Planned"),0,1)</f>
        <v>0</v>
      </c>
      <c r="K699" s="32" t="n">
        <f aca="false">IF(OR(D699="Under review",D699="Revision requested"),1,0)</f>
        <v>0</v>
      </c>
      <c r="L699" s="32" t="str">
        <f aca="false">IF(AND(J699=1,E699&lt;&gt;""),E699+ROW()/100000,"")</f>
        <v/>
      </c>
      <c r="M699" s="32" t="str">
        <f aca="false">IF(D699="Planned",ROW(),"")</f>
        <v/>
      </c>
      <c r="N699" s="32" t="str">
        <f aca="true">IF(K699=1,IF(E699="",0,TODAY()-E699)+ROW()/100000,"")</f>
        <v/>
      </c>
      <c r="O699" s="32" t="str">
        <f aca="false">IF(N699="","",RANK(N699,$N$2:$N$1000))</f>
        <v/>
      </c>
    </row>
    <row r="700" customFormat="false" ht="15" hidden="false" customHeight="false" outlineLevel="0" collapsed="false">
      <c r="A700" s="33"/>
      <c r="B700" s="33"/>
      <c r="C700" s="33"/>
      <c r="D700" s="33"/>
      <c r="E700" s="34"/>
      <c r="F700" s="34"/>
      <c r="G700" s="35" t="str">
        <f aca="true">IF(OR(E700="",J700=0),"",IF(F700&lt;&gt;"",F700-E700,TODAY()-E700))</f>
        <v/>
      </c>
      <c r="H700" s="29"/>
      <c r="I700" s="33"/>
      <c r="J700" s="32" t="n">
        <f aca="false">IF(OR(D700="",D700="Planned"),0,1)</f>
        <v>0</v>
      </c>
      <c r="K700" s="32" t="n">
        <f aca="false">IF(OR(D700="Under review",D700="Revision requested"),1,0)</f>
        <v>0</v>
      </c>
      <c r="L700" s="32" t="str">
        <f aca="false">IF(AND(J700=1,E700&lt;&gt;""),E700+ROW()/100000,"")</f>
        <v/>
      </c>
      <c r="M700" s="32" t="str">
        <f aca="false">IF(D700="Planned",ROW(),"")</f>
        <v/>
      </c>
      <c r="N700" s="32" t="str">
        <f aca="true">IF(K700=1,IF(E700="",0,TODAY()-E700)+ROW()/100000,"")</f>
        <v/>
      </c>
      <c r="O700" s="32" t="str">
        <f aca="false">IF(N700="","",RANK(N700,$N$2:$N$1000))</f>
        <v/>
      </c>
    </row>
    <row r="701" customFormat="false" ht="15" hidden="false" customHeight="false" outlineLevel="0" collapsed="false">
      <c r="A701" s="33"/>
      <c r="B701" s="33"/>
      <c r="C701" s="33"/>
      <c r="D701" s="33"/>
      <c r="E701" s="34"/>
      <c r="F701" s="34"/>
      <c r="G701" s="35" t="str">
        <f aca="true">IF(OR(E701="",J701=0),"",IF(F701&lt;&gt;"",F701-E701,TODAY()-E701))</f>
        <v/>
      </c>
      <c r="H701" s="29"/>
      <c r="I701" s="33"/>
      <c r="J701" s="32" t="n">
        <f aca="false">IF(OR(D701="",D701="Planned"),0,1)</f>
        <v>0</v>
      </c>
      <c r="K701" s="32" t="n">
        <f aca="false">IF(OR(D701="Under review",D701="Revision requested"),1,0)</f>
        <v>0</v>
      </c>
      <c r="L701" s="32" t="str">
        <f aca="false">IF(AND(J701=1,E701&lt;&gt;""),E701+ROW()/100000,"")</f>
        <v/>
      </c>
      <c r="M701" s="32" t="str">
        <f aca="false">IF(D701="Planned",ROW(),"")</f>
        <v/>
      </c>
      <c r="N701" s="32" t="str">
        <f aca="true">IF(K701=1,IF(E701="",0,TODAY()-E701)+ROW()/100000,"")</f>
        <v/>
      </c>
      <c r="O701" s="32" t="str">
        <f aca="false">IF(N701="","",RANK(N701,$N$2:$N$1000))</f>
        <v/>
      </c>
    </row>
    <row r="702" customFormat="false" ht="15" hidden="false" customHeight="false" outlineLevel="0" collapsed="false">
      <c r="A702" s="33"/>
      <c r="B702" s="33"/>
      <c r="C702" s="33"/>
      <c r="D702" s="33"/>
      <c r="E702" s="34"/>
      <c r="F702" s="34"/>
      <c r="G702" s="35" t="str">
        <f aca="true">IF(OR(E702="",J702=0),"",IF(F702&lt;&gt;"",F702-E702,TODAY()-E702))</f>
        <v/>
      </c>
      <c r="H702" s="29"/>
      <c r="I702" s="33"/>
      <c r="J702" s="32" t="n">
        <f aca="false">IF(OR(D702="",D702="Planned"),0,1)</f>
        <v>0</v>
      </c>
      <c r="K702" s="32" t="n">
        <f aca="false">IF(OR(D702="Under review",D702="Revision requested"),1,0)</f>
        <v>0</v>
      </c>
      <c r="L702" s="32" t="str">
        <f aca="false">IF(AND(J702=1,E702&lt;&gt;""),E702+ROW()/100000,"")</f>
        <v/>
      </c>
      <c r="M702" s="32" t="str">
        <f aca="false">IF(D702="Planned",ROW(),"")</f>
        <v/>
      </c>
      <c r="N702" s="32" t="str">
        <f aca="true">IF(K702=1,IF(E702="",0,TODAY()-E702)+ROW()/100000,"")</f>
        <v/>
      </c>
      <c r="O702" s="32" t="str">
        <f aca="false">IF(N702="","",RANK(N702,$N$2:$N$1000))</f>
        <v/>
      </c>
    </row>
    <row r="703" customFormat="false" ht="15" hidden="false" customHeight="false" outlineLevel="0" collapsed="false">
      <c r="A703" s="33"/>
      <c r="B703" s="33"/>
      <c r="C703" s="33"/>
      <c r="D703" s="33"/>
      <c r="E703" s="34"/>
      <c r="F703" s="34"/>
      <c r="G703" s="35" t="str">
        <f aca="true">IF(OR(E703="",J703=0),"",IF(F703&lt;&gt;"",F703-E703,TODAY()-E703))</f>
        <v/>
      </c>
      <c r="H703" s="29"/>
      <c r="I703" s="33"/>
      <c r="J703" s="32" t="n">
        <f aca="false">IF(OR(D703="",D703="Planned"),0,1)</f>
        <v>0</v>
      </c>
      <c r="K703" s="32" t="n">
        <f aca="false">IF(OR(D703="Under review",D703="Revision requested"),1,0)</f>
        <v>0</v>
      </c>
      <c r="L703" s="32" t="str">
        <f aca="false">IF(AND(J703=1,E703&lt;&gt;""),E703+ROW()/100000,"")</f>
        <v/>
      </c>
      <c r="M703" s="32" t="str">
        <f aca="false">IF(D703="Planned",ROW(),"")</f>
        <v/>
      </c>
      <c r="N703" s="32" t="str">
        <f aca="true">IF(K703=1,IF(E703="",0,TODAY()-E703)+ROW()/100000,"")</f>
        <v/>
      </c>
      <c r="O703" s="32" t="str">
        <f aca="false">IF(N703="","",RANK(N703,$N$2:$N$1000))</f>
        <v/>
      </c>
    </row>
    <row r="704" customFormat="false" ht="15" hidden="false" customHeight="false" outlineLevel="0" collapsed="false">
      <c r="A704" s="33"/>
      <c r="B704" s="33"/>
      <c r="C704" s="33"/>
      <c r="D704" s="33"/>
      <c r="E704" s="34"/>
      <c r="F704" s="34"/>
      <c r="G704" s="35" t="str">
        <f aca="true">IF(OR(E704="",J704=0),"",IF(F704&lt;&gt;"",F704-E704,TODAY()-E704))</f>
        <v/>
      </c>
      <c r="H704" s="29"/>
      <c r="I704" s="33"/>
      <c r="J704" s="32" t="n">
        <f aca="false">IF(OR(D704="",D704="Planned"),0,1)</f>
        <v>0</v>
      </c>
      <c r="K704" s="32" t="n">
        <f aca="false">IF(OR(D704="Under review",D704="Revision requested"),1,0)</f>
        <v>0</v>
      </c>
      <c r="L704" s="32" t="str">
        <f aca="false">IF(AND(J704=1,E704&lt;&gt;""),E704+ROW()/100000,"")</f>
        <v/>
      </c>
      <c r="M704" s="32" t="str">
        <f aca="false">IF(D704="Planned",ROW(),"")</f>
        <v/>
      </c>
      <c r="N704" s="32" t="str">
        <f aca="true">IF(K704=1,IF(E704="",0,TODAY()-E704)+ROW()/100000,"")</f>
        <v/>
      </c>
      <c r="O704" s="32" t="str">
        <f aca="false">IF(N704="","",RANK(N704,$N$2:$N$1000))</f>
        <v/>
      </c>
    </row>
    <row r="705" customFormat="false" ht="15" hidden="false" customHeight="false" outlineLevel="0" collapsed="false">
      <c r="A705" s="33"/>
      <c r="B705" s="33"/>
      <c r="C705" s="33"/>
      <c r="D705" s="33"/>
      <c r="E705" s="34"/>
      <c r="F705" s="34"/>
      <c r="G705" s="35" t="str">
        <f aca="true">IF(OR(E705="",J705=0),"",IF(F705&lt;&gt;"",F705-E705,TODAY()-E705))</f>
        <v/>
      </c>
      <c r="H705" s="29"/>
      <c r="I705" s="33"/>
      <c r="J705" s="32" t="n">
        <f aca="false">IF(OR(D705="",D705="Planned"),0,1)</f>
        <v>0</v>
      </c>
      <c r="K705" s="32" t="n">
        <f aca="false">IF(OR(D705="Under review",D705="Revision requested"),1,0)</f>
        <v>0</v>
      </c>
      <c r="L705" s="32" t="str">
        <f aca="false">IF(AND(J705=1,E705&lt;&gt;""),E705+ROW()/100000,"")</f>
        <v/>
      </c>
      <c r="M705" s="32" t="str">
        <f aca="false">IF(D705="Planned",ROW(),"")</f>
        <v/>
      </c>
      <c r="N705" s="32" t="str">
        <f aca="true">IF(K705=1,IF(E705="",0,TODAY()-E705)+ROW()/100000,"")</f>
        <v/>
      </c>
      <c r="O705" s="32" t="str">
        <f aca="false">IF(N705="","",RANK(N705,$N$2:$N$1000))</f>
        <v/>
      </c>
    </row>
    <row r="706" customFormat="false" ht="15" hidden="false" customHeight="false" outlineLevel="0" collapsed="false">
      <c r="A706" s="33"/>
      <c r="B706" s="33"/>
      <c r="C706" s="33"/>
      <c r="D706" s="33"/>
      <c r="E706" s="34"/>
      <c r="F706" s="34"/>
      <c r="G706" s="35" t="str">
        <f aca="true">IF(OR(E706="",J706=0),"",IF(F706&lt;&gt;"",F706-E706,TODAY()-E706))</f>
        <v/>
      </c>
      <c r="H706" s="29"/>
      <c r="I706" s="33"/>
      <c r="J706" s="32" t="n">
        <f aca="false">IF(OR(D706="",D706="Planned"),0,1)</f>
        <v>0</v>
      </c>
      <c r="K706" s="32" t="n">
        <f aca="false">IF(OR(D706="Under review",D706="Revision requested"),1,0)</f>
        <v>0</v>
      </c>
      <c r="L706" s="32" t="str">
        <f aca="false">IF(AND(J706=1,E706&lt;&gt;""),E706+ROW()/100000,"")</f>
        <v/>
      </c>
      <c r="M706" s="32" t="str">
        <f aca="false">IF(D706="Planned",ROW(),"")</f>
        <v/>
      </c>
      <c r="N706" s="32" t="str">
        <f aca="true">IF(K706=1,IF(E706="",0,TODAY()-E706)+ROW()/100000,"")</f>
        <v/>
      </c>
      <c r="O706" s="32" t="str">
        <f aca="false">IF(N706="","",RANK(N706,$N$2:$N$1000))</f>
        <v/>
      </c>
    </row>
    <row r="707" customFormat="false" ht="15" hidden="false" customHeight="false" outlineLevel="0" collapsed="false">
      <c r="A707" s="33"/>
      <c r="B707" s="33"/>
      <c r="C707" s="33"/>
      <c r="D707" s="33"/>
      <c r="E707" s="34"/>
      <c r="F707" s="34"/>
      <c r="G707" s="35" t="str">
        <f aca="true">IF(OR(E707="",J707=0),"",IF(F707&lt;&gt;"",F707-E707,TODAY()-E707))</f>
        <v/>
      </c>
      <c r="H707" s="29"/>
      <c r="I707" s="33"/>
      <c r="J707" s="32" t="n">
        <f aca="false">IF(OR(D707="",D707="Planned"),0,1)</f>
        <v>0</v>
      </c>
      <c r="K707" s="32" t="n">
        <f aca="false">IF(OR(D707="Under review",D707="Revision requested"),1,0)</f>
        <v>0</v>
      </c>
      <c r="L707" s="32" t="str">
        <f aca="false">IF(AND(J707=1,E707&lt;&gt;""),E707+ROW()/100000,"")</f>
        <v/>
      </c>
      <c r="M707" s="32" t="str">
        <f aca="false">IF(D707="Planned",ROW(),"")</f>
        <v/>
      </c>
      <c r="N707" s="32" t="str">
        <f aca="true">IF(K707=1,IF(E707="",0,TODAY()-E707)+ROW()/100000,"")</f>
        <v/>
      </c>
      <c r="O707" s="32" t="str">
        <f aca="false">IF(N707="","",RANK(N707,$N$2:$N$1000))</f>
        <v/>
      </c>
    </row>
    <row r="708" customFormat="false" ht="15" hidden="false" customHeight="false" outlineLevel="0" collapsed="false">
      <c r="A708" s="33"/>
      <c r="B708" s="33"/>
      <c r="C708" s="33"/>
      <c r="D708" s="33"/>
      <c r="E708" s="34"/>
      <c r="F708" s="34"/>
      <c r="G708" s="35" t="str">
        <f aca="true">IF(OR(E708="",J708=0),"",IF(F708&lt;&gt;"",F708-E708,TODAY()-E708))</f>
        <v/>
      </c>
      <c r="H708" s="29"/>
      <c r="I708" s="33"/>
      <c r="J708" s="32" t="n">
        <f aca="false">IF(OR(D708="",D708="Planned"),0,1)</f>
        <v>0</v>
      </c>
      <c r="K708" s="32" t="n">
        <f aca="false">IF(OR(D708="Under review",D708="Revision requested"),1,0)</f>
        <v>0</v>
      </c>
      <c r="L708" s="32" t="str">
        <f aca="false">IF(AND(J708=1,E708&lt;&gt;""),E708+ROW()/100000,"")</f>
        <v/>
      </c>
      <c r="M708" s="32" t="str">
        <f aca="false">IF(D708="Planned",ROW(),"")</f>
        <v/>
      </c>
      <c r="N708" s="32" t="str">
        <f aca="true">IF(K708=1,IF(E708="",0,TODAY()-E708)+ROW()/100000,"")</f>
        <v/>
      </c>
      <c r="O708" s="32" t="str">
        <f aca="false">IF(N708="","",RANK(N708,$N$2:$N$1000))</f>
        <v/>
      </c>
    </row>
    <row r="709" customFormat="false" ht="15" hidden="false" customHeight="false" outlineLevel="0" collapsed="false">
      <c r="A709" s="33"/>
      <c r="B709" s="33"/>
      <c r="C709" s="33"/>
      <c r="D709" s="33"/>
      <c r="E709" s="34"/>
      <c r="F709" s="34"/>
      <c r="G709" s="35" t="str">
        <f aca="true">IF(OR(E709="",J709=0),"",IF(F709&lt;&gt;"",F709-E709,TODAY()-E709))</f>
        <v/>
      </c>
      <c r="H709" s="29"/>
      <c r="I709" s="33"/>
      <c r="J709" s="32" t="n">
        <f aca="false">IF(OR(D709="",D709="Planned"),0,1)</f>
        <v>0</v>
      </c>
      <c r="K709" s="32" t="n">
        <f aca="false">IF(OR(D709="Under review",D709="Revision requested"),1,0)</f>
        <v>0</v>
      </c>
      <c r="L709" s="32" t="str">
        <f aca="false">IF(AND(J709=1,E709&lt;&gt;""),E709+ROW()/100000,"")</f>
        <v/>
      </c>
      <c r="M709" s="32" t="str">
        <f aca="false">IF(D709="Planned",ROW(),"")</f>
        <v/>
      </c>
      <c r="N709" s="32" t="str">
        <f aca="true">IF(K709=1,IF(E709="",0,TODAY()-E709)+ROW()/100000,"")</f>
        <v/>
      </c>
      <c r="O709" s="32" t="str">
        <f aca="false">IF(N709="","",RANK(N709,$N$2:$N$1000))</f>
        <v/>
      </c>
    </row>
    <row r="710" customFormat="false" ht="15" hidden="false" customHeight="false" outlineLevel="0" collapsed="false">
      <c r="A710" s="33"/>
      <c r="B710" s="33"/>
      <c r="C710" s="33"/>
      <c r="D710" s="33"/>
      <c r="E710" s="34"/>
      <c r="F710" s="34"/>
      <c r="G710" s="35" t="str">
        <f aca="true">IF(OR(E710="",J710=0),"",IF(F710&lt;&gt;"",F710-E710,TODAY()-E710))</f>
        <v/>
      </c>
      <c r="H710" s="29"/>
      <c r="I710" s="33"/>
      <c r="J710" s="32" t="n">
        <f aca="false">IF(OR(D710="",D710="Planned"),0,1)</f>
        <v>0</v>
      </c>
      <c r="K710" s="32" t="n">
        <f aca="false">IF(OR(D710="Under review",D710="Revision requested"),1,0)</f>
        <v>0</v>
      </c>
      <c r="L710" s="32" t="str">
        <f aca="false">IF(AND(J710=1,E710&lt;&gt;""),E710+ROW()/100000,"")</f>
        <v/>
      </c>
      <c r="M710" s="32" t="str">
        <f aca="false">IF(D710="Planned",ROW(),"")</f>
        <v/>
      </c>
      <c r="N710" s="32" t="str">
        <f aca="true">IF(K710=1,IF(E710="",0,TODAY()-E710)+ROW()/100000,"")</f>
        <v/>
      </c>
      <c r="O710" s="32" t="str">
        <f aca="false">IF(N710="","",RANK(N710,$N$2:$N$1000))</f>
        <v/>
      </c>
    </row>
    <row r="711" customFormat="false" ht="15" hidden="false" customHeight="false" outlineLevel="0" collapsed="false">
      <c r="A711" s="33"/>
      <c r="B711" s="33"/>
      <c r="C711" s="33"/>
      <c r="D711" s="33"/>
      <c r="E711" s="34"/>
      <c r="F711" s="34"/>
      <c r="G711" s="35" t="str">
        <f aca="true">IF(OR(E711="",J711=0),"",IF(F711&lt;&gt;"",F711-E711,TODAY()-E711))</f>
        <v/>
      </c>
      <c r="H711" s="29"/>
      <c r="I711" s="33"/>
      <c r="J711" s="32" t="n">
        <f aca="false">IF(OR(D711="",D711="Planned"),0,1)</f>
        <v>0</v>
      </c>
      <c r="K711" s="32" t="n">
        <f aca="false">IF(OR(D711="Under review",D711="Revision requested"),1,0)</f>
        <v>0</v>
      </c>
      <c r="L711" s="32" t="str">
        <f aca="false">IF(AND(J711=1,E711&lt;&gt;""),E711+ROW()/100000,"")</f>
        <v/>
      </c>
      <c r="M711" s="32" t="str">
        <f aca="false">IF(D711="Planned",ROW(),"")</f>
        <v/>
      </c>
      <c r="N711" s="32" t="str">
        <f aca="true">IF(K711=1,IF(E711="",0,TODAY()-E711)+ROW()/100000,"")</f>
        <v/>
      </c>
      <c r="O711" s="32" t="str">
        <f aca="false">IF(N711="","",RANK(N711,$N$2:$N$1000))</f>
        <v/>
      </c>
    </row>
    <row r="712" customFormat="false" ht="15" hidden="false" customHeight="false" outlineLevel="0" collapsed="false">
      <c r="A712" s="33"/>
      <c r="B712" s="33"/>
      <c r="C712" s="33"/>
      <c r="D712" s="33"/>
      <c r="E712" s="34"/>
      <c r="F712" s="34"/>
      <c r="G712" s="35" t="str">
        <f aca="true">IF(OR(E712="",J712=0),"",IF(F712&lt;&gt;"",F712-E712,TODAY()-E712))</f>
        <v/>
      </c>
      <c r="H712" s="29"/>
      <c r="I712" s="33"/>
      <c r="J712" s="32" t="n">
        <f aca="false">IF(OR(D712="",D712="Planned"),0,1)</f>
        <v>0</v>
      </c>
      <c r="K712" s="32" t="n">
        <f aca="false">IF(OR(D712="Under review",D712="Revision requested"),1,0)</f>
        <v>0</v>
      </c>
      <c r="L712" s="32" t="str">
        <f aca="false">IF(AND(J712=1,E712&lt;&gt;""),E712+ROW()/100000,"")</f>
        <v/>
      </c>
      <c r="M712" s="32" t="str">
        <f aca="false">IF(D712="Planned",ROW(),"")</f>
        <v/>
      </c>
      <c r="N712" s="32" t="str">
        <f aca="true">IF(K712=1,IF(E712="",0,TODAY()-E712)+ROW()/100000,"")</f>
        <v/>
      </c>
      <c r="O712" s="32" t="str">
        <f aca="false">IF(N712="","",RANK(N712,$N$2:$N$1000))</f>
        <v/>
      </c>
    </row>
    <row r="713" customFormat="false" ht="15" hidden="false" customHeight="false" outlineLevel="0" collapsed="false">
      <c r="A713" s="33"/>
      <c r="B713" s="33"/>
      <c r="C713" s="33"/>
      <c r="D713" s="33"/>
      <c r="E713" s="34"/>
      <c r="F713" s="34"/>
      <c r="G713" s="35" t="str">
        <f aca="true">IF(OR(E713="",J713=0),"",IF(F713&lt;&gt;"",F713-E713,TODAY()-E713))</f>
        <v/>
      </c>
      <c r="H713" s="29"/>
      <c r="I713" s="33"/>
      <c r="J713" s="32" t="n">
        <f aca="false">IF(OR(D713="",D713="Planned"),0,1)</f>
        <v>0</v>
      </c>
      <c r="K713" s="32" t="n">
        <f aca="false">IF(OR(D713="Under review",D713="Revision requested"),1,0)</f>
        <v>0</v>
      </c>
      <c r="L713" s="32" t="str">
        <f aca="false">IF(AND(J713=1,E713&lt;&gt;""),E713+ROW()/100000,"")</f>
        <v/>
      </c>
      <c r="M713" s="32" t="str">
        <f aca="false">IF(D713="Planned",ROW(),"")</f>
        <v/>
      </c>
      <c r="N713" s="32" t="str">
        <f aca="true">IF(K713=1,IF(E713="",0,TODAY()-E713)+ROW()/100000,"")</f>
        <v/>
      </c>
      <c r="O713" s="32" t="str">
        <f aca="false">IF(N713="","",RANK(N713,$N$2:$N$1000))</f>
        <v/>
      </c>
    </row>
    <row r="714" customFormat="false" ht="15" hidden="false" customHeight="false" outlineLevel="0" collapsed="false">
      <c r="A714" s="33"/>
      <c r="B714" s="33"/>
      <c r="C714" s="33"/>
      <c r="D714" s="33"/>
      <c r="E714" s="34"/>
      <c r="F714" s="34"/>
      <c r="G714" s="35" t="str">
        <f aca="true">IF(OR(E714="",J714=0),"",IF(F714&lt;&gt;"",F714-E714,TODAY()-E714))</f>
        <v/>
      </c>
      <c r="H714" s="29"/>
      <c r="I714" s="33"/>
      <c r="J714" s="32" t="n">
        <f aca="false">IF(OR(D714="",D714="Planned"),0,1)</f>
        <v>0</v>
      </c>
      <c r="K714" s="32" t="n">
        <f aca="false">IF(OR(D714="Under review",D714="Revision requested"),1,0)</f>
        <v>0</v>
      </c>
      <c r="L714" s="32" t="str">
        <f aca="false">IF(AND(J714=1,E714&lt;&gt;""),E714+ROW()/100000,"")</f>
        <v/>
      </c>
      <c r="M714" s="32" t="str">
        <f aca="false">IF(D714="Planned",ROW(),"")</f>
        <v/>
      </c>
      <c r="N714" s="32" t="str">
        <f aca="true">IF(K714=1,IF(E714="",0,TODAY()-E714)+ROW()/100000,"")</f>
        <v/>
      </c>
      <c r="O714" s="32" t="str">
        <f aca="false">IF(N714="","",RANK(N714,$N$2:$N$1000))</f>
        <v/>
      </c>
    </row>
    <row r="715" customFormat="false" ht="15" hidden="false" customHeight="false" outlineLevel="0" collapsed="false">
      <c r="A715" s="33"/>
      <c r="B715" s="33"/>
      <c r="C715" s="33"/>
      <c r="D715" s="33"/>
      <c r="E715" s="34"/>
      <c r="F715" s="34"/>
      <c r="G715" s="35" t="str">
        <f aca="true">IF(OR(E715="",J715=0),"",IF(F715&lt;&gt;"",F715-E715,TODAY()-E715))</f>
        <v/>
      </c>
      <c r="H715" s="29"/>
      <c r="I715" s="33"/>
      <c r="J715" s="32" t="n">
        <f aca="false">IF(OR(D715="",D715="Planned"),0,1)</f>
        <v>0</v>
      </c>
      <c r="K715" s="32" t="n">
        <f aca="false">IF(OR(D715="Under review",D715="Revision requested"),1,0)</f>
        <v>0</v>
      </c>
      <c r="L715" s="32" t="str">
        <f aca="false">IF(AND(J715=1,E715&lt;&gt;""),E715+ROW()/100000,"")</f>
        <v/>
      </c>
      <c r="M715" s="32" t="str">
        <f aca="false">IF(D715="Planned",ROW(),"")</f>
        <v/>
      </c>
      <c r="N715" s="32" t="str">
        <f aca="true">IF(K715=1,IF(E715="",0,TODAY()-E715)+ROW()/100000,"")</f>
        <v/>
      </c>
      <c r="O715" s="32" t="str">
        <f aca="false">IF(N715="","",RANK(N715,$N$2:$N$1000))</f>
        <v/>
      </c>
    </row>
    <row r="716" customFormat="false" ht="15" hidden="false" customHeight="false" outlineLevel="0" collapsed="false">
      <c r="A716" s="33"/>
      <c r="B716" s="33"/>
      <c r="C716" s="33"/>
      <c r="D716" s="33"/>
      <c r="E716" s="34"/>
      <c r="F716" s="34"/>
      <c r="G716" s="35" t="str">
        <f aca="true">IF(OR(E716="",J716=0),"",IF(F716&lt;&gt;"",F716-E716,TODAY()-E716))</f>
        <v/>
      </c>
      <c r="H716" s="29"/>
      <c r="I716" s="33"/>
      <c r="J716" s="32" t="n">
        <f aca="false">IF(OR(D716="",D716="Planned"),0,1)</f>
        <v>0</v>
      </c>
      <c r="K716" s="32" t="n">
        <f aca="false">IF(OR(D716="Under review",D716="Revision requested"),1,0)</f>
        <v>0</v>
      </c>
      <c r="L716" s="32" t="str">
        <f aca="false">IF(AND(J716=1,E716&lt;&gt;""),E716+ROW()/100000,"")</f>
        <v/>
      </c>
      <c r="M716" s="32" t="str">
        <f aca="false">IF(D716="Planned",ROW(),"")</f>
        <v/>
      </c>
      <c r="N716" s="32" t="str">
        <f aca="true">IF(K716=1,IF(E716="",0,TODAY()-E716)+ROW()/100000,"")</f>
        <v/>
      </c>
      <c r="O716" s="32" t="str">
        <f aca="false">IF(N716="","",RANK(N716,$N$2:$N$1000))</f>
        <v/>
      </c>
    </row>
    <row r="717" customFormat="false" ht="15" hidden="false" customHeight="false" outlineLevel="0" collapsed="false">
      <c r="A717" s="33"/>
      <c r="B717" s="33"/>
      <c r="C717" s="33"/>
      <c r="D717" s="33"/>
      <c r="E717" s="34"/>
      <c r="F717" s="34"/>
      <c r="G717" s="35" t="str">
        <f aca="true">IF(OR(E717="",J717=0),"",IF(F717&lt;&gt;"",F717-E717,TODAY()-E717))</f>
        <v/>
      </c>
      <c r="H717" s="29"/>
      <c r="I717" s="33"/>
      <c r="J717" s="32" t="n">
        <f aca="false">IF(OR(D717="",D717="Planned"),0,1)</f>
        <v>0</v>
      </c>
      <c r="K717" s="32" t="n">
        <f aca="false">IF(OR(D717="Under review",D717="Revision requested"),1,0)</f>
        <v>0</v>
      </c>
      <c r="L717" s="32" t="str">
        <f aca="false">IF(AND(J717=1,E717&lt;&gt;""),E717+ROW()/100000,"")</f>
        <v/>
      </c>
      <c r="M717" s="32" t="str">
        <f aca="false">IF(D717="Planned",ROW(),"")</f>
        <v/>
      </c>
      <c r="N717" s="32" t="str">
        <f aca="true">IF(K717=1,IF(E717="",0,TODAY()-E717)+ROW()/100000,"")</f>
        <v/>
      </c>
      <c r="O717" s="32" t="str">
        <f aca="false">IF(N717="","",RANK(N717,$N$2:$N$1000))</f>
        <v/>
      </c>
    </row>
    <row r="718" customFormat="false" ht="15" hidden="false" customHeight="false" outlineLevel="0" collapsed="false">
      <c r="A718" s="33"/>
      <c r="B718" s="33"/>
      <c r="C718" s="33"/>
      <c r="D718" s="33"/>
      <c r="E718" s="34"/>
      <c r="F718" s="34"/>
      <c r="G718" s="35" t="str">
        <f aca="true">IF(OR(E718="",J718=0),"",IF(F718&lt;&gt;"",F718-E718,TODAY()-E718))</f>
        <v/>
      </c>
      <c r="H718" s="29"/>
      <c r="I718" s="33"/>
      <c r="J718" s="32" t="n">
        <f aca="false">IF(OR(D718="",D718="Planned"),0,1)</f>
        <v>0</v>
      </c>
      <c r="K718" s="32" t="n">
        <f aca="false">IF(OR(D718="Under review",D718="Revision requested"),1,0)</f>
        <v>0</v>
      </c>
      <c r="L718" s="32" t="str">
        <f aca="false">IF(AND(J718=1,E718&lt;&gt;""),E718+ROW()/100000,"")</f>
        <v/>
      </c>
      <c r="M718" s="32" t="str">
        <f aca="false">IF(D718="Planned",ROW(),"")</f>
        <v/>
      </c>
      <c r="N718" s="32" t="str">
        <f aca="true">IF(K718=1,IF(E718="",0,TODAY()-E718)+ROW()/100000,"")</f>
        <v/>
      </c>
      <c r="O718" s="32" t="str">
        <f aca="false">IF(N718="","",RANK(N718,$N$2:$N$1000))</f>
        <v/>
      </c>
    </row>
    <row r="719" customFormat="false" ht="15" hidden="false" customHeight="false" outlineLevel="0" collapsed="false">
      <c r="A719" s="33"/>
      <c r="B719" s="33"/>
      <c r="C719" s="33"/>
      <c r="D719" s="33"/>
      <c r="E719" s="34"/>
      <c r="F719" s="34"/>
      <c r="G719" s="35" t="str">
        <f aca="true">IF(OR(E719="",J719=0),"",IF(F719&lt;&gt;"",F719-E719,TODAY()-E719))</f>
        <v/>
      </c>
      <c r="H719" s="29"/>
      <c r="I719" s="33"/>
      <c r="J719" s="32" t="n">
        <f aca="false">IF(OR(D719="",D719="Planned"),0,1)</f>
        <v>0</v>
      </c>
      <c r="K719" s="32" t="n">
        <f aca="false">IF(OR(D719="Under review",D719="Revision requested"),1,0)</f>
        <v>0</v>
      </c>
      <c r="L719" s="32" t="str">
        <f aca="false">IF(AND(J719=1,E719&lt;&gt;""),E719+ROW()/100000,"")</f>
        <v/>
      </c>
      <c r="M719" s="32" t="str">
        <f aca="false">IF(D719="Planned",ROW(),"")</f>
        <v/>
      </c>
      <c r="N719" s="32" t="str">
        <f aca="true">IF(K719=1,IF(E719="",0,TODAY()-E719)+ROW()/100000,"")</f>
        <v/>
      </c>
      <c r="O719" s="32" t="str">
        <f aca="false">IF(N719="","",RANK(N719,$N$2:$N$1000))</f>
        <v/>
      </c>
    </row>
    <row r="720" customFormat="false" ht="15" hidden="false" customHeight="false" outlineLevel="0" collapsed="false">
      <c r="A720" s="33"/>
      <c r="B720" s="33"/>
      <c r="C720" s="33"/>
      <c r="D720" s="33"/>
      <c r="E720" s="34"/>
      <c r="F720" s="34"/>
      <c r="G720" s="35" t="str">
        <f aca="true">IF(OR(E720="",J720=0),"",IF(F720&lt;&gt;"",F720-E720,TODAY()-E720))</f>
        <v/>
      </c>
      <c r="H720" s="29"/>
      <c r="I720" s="33"/>
      <c r="J720" s="32" t="n">
        <f aca="false">IF(OR(D720="",D720="Planned"),0,1)</f>
        <v>0</v>
      </c>
      <c r="K720" s="32" t="n">
        <f aca="false">IF(OR(D720="Under review",D720="Revision requested"),1,0)</f>
        <v>0</v>
      </c>
      <c r="L720" s="32" t="str">
        <f aca="false">IF(AND(J720=1,E720&lt;&gt;""),E720+ROW()/100000,"")</f>
        <v/>
      </c>
      <c r="M720" s="32" t="str">
        <f aca="false">IF(D720="Planned",ROW(),"")</f>
        <v/>
      </c>
      <c r="N720" s="32" t="str">
        <f aca="true">IF(K720=1,IF(E720="",0,TODAY()-E720)+ROW()/100000,"")</f>
        <v/>
      </c>
      <c r="O720" s="32" t="str">
        <f aca="false">IF(N720="","",RANK(N720,$N$2:$N$1000))</f>
        <v/>
      </c>
    </row>
    <row r="721" customFormat="false" ht="15" hidden="false" customHeight="false" outlineLevel="0" collapsed="false">
      <c r="A721" s="33"/>
      <c r="B721" s="33"/>
      <c r="C721" s="33"/>
      <c r="D721" s="33"/>
      <c r="E721" s="34"/>
      <c r="F721" s="34"/>
      <c r="G721" s="35" t="str">
        <f aca="true">IF(OR(E721="",J721=0),"",IF(F721&lt;&gt;"",F721-E721,TODAY()-E721))</f>
        <v/>
      </c>
      <c r="H721" s="29"/>
      <c r="I721" s="33"/>
      <c r="J721" s="32" t="n">
        <f aca="false">IF(OR(D721="",D721="Planned"),0,1)</f>
        <v>0</v>
      </c>
      <c r="K721" s="32" t="n">
        <f aca="false">IF(OR(D721="Under review",D721="Revision requested"),1,0)</f>
        <v>0</v>
      </c>
      <c r="L721" s="32" t="str">
        <f aca="false">IF(AND(J721=1,E721&lt;&gt;""),E721+ROW()/100000,"")</f>
        <v/>
      </c>
      <c r="M721" s="32" t="str">
        <f aca="false">IF(D721="Planned",ROW(),"")</f>
        <v/>
      </c>
      <c r="N721" s="32" t="str">
        <f aca="true">IF(K721=1,IF(E721="",0,TODAY()-E721)+ROW()/100000,"")</f>
        <v/>
      </c>
      <c r="O721" s="32" t="str">
        <f aca="false">IF(N721="","",RANK(N721,$N$2:$N$1000))</f>
        <v/>
      </c>
    </row>
    <row r="722" customFormat="false" ht="15" hidden="false" customHeight="false" outlineLevel="0" collapsed="false">
      <c r="A722" s="33"/>
      <c r="B722" s="33"/>
      <c r="C722" s="33"/>
      <c r="D722" s="33"/>
      <c r="E722" s="34"/>
      <c r="F722" s="34"/>
      <c r="G722" s="35" t="str">
        <f aca="true">IF(OR(E722="",J722=0),"",IF(F722&lt;&gt;"",F722-E722,TODAY()-E722))</f>
        <v/>
      </c>
      <c r="H722" s="29"/>
      <c r="I722" s="33"/>
      <c r="J722" s="32" t="n">
        <f aca="false">IF(OR(D722="",D722="Planned"),0,1)</f>
        <v>0</v>
      </c>
      <c r="K722" s="32" t="n">
        <f aca="false">IF(OR(D722="Under review",D722="Revision requested"),1,0)</f>
        <v>0</v>
      </c>
      <c r="L722" s="32" t="str">
        <f aca="false">IF(AND(J722=1,E722&lt;&gt;""),E722+ROW()/100000,"")</f>
        <v/>
      </c>
      <c r="M722" s="32" t="str">
        <f aca="false">IF(D722="Planned",ROW(),"")</f>
        <v/>
      </c>
      <c r="N722" s="32" t="str">
        <f aca="true">IF(K722=1,IF(E722="",0,TODAY()-E722)+ROW()/100000,"")</f>
        <v/>
      </c>
      <c r="O722" s="32" t="str">
        <f aca="false">IF(N722="","",RANK(N722,$N$2:$N$1000))</f>
        <v/>
      </c>
    </row>
    <row r="723" customFormat="false" ht="15" hidden="false" customHeight="false" outlineLevel="0" collapsed="false">
      <c r="A723" s="33"/>
      <c r="B723" s="33"/>
      <c r="C723" s="33"/>
      <c r="D723" s="33"/>
      <c r="E723" s="34"/>
      <c r="F723" s="34"/>
      <c r="G723" s="35" t="str">
        <f aca="true">IF(OR(E723="",J723=0),"",IF(F723&lt;&gt;"",F723-E723,TODAY()-E723))</f>
        <v/>
      </c>
      <c r="H723" s="29"/>
      <c r="I723" s="33"/>
      <c r="J723" s="32" t="n">
        <f aca="false">IF(OR(D723="",D723="Planned"),0,1)</f>
        <v>0</v>
      </c>
      <c r="K723" s="32" t="n">
        <f aca="false">IF(OR(D723="Under review",D723="Revision requested"),1,0)</f>
        <v>0</v>
      </c>
      <c r="L723" s="32" t="str">
        <f aca="false">IF(AND(J723=1,E723&lt;&gt;""),E723+ROW()/100000,"")</f>
        <v/>
      </c>
      <c r="M723" s="32" t="str">
        <f aca="false">IF(D723="Planned",ROW(),"")</f>
        <v/>
      </c>
      <c r="N723" s="32" t="str">
        <f aca="true">IF(K723=1,IF(E723="",0,TODAY()-E723)+ROW()/100000,"")</f>
        <v/>
      </c>
      <c r="O723" s="32" t="str">
        <f aca="false">IF(N723="","",RANK(N723,$N$2:$N$1000))</f>
        <v/>
      </c>
    </row>
    <row r="724" customFormat="false" ht="15" hidden="false" customHeight="false" outlineLevel="0" collapsed="false">
      <c r="A724" s="33"/>
      <c r="B724" s="33"/>
      <c r="C724" s="33"/>
      <c r="D724" s="33"/>
      <c r="E724" s="34"/>
      <c r="F724" s="34"/>
      <c r="G724" s="35" t="str">
        <f aca="true">IF(OR(E724="",J724=0),"",IF(F724&lt;&gt;"",F724-E724,TODAY()-E724))</f>
        <v/>
      </c>
      <c r="H724" s="29"/>
      <c r="I724" s="33"/>
      <c r="J724" s="32" t="n">
        <f aca="false">IF(OR(D724="",D724="Planned"),0,1)</f>
        <v>0</v>
      </c>
      <c r="K724" s="32" t="n">
        <f aca="false">IF(OR(D724="Under review",D724="Revision requested"),1,0)</f>
        <v>0</v>
      </c>
      <c r="L724" s="32" t="str">
        <f aca="false">IF(AND(J724=1,E724&lt;&gt;""),E724+ROW()/100000,"")</f>
        <v/>
      </c>
      <c r="M724" s="32" t="str">
        <f aca="false">IF(D724="Planned",ROW(),"")</f>
        <v/>
      </c>
      <c r="N724" s="32" t="str">
        <f aca="true">IF(K724=1,IF(E724="",0,TODAY()-E724)+ROW()/100000,"")</f>
        <v/>
      </c>
      <c r="O724" s="32" t="str">
        <f aca="false">IF(N724="","",RANK(N724,$N$2:$N$1000))</f>
        <v/>
      </c>
    </row>
    <row r="725" customFormat="false" ht="15" hidden="false" customHeight="false" outlineLevel="0" collapsed="false">
      <c r="A725" s="33"/>
      <c r="B725" s="33"/>
      <c r="C725" s="33"/>
      <c r="D725" s="33"/>
      <c r="E725" s="34"/>
      <c r="F725" s="34"/>
      <c r="G725" s="35" t="str">
        <f aca="true">IF(OR(E725="",J725=0),"",IF(F725&lt;&gt;"",F725-E725,TODAY()-E725))</f>
        <v/>
      </c>
      <c r="H725" s="29"/>
      <c r="I725" s="33"/>
      <c r="J725" s="32" t="n">
        <f aca="false">IF(OR(D725="",D725="Planned"),0,1)</f>
        <v>0</v>
      </c>
      <c r="K725" s="32" t="n">
        <f aca="false">IF(OR(D725="Under review",D725="Revision requested"),1,0)</f>
        <v>0</v>
      </c>
      <c r="L725" s="32" t="str">
        <f aca="false">IF(AND(J725=1,E725&lt;&gt;""),E725+ROW()/100000,"")</f>
        <v/>
      </c>
      <c r="M725" s="32" t="str">
        <f aca="false">IF(D725="Planned",ROW(),"")</f>
        <v/>
      </c>
      <c r="N725" s="32" t="str">
        <f aca="true">IF(K725=1,IF(E725="",0,TODAY()-E725)+ROW()/100000,"")</f>
        <v/>
      </c>
      <c r="O725" s="32" t="str">
        <f aca="false">IF(N725="","",RANK(N725,$N$2:$N$1000))</f>
        <v/>
      </c>
    </row>
    <row r="726" customFormat="false" ht="15" hidden="false" customHeight="false" outlineLevel="0" collapsed="false">
      <c r="A726" s="33"/>
      <c r="B726" s="33"/>
      <c r="C726" s="33"/>
      <c r="D726" s="33"/>
      <c r="E726" s="34"/>
      <c r="F726" s="34"/>
      <c r="G726" s="35" t="str">
        <f aca="true">IF(OR(E726="",J726=0),"",IF(F726&lt;&gt;"",F726-E726,TODAY()-E726))</f>
        <v/>
      </c>
      <c r="H726" s="29"/>
      <c r="I726" s="33"/>
      <c r="J726" s="32" t="n">
        <f aca="false">IF(OR(D726="",D726="Planned"),0,1)</f>
        <v>0</v>
      </c>
      <c r="K726" s="32" t="n">
        <f aca="false">IF(OR(D726="Under review",D726="Revision requested"),1,0)</f>
        <v>0</v>
      </c>
      <c r="L726" s="32" t="str">
        <f aca="false">IF(AND(J726=1,E726&lt;&gt;""),E726+ROW()/100000,"")</f>
        <v/>
      </c>
      <c r="M726" s="32" t="str">
        <f aca="false">IF(D726="Planned",ROW(),"")</f>
        <v/>
      </c>
      <c r="N726" s="32" t="str">
        <f aca="true">IF(K726=1,IF(E726="",0,TODAY()-E726)+ROW()/100000,"")</f>
        <v/>
      </c>
      <c r="O726" s="32" t="str">
        <f aca="false">IF(N726="","",RANK(N726,$N$2:$N$1000))</f>
        <v/>
      </c>
    </row>
    <row r="727" customFormat="false" ht="15" hidden="false" customHeight="false" outlineLevel="0" collapsed="false">
      <c r="A727" s="33"/>
      <c r="B727" s="33"/>
      <c r="C727" s="33"/>
      <c r="D727" s="33"/>
      <c r="E727" s="34"/>
      <c r="F727" s="34"/>
      <c r="G727" s="35" t="str">
        <f aca="true">IF(OR(E727="",J727=0),"",IF(F727&lt;&gt;"",F727-E727,TODAY()-E727))</f>
        <v/>
      </c>
      <c r="H727" s="29"/>
      <c r="I727" s="33"/>
      <c r="J727" s="32" t="n">
        <f aca="false">IF(OR(D727="",D727="Planned"),0,1)</f>
        <v>0</v>
      </c>
      <c r="K727" s="32" t="n">
        <f aca="false">IF(OR(D727="Under review",D727="Revision requested"),1,0)</f>
        <v>0</v>
      </c>
      <c r="L727" s="32" t="str">
        <f aca="false">IF(AND(J727=1,E727&lt;&gt;""),E727+ROW()/100000,"")</f>
        <v/>
      </c>
      <c r="M727" s="32" t="str">
        <f aca="false">IF(D727="Planned",ROW(),"")</f>
        <v/>
      </c>
      <c r="N727" s="32" t="str">
        <f aca="true">IF(K727=1,IF(E727="",0,TODAY()-E727)+ROW()/100000,"")</f>
        <v/>
      </c>
      <c r="O727" s="32" t="str">
        <f aca="false">IF(N727="","",RANK(N727,$N$2:$N$1000))</f>
        <v/>
      </c>
    </row>
    <row r="728" customFormat="false" ht="15" hidden="false" customHeight="false" outlineLevel="0" collapsed="false">
      <c r="A728" s="33"/>
      <c r="B728" s="33"/>
      <c r="C728" s="33"/>
      <c r="D728" s="33"/>
      <c r="E728" s="34"/>
      <c r="F728" s="34"/>
      <c r="G728" s="35" t="str">
        <f aca="true">IF(OR(E728="",J728=0),"",IF(F728&lt;&gt;"",F728-E728,TODAY()-E728))</f>
        <v/>
      </c>
      <c r="H728" s="29"/>
      <c r="I728" s="33"/>
      <c r="J728" s="32" t="n">
        <f aca="false">IF(OR(D728="",D728="Planned"),0,1)</f>
        <v>0</v>
      </c>
      <c r="K728" s="32" t="n">
        <f aca="false">IF(OR(D728="Under review",D728="Revision requested"),1,0)</f>
        <v>0</v>
      </c>
      <c r="L728" s="32" t="str">
        <f aca="false">IF(AND(J728=1,E728&lt;&gt;""),E728+ROW()/100000,"")</f>
        <v/>
      </c>
      <c r="M728" s="32" t="str">
        <f aca="false">IF(D728="Planned",ROW(),"")</f>
        <v/>
      </c>
      <c r="N728" s="32" t="str">
        <f aca="true">IF(K728=1,IF(E728="",0,TODAY()-E728)+ROW()/100000,"")</f>
        <v/>
      </c>
      <c r="O728" s="32" t="str">
        <f aca="false">IF(N728="","",RANK(N728,$N$2:$N$1000))</f>
        <v/>
      </c>
    </row>
    <row r="729" customFormat="false" ht="15" hidden="false" customHeight="false" outlineLevel="0" collapsed="false">
      <c r="A729" s="33"/>
      <c r="B729" s="33"/>
      <c r="C729" s="33"/>
      <c r="D729" s="33"/>
      <c r="E729" s="34"/>
      <c r="F729" s="34"/>
      <c r="G729" s="35" t="str">
        <f aca="true">IF(OR(E729="",J729=0),"",IF(F729&lt;&gt;"",F729-E729,TODAY()-E729))</f>
        <v/>
      </c>
      <c r="H729" s="29"/>
      <c r="I729" s="33"/>
      <c r="J729" s="32" t="n">
        <f aca="false">IF(OR(D729="",D729="Planned"),0,1)</f>
        <v>0</v>
      </c>
      <c r="K729" s="32" t="n">
        <f aca="false">IF(OR(D729="Under review",D729="Revision requested"),1,0)</f>
        <v>0</v>
      </c>
      <c r="L729" s="32" t="str">
        <f aca="false">IF(AND(J729=1,E729&lt;&gt;""),E729+ROW()/100000,"")</f>
        <v/>
      </c>
      <c r="M729" s="32" t="str">
        <f aca="false">IF(D729="Planned",ROW(),"")</f>
        <v/>
      </c>
      <c r="N729" s="32" t="str">
        <f aca="true">IF(K729=1,IF(E729="",0,TODAY()-E729)+ROW()/100000,"")</f>
        <v/>
      </c>
      <c r="O729" s="32" t="str">
        <f aca="false">IF(N729="","",RANK(N729,$N$2:$N$1000))</f>
        <v/>
      </c>
    </row>
    <row r="730" customFormat="false" ht="15" hidden="false" customHeight="false" outlineLevel="0" collapsed="false">
      <c r="A730" s="33"/>
      <c r="B730" s="33"/>
      <c r="C730" s="33"/>
      <c r="D730" s="33"/>
      <c r="E730" s="34"/>
      <c r="F730" s="34"/>
      <c r="G730" s="35" t="str">
        <f aca="true">IF(OR(E730="",J730=0),"",IF(F730&lt;&gt;"",F730-E730,TODAY()-E730))</f>
        <v/>
      </c>
      <c r="H730" s="29"/>
      <c r="I730" s="33"/>
      <c r="J730" s="32" t="n">
        <f aca="false">IF(OR(D730="",D730="Planned"),0,1)</f>
        <v>0</v>
      </c>
      <c r="K730" s="32" t="n">
        <f aca="false">IF(OR(D730="Under review",D730="Revision requested"),1,0)</f>
        <v>0</v>
      </c>
      <c r="L730" s="32" t="str">
        <f aca="false">IF(AND(J730=1,E730&lt;&gt;""),E730+ROW()/100000,"")</f>
        <v/>
      </c>
      <c r="M730" s="32" t="str">
        <f aca="false">IF(D730="Planned",ROW(),"")</f>
        <v/>
      </c>
      <c r="N730" s="32" t="str">
        <f aca="true">IF(K730=1,IF(E730="",0,TODAY()-E730)+ROW()/100000,"")</f>
        <v/>
      </c>
      <c r="O730" s="32" t="str">
        <f aca="false">IF(N730="","",RANK(N730,$N$2:$N$1000))</f>
        <v/>
      </c>
    </row>
    <row r="731" customFormat="false" ht="15" hidden="false" customHeight="false" outlineLevel="0" collapsed="false">
      <c r="A731" s="33"/>
      <c r="B731" s="33"/>
      <c r="C731" s="33"/>
      <c r="D731" s="33"/>
      <c r="E731" s="34"/>
      <c r="F731" s="34"/>
      <c r="G731" s="35" t="str">
        <f aca="true">IF(OR(E731="",J731=0),"",IF(F731&lt;&gt;"",F731-E731,TODAY()-E731))</f>
        <v/>
      </c>
      <c r="H731" s="29"/>
      <c r="I731" s="33"/>
      <c r="J731" s="32" t="n">
        <f aca="false">IF(OR(D731="",D731="Planned"),0,1)</f>
        <v>0</v>
      </c>
      <c r="K731" s="32" t="n">
        <f aca="false">IF(OR(D731="Under review",D731="Revision requested"),1,0)</f>
        <v>0</v>
      </c>
      <c r="L731" s="32" t="str">
        <f aca="false">IF(AND(J731=1,E731&lt;&gt;""),E731+ROW()/100000,"")</f>
        <v/>
      </c>
      <c r="M731" s="32" t="str">
        <f aca="false">IF(D731="Planned",ROW(),"")</f>
        <v/>
      </c>
      <c r="N731" s="32" t="str">
        <f aca="true">IF(K731=1,IF(E731="",0,TODAY()-E731)+ROW()/100000,"")</f>
        <v/>
      </c>
      <c r="O731" s="32" t="str">
        <f aca="false">IF(N731="","",RANK(N731,$N$2:$N$1000))</f>
        <v/>
      </c>
    </row>
    <row r="732" customFormat="false" ht="15" hidden="false" customHeight="false" outlineLevel="0" collapsed="false">
      <c r="A732" s="33"/>
      <c r="B732" s="33"/>
      <c r="C732" s="33"/>
      <c r="D732" s="33"/>
      <c r="E732" s="34"/>
      <c r="F732" s="34"/>
      <c r="G732" s="35" t="str">
        <f aca="true">IF(OR(E732="",J732=0),"",IF(F732&lt;&gt;"",F732-E732,TODAY()-E732))</f>
        <v/>
      </c>
      <c r="H732" s="29"/>
      <c r="I732" s="33"/>
      <c r="J732" s="32" t="n">
        <f aca="false">IF(OR(D732="",D732="Planned"),0,1)</f>
        <v>0</v>
      </c>
      <c r="K732" s="32" t="n">
        <f aca="false">IF(OR(D732="Under review",D732="Revision requested"),1,0)</f>
        <v>0</v>
      </c>
      <c r="L732" s="32" t="str">
        <f aca="false">IF(AND(J732=1,E732&lt;&gt;""),E732+ROW()/100000,"")</f>
        <v/>
      </c>
      <c r="M732" s="32" t="str">
        <f aca="false">IF(D732="Planned",ROW(),"")</f>
        <v/>
      </c>
      <c r="N732" s="32" t="str">
        <f aca="true">IF(K732=1,IF(E732="",0,TODAY()-E732)+ROW()/100000,"")</f>
        <v/>
      </c>
      <c r="O732" s="32" t="str">
        <f aca="false">IF(N732="","",RANK(N732,$N$2:$N$1000))</f>
        <v/>
      </c>
    </row>
    <row r="733" customFormat="false" ht="15" hidden="false" customHeight="false" outlineLevel="0" collapsed="false">
      <c r="A733" s="33"/>
      <c r="B733" s="33"/>
      <c r="C733" s="33"/>
      <c r="D733" s="33"/>
      <c r="E733" s="34"/>
      <c r="F733" s="34"/>
      <c r="G733" s="35" t="str">
        <f aca="true">IF(OR(E733="",J733=0),"",IF(F733&lt;&gt;"",F733-E733,TODAY()-E733))</f>
        <v/>
      </c>
      <c r="H733" s="29"/>
      <c r="I733" s="33"/>
      <c r="J733" s="32" t="n">
        <f aca="false">IF(OR(D733="",D733="Planned"),0,1)</f>
        <v>0</v>
      </c>
      <c r="K733" s="32" t="n">
        <f aca="false">IF(OR(D733="Under review",D733="Revision requested"),1,0)</f>
        <v>0</v>
      </c>
      <c r="L733" s="32" t="str">
        <f aca="false">IF(AND(J733=1,E733&lt;&gt;""),E733+ROW()/100000,"")</f>
        <v/>
      </c>
      <c r="M733" s="32" t="str">
        <f aca="false">IF(D733="Planned",ROW(),"")</f>
        <v/>
      </c>
      <c r="N733" s="32" t="str">
        <f aca="true">IF(K733=1,IF(E733="",0,TODAY()-E733)+ROW()/100000,"")</f>
        <v/>
      </c>
      <c r="O733" s="32" t="str">
        <f aca="false">IF(N733="","",RANK(N733,$N$2:$N$1000))</f>
        <v/>
      </c>
    </row>
    <row r="734" customFormat="false" ht="15" hidden="false" customHeight="false" outlineLevel="0" collapsed="false">
      <c r="A734" s="33"/>
      <c r="B734" s="33"/>
      <c r="C734" s="33"/>
      <c r="D734" s="33"/>
      <c r="E734" s="34"/>
      <c r="F734" s="34"/>
      <c r="G734" s="35" t="str">
        <f aca="true">IF(OR(E734="",J734=0),"",IF(F734&lt;&gt;"",F734-E734,TODAY()-E734))</f>
        <v/>
      </c>
      <c r="H734" s="29"/>
      <c r="I734" s="33"/>
      <c r="J734" s="32" t="n">
        <f aca="false">IF(OR(D734="",D734="Planned"),0,1)</f>
        <v>0</v>
      </c>
      <c r="K734" s="32" t="n">
        <f aca="false">IF(OR(D734="Under review",D734="Revision requested"),1,0)</f>
        <v>0</v>
      </c>
      <c r="L734" s="32" t="str">
        <f aca="false">IF(AND(J734=1,E734&lt;&gt;""),E734+ROW()/100000,"")</f>
        <v/>
      </c>
      <c r="M734" s="32" t="str">
        <f aca="false">IF(D734="Planned",ROW(),"")</f>
        <v/>
      </c>
      <c r="N734" s="32" t="str">
        <f aca="true">IF(K734=1,IF(E734="",0,TODAY()-E734)+ROW()/100000,"")</f>
        <v/>
      </c>
      <c r="O734" s="32" t="str">
        <f aca="false">IF(N734="","",RANK(N734,$N$2:$N$1000))</f>
        <v/>
      </c>
    </row>
    <row r="735" customFormat="false" ht="15" hidden="false" customHeight="false" outlineLevel="0" collapsed="false">
      <c r="A735" s="33"/>
      <c r="B735" s="33"/>
      <c r="C735" s="33"/>
      <c r="D735" s="33"/>
      <c r="E735" s="34"/>
      <c r="F735" s="34"/>
      <c r="G735" s="35" t="str">
        <f aca="true">IF(OR(E735="",J735=0),"",IF(F735&lt;&gt;"",F735-E735,TODAY()-E735))</f>
        <v/>
      </c>
      <c r="H735" s="29"/>
      <c r="I735" s="33"/>
      <c r="J735" s="32" t="n">
        <f aca="false">IF(OR(D735="",D735="Planned"),0,1)</f>
        <v>0</v>
      </c>
      <c r="K735" s="32" t="n">
        <f aca="false">IF(OR(D735="Under review",D735="Revision requested"),1,0)</f>
        <v>0</v>
      </c>
      <c r="L735" s="32" t="str">
        <f aca="false">IF(AND(J735=1,E735&lt;&gt;""),E735+ROW()/100000,"")</f>
        <v/>
      </c>
      <c r="M735" s="32" t="str">
        <f aca="false">IF(D735="Planned",ROW(),"")</f>
        <v/>
      </c>
      <c r="N735" s="32" t="str">
        <f aca="true">IF(K735=1,IF(E735="",0,TODAY()-E735)+ROW()/100000,"")</f>
        <v/>
      </c>
      <c r="O735" s="32" t="str">
        <f aca="false">IF(N735="","",RANK(N735,$N$2:$N$1000))</f>
        <v/>
      </c>
    </row>
    <row r="736" customFormat="false" ht="15" hidden="false" customHeight="false" outlineLevel="0" collapsed="false">
      <c r="A736" s="33"/>
      <c r="B736" s="33"/>
      <c r="C736" s="33"/>
      <c r="D736" s="33"/>
      <c r="E736" s="34"/>
      <c r="F736" s="34"/>
      <c r="G736" s="35" t="str">
        <f aca="true">IF(OR(E736="",J736=0),"",IF(F736&lt;&gt;"",F736-E736,TODAY()-E736))</f>
        <v/>
      </c>
      <c r="H736" s="29"/>
      <c r="I736" s="33"/>
      <c r="J736" s="32" t="n">
        <f aca="false">IF(OR(D736="",D736="Planned"),0,1)</f>
        <v>0</v>
      </c>
      <c r="K736" s="32" t="n">
        <f aca="false">IF(OR(D736="Under review",D736="Revision requested"),1,0)</f>
        <v>0</v>
      </c>
      <c r="L736" s="32" t="str">
        <f aca="false">IF(AND(J736=1,E736&lt;&gt;""),E736+ROW()/100000,"")</f>
        <v/>
      </c>
      <c r="M736" s="32" t="str">
        <f aca="false">IF(D736="Planned",ROW(),"")</f>
        <v/>
      </c>
      <c r="N736" s="32" t="str">
        <f aca="true">IF(K736=1,IF(E736="",0,TODAY()-E736)+ROW()/100000,"")</f>
        <v/>
      </c>
      <c r="O736" s="32" t="str">
        <f aca="false">IF(N736="","",RANK(N736,$N$2:$N$1000))</f>
        <v/>
      </c>
    </row>
    <row r="737" customFormat="false" ht="15" hidden="false" customHeight="false" outlineLevel="0" collapsed="false">
      <c r="A737" s="33"/>
      <c r="B737" s="33"/>
      <c r="C737" s="33"/>
      <c r="D737" s="33"/>
      <c r="E737" s="34"/>
      <c r="F737" s="34"/>
      <c r="G737" s="35" t="str">
        <f aca="true">IF(OR(E737="",J737=0),"",IF(F737&lt;&gt;"",F737-E737,TODAY()-E737))</f>
        <v/>
      </c>
      <c r="H737" s="29"/>
      <c r="I737" s="33"/>
      <c r="J737" s="32" t="n">
        <f aca="false">IF(OR(D737="",D737="Planned"),0,1)</f>
        <v>0</v>
      </c>
      <c r="K737" s="32" t="n">
        <f aca="false">IF(OR(D737="Under review",D737="Revision requested"),1,0)</f>
        <v>0</v>
      </c>
      <c r="L737" s="32" t="str">
        <f aca="false">IF(AND(J737=1,E737&lt;&gt;""),E737+ROW()/100000,"")</f>
        <v/>
      </c>
      <c r="M737" s="32" t="str">
        <f aca="false">IF(D737="Planned",ROW(),"")</f>
        <v/>
      </c>
      <c r="N737" s="32" t="str">
        <f aca="true">IF(K737=1,IF(E737="",0,TODAY()-E737)+ROW()/100000,"")</f>
        <v/>
      </c>
      <c r="O737" s="32" t="str">
        <f aca="false">IF(N737="","",RANK(N737,$N$2:$N$1000))</f>
        <v/>
      </c>
    </row>
    <row r="738" customFormat="false" ht="15" hidden="false" customHeight="false" outlineLevel="0" collapsed="false">
      <c r="A738" s="33"/>
      <c r="B738" s="33"/>
      <c r="C738" s="33"/>
      <c r="D738" s="33"/>
      <c r="E738" s="34"/>
      <c r="F738" s="34"/>
      <c r="G738" s="35" t="str">
        <f aca="true">IF(OR(E738="",J738=0),"",IF(F738&lt;&gt;"",F738-E738,TODAY()-E738))</f>
        <v/>
      </c>
      <c r="H738" s="29"/>
      <c r="I738" s="33"/>
      <c r="J738" s="32" t="n">
        <f aca="false">IF(OR(D738="",D738="Planned"),0,1)</f>
        <v>0</v>
      </c>
      <c r="K738" s="32" t="n">
        <f aca="false">IF(OR(D738="Under review",D738="Revision requested"),1,0)</f>
        <v>0</v>
      </c>
      <c r="L738" s="32" t="str">
        <f aca="false">IF(AND(J738=1,E738&lt;&gt;""),E738+ROW()/100000,"")</f>
        <v/>
      </c>
      <c r="M738" s="32" t="str">
        <f aca="false">IF(D738="Planned",ROW(),"")</f>
        <v/>
      </c>
      <c r="N738" s="32" t="str">
        <f aca="true">IF(K738=1,IF(E738="",0,TODAY()-E738)+ROW()/100000,"")</f>
        <v/>
      </c>
      <c r="O738" s="32" t="str">
        <f aca="false">IF(N738="","",RANK(N738,$N$2:$N$1000))</f>
        <v/>
      </c>
    </row>
    <row r="739" customFormat="false" ht="15" hidden="false" customHeight="false" outlineLevel="0" collapsed="false">
      <c r="A739" s="33"/>
      <c r="B739" s="33"/>
      <c r="C739" s="33"/>
      <c r="D739" s="33"/>
      <c r="E739" s="34"/>
      <c r="F739" s="34"/>
      <c r="G739" s="35" t="str">
        <f aca="true">IF(OR(E739="",J739=0),"",IF(F739&lt;&gt;"",F739-E739,TODAY()-E739))</f>
        <v/>
      </c>
      <c r="H739" s="29"/>
      <c r="I739" s="33"/>
      <c r="J739" s="32" t="n">
        <f aca="false">IF(OR(D739="",D739="Planned"),0,1)</f>
        <v>0</v>
      </c>
      <c r="K739" s="32" t="n">
        <f aca="false">IF(OR(D739="Under review",D739="Revision requested"),1,0)</f>
        <v>0</v>
      </c>
      <c r="L739" s="32" t="str">
        <f aca="false">IF(AND(J739=1,E739&lt;&gt;""),E739+ROW()/100000,"")</f>
        <v/>
      </c>
      <c r="M739" s="32" t="str">
        <f aca="false">IF(D739="Planned",ROW(),"")</f>
        <v/>
      </c>
      <c r="N739" s="32" t="str">
        <f aca="true">IF(K739=1,IF(E739="",0,TODAY()-E739)+ROW()/100000,"")</f>
        <v/>
      </c>
      <c r="O739" s="32" t="str">
        <f aca="false">IF(N739="","",RANK(N739,$N$2:$N$1000))</f>
        <v/>
      </c>
    </row>
    <row r="740" customFormat="false" ht="15" hidden="false" customHeight="false" outlineLevel="0" collapsed="false">
      <c r="A740" s="33"/>
      <c r="B740" s="33"/>
      <c r="C740" s="33"/>
      <c r="D740" s="33"/>
      <c r="E740" s="34"/>
      <c r="F740" s="34"/>
      <c r="G740" s="35" t="str">
        <f aca="true">IF(OR(E740="",J740=0),"",IF(F740&lt;&gt;"",F740-E740,TODAY()-E740))</f>
        <v/>
      </c>
      <c r="H740" s="29"/>
      <c r="I740" s="33"/>
      <c r="J740" s="32" t="n">
        <f aca="false">IF(OR(D740="",D740="Planned"),0,1)</f>
        <v>0</v>
      </c>
      <c r="K740" s="32" t="n">
        <f aca="false">IF(OR(D740="Under review",D740="Revision requested"),1,0)</f>
        <v>0</v>
      </c>
      <c r="L740" s="32" t="str">
        <f aca="false">IF(AND(J740=1,E740&lt;&gt;""),E740+ROW()/100000,"")</f>
        <v/>
      </c>
      <c r="M740" s="32" t="str">
        <f aca="false">IF(D740="Planned",ROW(),"")</f>
        <v/>
      </c>
      <c r="N740" s="32" t="str">
        <f aca="true">IF(K740=1,IF(E740="",0,TODAY()-E740)+ROW()/100000,"")</f>
        <v/>
      </c>
      <c r="O740" s="32" t="str">
        <f aca="false">IF(N740="","",RANK(N740,$N$2:$N$1000))</f>
        <v/>
      </c>
    </row>
    <row r="741" customFormat="false" ht="15" hidden="false" customHeight="false" outlineLevel="0" collapsed="false">
      <c r="A741" s="33"/>
      <c r="B741" s="33"/>
      <c r="C741" s="33"/>
      <c r="D741" s="33"/>
      <c r="E741" s="34"/>
      <c r="F741" s="34"/>
      <c r="G741" s="35" t="str">
        <f aca="true">IF(OR(E741="",J741=0),"",IF(F741&lt;&gt;"",F741-E741,TODAY()-E741))</f>
        <v/>
      </c>
      <c r="H741" s="29"/>
      <c r="I741" s="33"/>
      <c r="J741" s="32" t="n">
        <f aca="false">IF(OR(D741="",D741="Planned"),0,1)</f>
        <v>0</v>
      </c>
      <c r="K741" s="32" t="n">
        <f aca="false">IF(OR(D741="Under review",D741="Revision requested"),1,0)</f>
        <v>0</v>
      </c>
      <c r="L741" s="32" t="str">
        <f aca="false">IF(AND(J741=1,E741&lt;&gt;""),E741+ROW()/100000,"")</f>
        <v/>
      </c>
      <c r="M741" s="32" t="str">
        <f aca="false">IF(D741="Planned",ROW(),"")</f>
        <v/>
      </c>
      <c r="N741" s="32" t="str">
        <f aca="true">IF(K741=1,IF(E741="",0,TODAY()-E741)+ROW()/100000,"")</f>
        <v/>
      </c>
      <c r="O741" s="32" t="str">
        <f aca="false">IF(N741="","",RANK(N741,$N$2:$N$1000))</f>
        <v/>
      </c>
    </row>
    <row r="742" customFormat="false" ht="15" hidden="false" customHeight="false" outlineLevel="0" collapsed="false">
      <c r="A742" s="33"/>
      <c r="B742" s="33"/>
      <c r="C742" s="33"/>
      <c r="D742" s="33"/>
      <c r="E742" s="34"/>
      <c r="F742" s="34"/>
      <c r="G742" s="35" t="str">
        <f aca="true">IF(OR(E742="",J742=0),"",IF(F742&lt;&gt;"",F742-E742,TODAY()-E742))</f>
        <v/>
      </c>
      <c r="H742" s="29"/>
      <c r="I742" s="33"/>
      <c r="J742" s="32" t="n">
        <f aca="false">IF(OR(D742="",D742="Planned"),0,1)</f>
        <v>0</v>
      </c>
      <c r="K742" s="32" t="n">
        <f aca="false">IF(OR(D742="Under review",D742="Revision requested"),1,0)</f>
        <v>0</v>
      </c>
      <c r="L742" s="32" t="str">
        <f aca="false">IF(AND(J742=1,E742&lt;&gt;""),E742+ROW()/100000,"")</f>
        <v/>
      </c>
      <c r="M742" s="32" t="str">
        <f aca="false">IF(D742="Planned",ROW(),"")</f>
        <v/>
      </c>
      <c r="N742" s="32" t="str">
        <f aca="true">IF(K742=1,IF(E742="",0,TODAY()-E742)+ROW()/100000,"")</f>
        <v/>
      </c>
      <c r="O742" s="32" t="str">
        <f aca="false">IF(N742="","",RANK(N742,$N$2:$N$1000))</f>
        <v/>
      </c>
    </row>
    <row r="743" customFormat="false" ht="15" hidden="false" customHeight="false" outlineLevel="0" collapsed="false">
      <c r="A743" s="33"/>
      <c r="B743" s="33"/>
      <c r="C743" s="33"/>
      <c r="D743" s="33"/>
      <c r="E743" s="34"/>
      <c r="F743" s="34"/>
      <c r="G743" s="35" t="str">
        <f aca="true">IF(OR(E743="",J743=0),"",IF(F743&lt;&gt;"",F743-E743,TODAY()-E743))</f>
        <v/>
      </c>
      <c r="H743" s="29"/>
      <c r="I743" s="33"/>
      <c r="J743" s="32" t="n">
        <f aca="false">IF(OR(D743="",D743="Planned"),0,1)</f>
        <v>0</v>
      </c>
      <c r="K743" s="32" t="n">
        <f aca="false">IF(OR(D743="Under review",D743="Revision requested"),1,0)</f>
        <v>0</v>
      </c>
      <c r="L743" s="32" t="str">
        <f aca="false">IF(AND(J743=1,E743&lt;&gt;""),E743+ROW()/100000,"")</f>
        <v/>
      </c>
      <c r="M743" s="32" t="str">
        <f aca="false">IF(D743="Planned",ROW(),"")</f>
        <v/>
      </c>
      <c r="N743" s="32" t="str">
        <f aca="true">IF(K743=1,IF(E743="",0,TODAY()-E743)+ROW()/100000,"")</f>
        <v/>
      </c>
      <c r="O743" s="32" t="str">
        <f aca="false">IF(N743="","",RANK(N743,$N$2:$N$1000))</f>
        <v/>
      </c>
    </row>
    <row r="744" customFormat="false" ht="15" hidden="false" customHeight="false" outlineLevel="0" collapsed="false">
      <c r="A744" s="33"/>
      <c r="B744" s="33"/>
      <c r="C744" s="33"/>
      <c r="D744" s="33"/>
      <c r="E744" s="34"/>
      <c r="F744" s="34"/>
      <c r="G744" s="35" t="str">
        <f aca="true">IF(OR(E744="",J744=0),"",IF(F744&lt;&gt;"",F744-E744,TODAY()-E744))</f>
        <v/>
      </c>
      <c r="H744" s="29"/>
      <c r="I744" s="33"/>
      <c r="J744" s="32" t="n">
        <f aca="false">IF(OR(D744="",D744="Planned"),0,1)</f>
        <v>0</v>
      </c>
      <c r="K744" s="32" t="n">
        <f aca="false">IF(OR(D744="Under review",D744="Revision requested"),1,0)</f>
        <v>0</v>
      </c>
      <c r="L744" s="32" t="str">
        <f aca="false">IF(AND(J744=1,E744&lt;&gt;""),E744+ROW()/100000,"")</f>
        <v/>
      </c>
      <c r="M744" s="32" t="str">
        <f aca="false">IF(D744="Planned",ROW(),"")</f>
        <v/>
      </c>
      <c r="N744" s="32" t="str">
        <f aca="true">IF(K744=1,IF(E744="",0,TODAY()-E744)+ROW()/100000,"")</f>
        <v/>
      </c>
      <c r="O744" s="32" t="str">
        <f aca="false">IF(N744="","",RANK(N744,$N$2:$N$1000))</f>
        <v/>
      </c>
    </row>
    <row r="745" customFormat="false" ht="15" hidden="false" customHeight="false" outlineLevel="0" collapsed="false">
      <c r="A745" s="33"/>
      <c r="B745" s="33"/>
      <c r="C745" s="33"/>
      <c r="D745" s="33"/>
      <c r="E745" s="34"/>
      <c r="F745" s="34"/>
      <c r="G745" s="35" t="str">
        <f aca="true">IF(OR(E745="",J745=0),"",IF(F745&lt;&gt;"",F745-E745,TODAY()-E745))</f>
        <v/>
      </c>
      <c r="H745" s="29"/>
      <c r="I745" s="33"/>
      <c r="J745" s="32" t="n">
        <f aca="false">IF(OR(D745="",D745="Planned"),0,1)</f>
        <v>0</v>
      </c>
      <c r="K745" s="32" t="n">
        <f aca="false">IF(OR(D745="Under review",D745="Revision requested"),1,0)</f>
        <v>0</v>
      </c>
      <c r="L745" s="32" t="str">
        <f aca="false">IF(AND(J745=1,E745&lt;&gt;""),E745+ROW()/100000,"")</f>
        <v/>
      </c>
      <c r="M745" s="32" t="str">
        <f aca="false">IF(D745="Planned",ROW(),"")</f>
        <v/>
      </c>
      <c r="N745" s="32" t="str">
        <f aca="true">IF(K745=1,IF(E745="",0,TODAY()-E745)+ROW()/100000,"")</f>
        <v/>
      </c>
      <c r="O745" s="32" t="str">
        <f aca="false">IF(N745="","",RANK(N745,$N$2:$N$1000))</f>
        <v/>
      </c>
    </row>
    <row r="746" customFormat="false" ht="15" hidden="false" customHeight="false" outlineLevel="0" collapsed="false">
      <c r="A746" s="33"/>
      <c r="B746" s="33"/>
      <c r="C746" s="33"/>
      <c r="D746" s="33"/>
      <c r="E746" s="34"/>
      <c r="F746" s="34"/>
      <c r="G746" s="35" t="str">
        <f aca="true">IF(OR(E746="",J746=0),"",IF(F746&lt;&gt;"",F746-E746,TODAY()-E746))</f>
        <v/>
      </c>
      <c r="H746" s="29"/>
      <c r="I746" s="33"/>
      <c r="J746" s="32" t="n">
        <f aca="false">IF(OR(D746="",D746="Planned"),0,1)</f>
        <v>0</v>
      </c>
      <c r="K746" s="32" t="n">
        <f aca="false">IF(OR(D746="Under review",D746="Revision requested"),1,0)</f>
        <v>0</v>
      </c>
      <c r="L746" s="32" t="str">
        <f aca="false">IF(AND(J746=1,E746&lt;&gt;""),E746+ROW()/100000,"")</f>
        <v/>
      </c>
      <c r="M746" s="32" t="str">
        <f aca="false">IF(D746="Planned",ROW(),"")</f>
        <v/>
      </c>
      <c r="N746" s="32" t="str">
        <f aca="true">IF(K746=1,IF(E746="",0,TODAY()-E746)+ROW()/100000,"")</f>
        <v/>
      </c>
      <c r="O746" s="32" t="str">
        <f aca="false">IF(N746="","",RANK(N746,$N$2:$N$1000))</f>
        <v/>
      </c>
    </row>
    <row r="747" customFormat="false" ht="15" hidden="false" customHeight="false" outlineLevel="0" collapsed="false">
      <c r="A747" s="33"/>
      <c r="B747" s="33"/>
      <c r="C747" s="33"/>
      <c r="D747" s="33"/>
      <c r="E747" s="34"/>
      <c r="F747" s="34"/>
      <c r="G747" s="35" t="str">
        <f aca="true">IF(OR(E747="",J747=0),"",IF(F747&lt;&gt;"",F747-E747,TODAY()-E747))</f>
        <v/>
      </c>
      <c r="H747" s="29"/>
      <c r="I747" s="33"/>
      <c r="J747" s="32" t="n">
        <f aca="false">IF(OR(D747="",D747="Planned"),0,1)</f>
        <v>0</v>
      </c>
      <c r="K747" s="32" t="n">
        <f aca="false">IF(OR(D747="Under review",D747="Revision requested"),1,0)</f>
        <v>0</v>
      </c>
      <c r="L747" s="32" t="str">
        <f aca="false">IF(AND(J747=1,E747&lt;&gt;""),E747+ROW()/100000,"")</f>
        <v/>
      </c>
      <c r="M747" s="32" t="str">
        <f aca="false">IF(D747="Planned",ROW(),"")</f>
        <v/>
      </c>
      <c r="N747" s="32" t="str">
        <f aca="true">IF(K747=1,IF(E747="",0,TODAY()-E747)+ROW()/100000,"")</f>
        <v/>
      </c>
      <c r="O747" s="32" t="str">
        <f aca="false">IF(N747="","",RANK(N747,$N$2:$N$1000))</f>
        <v/>
      </c>
    </row>
    <row r="748" customFormat="false" ht="15" hidden="false" customHeight="false" outlineLevel="0" collapsed="false">
      <c r="A748" s="33"/>
      <c r="B748" s="33"/>
      <c r="C748" s="33"/>
      <c r="D748" s="33"/>
      <c r="E748" s="34"/>
      <c r="F748" s="34"/>
      <c r="G748" s="35" t="str">
        <f aca="true">IF(OR(E748="",J748=0),"",IF(F748&lt;&gt;"",F748-E748,TODAY()-E748))</f>
        <v/>
      </c>
      <c r="H748" s="29"/>
      <c r="I748" s="33"/>
      <c r="J748" s="32" t="n">
        <f aca="false">IF(OR(D748="",D748="Planned"),0,1)</f>
        <v>0</v>
      </c>
      <c r="K748" s="32" t="n">
        <f aca="false">IF(OR(D748="Under review",D748="Revision requested"),1,0)</f>
        <v>0</v>
      </c>
      <c r="L748" s="32" t="str">
        <f aca="false">IF(AND(J748=1,E748&lt;&gt;""),E748+ROW()/100000,"")</f>
        <v/>
      </c>
      <c r="M748" s="32" t="str">
        <f aca="false">IF(D748="Planned",ROW(),"")</f>
        <v/>
      </c>
      <c r="N748" s="32" t="str">
        <f aca="true">IF(K748=1,IF(E748="",0,TODAY()-E748)+ROW()/100000,"")</f>
        <v/>
      </c>
      <c r="O748" s="32" t="str">
        <f aca="false">IF(N748="","",RANK(N748,$N$2:$N$1000))</f>
        <v/>
      </c>
    </row>
    <row r="749" customFormat="false" ht="15" hidden="false" customHeight="false" outlineLevel="0" collapsed="false">
      <c r="A749" s="33"/>
      <c r="B749" s="33"/>
      <c r="C749" s="33"/>
      <c r="D749" s="33"/>
      <c r="E749" s="34"/>
      <c r="F749" s="34"/>
      <c r="G749" s="35" t="str">
        <f aca="true">IF(OR(E749="",J749=0),"",IF(F749&lt;&gt;"",F749-E749,TODAY()-E749))</f>
        <v/>
      </c>
      <c r="H749" s="29"/>
      <c r="I749" s="33"/>
      <c r="J749" s="32" t="n">
        <f aca="false">IF(OR(D749="",D749="Planned"),0,1)</f>
        <v>0</v>
      </c>
      <c r="K749" s="32" t="n">
        <f aca="false">IF(OR(D749="Under review",D749="Revision requested"),1,0)</f>
        <v>0</v>
      </c>
      <c r="L749" s="32" t="str">
        <f aca="false">IF(AND(J749=1,E749&lt;&gt;""),E749+ROW()/100000,"")</f>
        <v/>
      </c>
      <c r="M749" s="32" t="str">
        <f aca="false">IF(D749="Planned",ROW(),"")</f>
        <v/>
      </c>
      <c r="N749" s="32" t="str">
        <f aca="true">IF(K749=1,IF(E749="",0,TODAY()-E749)+ROW()/100000,"")</f>
        <v/>
      </c>
      <c r="O749" s="32" t="str">
        <f aca="false">IF(N749="","",RANK(N749,$N$2:$N$1000))</f>
        <v/>
      </c>
    </row>
    <row r="750" customFormat="false" ht="15" hidden="false" customHeight="false" outlineLevel="0" collapsed="false">
      <c r="A750" s="33"/>
      <c r="B750" s="33"/>
      <c r="C750" s="33"/>
      <c r="D750" s="33"/>
      <c r="E750" s="34"/>
      <c r="F750" s="34"/>
      <c r="G750" s="35" t="str">
        <f aca="true">IF(OR(E750="",J750=0),"",IF(F750&lt;&gt;"",F750-E750,TODAY()-E750))</f>
        <v/>
      </c>
      <c r="H750" s="29"/>
      <c r="I750" s="33"/>
      <c r="J750" s="32" t="n">
        <f aca="false">IF(OR(D750="",D750="Planned"),0,1)</f>
        <v>0</v>
      </c>
      <c r="K750" s="32" t="n">
        <f aca="false">IF(OR(D750="Under review",D750="Revision requested"),1,0)</f>
        <v>0</v>
      </c>
      <c r="L750" s="32" t="str">
        <f aca="false">IF(AND(J750=1,E750&lt;&gt;""),E750+ROW()/100000,"")</f>
        <v/>
      </c>
      <c r="M750" s="32" t="str">
        <f aca="false">IF(D750="Planned",ROW(),"")</f>
        <v/>
      </c>
      <c r="N750" s="32" t="str">
        <f aca="true">IF(K750=1,IF(E750="",0,TODAY()-E750)+ROW()/100000,"")</f>
        <v/>
      </c>
      <c r="O750" s="32" t="str">
        <f aca="false">IF(N750="","",RANK(N750,$N$2:$N$1000))</f>
        <v/>
      </c>
    </row>
    <row r="751" customFormat="false" ht="15" hidden="false" customHeight="false" outlineLevel="0" collapsed="false">
      <c r="A751" s="33"/>
      <c r="B751" s="33"/>
      <c r="C751" s="33"/>
      <c r="D751" s="33"/>
      <c r="E751" s="34"/>
      <c r="F751" s="34"/>
      <c r="G751" s="35" t="str">
        <f aca="true">IF(OR(E751="",J751=0),"",IF(F751&lt;&gt;"",F751-E751,TODAY()-E751))</f>
        <v/>
      </c>
      <c r="H751" s="29"/>
      <c r="I751" s="33"/>
      <c r="J751" s="32" t="n">
        <f aca="false">IF(OR(D751="",D751="Planned"),0,1)</f>
        <v>0</v>
      </c>
      <c r="K751" s="32" t="n">
        <f aca="false">IF(OR(D751="Under review",D751="Revision requested"),1,0)</f>
        <v>0</v>
      </c>
      <c r="L751" s="32" t="str">
        <f aca="false">IF(AND(J751=1,E751&lt;&gt;""),E751+ROW()/100000,"")</f>
        <v/>
      </c>
      <c r="M751" s="32" t="str">
        <f aca="false">IF(D751="Planned",ROW(),"")</f>
        <v/>
      </c>
      <c r="N751" s="32" t="str">
        <f aca="true">IF(K751=1,IF(E751="",0,TODAY()-E751)+ROW()/100000,"")</f>
        <v/>
      </c>
      <c r="O751" s="32" t="str">
        <f aca="false">IF(N751="","",RANK(N751,$N$2:$N$1000))</f>
        <v/>
      </c>
    </row>
    <row r="752" customFormat="false" ht="15" hidden="false" customHeight="false" outlineLevel="0" collapsed="false">
      <c r="A752" s="33"/>
      <c r="B752" s="33"/>
      <c r="C752" s="33"/>
      <c r="D752" s="33"/>
      <c r="E752" s="34"/>
      <c r="F752" s="34"/>
      <c r="G752" s="35" t="str">
        <f aca="true">IF(OR(E752="",J752=0),"",IF(F752&lt;&gt;"",F752-E752,TODAY()-E752))</f>
        <v/>
      </c>
      <c r="H752" s="29"/>
      <c r="I752" s="33"/>
      <c r="J752" s="32" t="n">
        <f aca="false">IF(OR(D752="",D752="Planned"),0,1)</f>
        <v>0</v>
      </c>
      <c r="K752" s="32" t="n">
        <f aca="false">IF(OR(D752="Under review",D752="Revision requested"),1,0)</f>
        <v>0</v>
      </c>
      <c r="L752" s="32" t="str">
        <f aca="false">IF(AND(J752=1,E752&lt;&gt;""),E752+ROW()/100000,"")</f>
        <v/>
      </c>
      <c r="M752" s="32" t="str">
        <f aca="false">IF(D752="Planned",ROW(),"")</f>
        <v/>
      </c>
      <c r="N752" s="32" t="str">
        <f aca="true">IF(K752=1,IF(E752="",0,TODAY()-E752)+ROW()/100000,"")</f>
        <v/>
      </c>
      <c r="O752" s="32" t="str">
        <f aca="false">IF(N752="","",RANK(N752,$N$2:$N$1000))</f>
        <v/>
      </c>
    </row>
    <row r="753" customFormat="false" ht="15" hidden="false" customHeight="false" outlineLevel="0" collapsed="false">
      <c r="A753" s="33"/>
      <c r="B753" s="33"/>
      <c r="C753" s="33"/>
      <c r="D753" s="33"/>
      <c r="E753" s="34"/>
      <c r="F753" s="34"/>
      <c r="G753" s="35" t="str">
        <f aca="true">IF(OR(E753="",J753=0),"",IF(F753&lt;&gt;"",F753-E753,TODAY()-E753))</f>
        <v/>
      </c>
      <c r="H753" s="29"/>
      <c r="I753" s="33"/>
      <c r="J753" s="32" t="n">
        <f aca="false">IF(OR(D753="",D753="Planned"),0,1)</f>
        <v>0</v>
      </c>
      <c r="K753" s="32" t="n">
        <f aca="false">IF(OR(D753="Under review",D753="Revision requested"),1,0)</f>
        <v>0</v>
      </c>
      <c r="L753" s="32" t="str">
        <f aca="false">IF(AND(J753=1,E753&lt;&gt;""),E753+ROW()/100000,"")</f>
        <v/>
      </c>
      <c r="M753" s="32" t="str">
        <f aca="false">IF(D753="Planned",ROW(),"")</f>
        <v/>
      </c>
      <c r="N753" s="32" t="str">
        <f aca="true">IF(K753=1,IF(E753="",0,TODAY()-E753)+ROW()/100000,"")</f>
        <v/>
      </c>
      <c r="O753" s="32" t="str">
        <f aca="false">IF(N753="","",RANK(N753,$N$2:$N$1000))</f>
        <v/>
      </c>
    </row>
    <row r="754" customFormat="false" ht="15" hidden="false" customHeight="false" outlineLevel="0" collapsed="false">
      <c r="A754" s="33"/>
      <c r="B754" s="33"/>
      <c r="C754" s="33"/>
      <c r="D754" s="33"/>
      <c r="E754" s="34"/>
      <c r="F754" s="34"/>
      <c r="G754" s="35" t="str">
        <f aca="true">IF(OR(E754="",J754=0),"",IF(F754&lt;&gt;"",F754-E754,TODAY()-E754))</f>
        <v/>
      </c>
      <c r="H754" s="29"/>
      <c r="I754" s="33"/>
      <c r="J754" s="32" t="n">
        <f aca="false">IF(OR(D754="",D754="Planned"),0,1)</f>
        <v>0</v>
      </c>
      <c r="K754" s="32" t="n">
        <f aca="false">IF(OR(D754="Under review",D754="Revision requested"),1,0)</f>
        <v>0</v>
      </c>
      <c r="L754" s="32" t="str">
        <f aca="false">IF(AND(J754=1,E754&lt;&gt;""),E754+ROW()/100000,"")</f>
        <v/>
      </c>
      <c r="M754" s="32" t="str">
        <f aca="false">IF(D754="Planned",ROW(),"")</f>
        <v/>
      </c>
      <c r="N754" s="32" t="str">
        <f aca="true">IF(K754=1,IF(E754="",0,TODAY()-E754)+ROW()/100000,"")</f>
        <v/>
      </c>
      <c r="O754" s="32" t="str">
        <f aca="false">IF(N754="","",RANK(N754,$N$2:$N$1000))</f>
        <v/>
      </c>
    </row>
    <row r="755" customFormat="false" ht="15" hidden="false" customHeight="false" outlineLevel="0" collapsed="false">
      <c r="A755" s="33"/>
      <c r="B755" s="33"/>
      <c r="C755" s="33"/>
      <c r="D755" s="33"/>
      <c r="E755" s="34"/>
      <c r="F755" s="34"/>
      <c r="G755" s="35" t="str">
        <f aca="true">IF(OR(E755="",J755=0),"",IF(F755&lt;&gt;"",F755-E755,TODAY()-E755))</f>
        <v/>
      </c>
      <c r="H755" s="29"/>
      <c r="I755" s="33"/>
      <c r="J755" s="32" t="n">
        <f aca="false">IF(OR(D755="",D755="Planned"),0,1)</f>
        <v>0</v>
      </c>
      <c r="K755" s="32" t="n">
        <f aca="false">IF(OR(D755="Under review",D755="Revision requested"),1,0)</f>
        <v>0</v>
      </c>
      <c r="L755" s="32" t="str">
        <f aca="false">IF(AND(J755=1,E755&lt;&gt;""),E755+ROW()/100000,"")</f>
        <v/>
      </c>
      <c r="M755" s="32" t="str">
        <f aca="false">IF(D755="Planned",ROW(),"")</f>
        <v/>
      </c>
      <c r="N755" s="32" t="str">
        <f aca="true">IF(K755=1,IF(E755="",0,TODAY()-E755)+ROW()/100000,"")</f>
        <v/>
      </c>
      <c r="O755" s="32" t="str">
        <f aca="false">IF(N755="","",RANK(N755,$N$2:$N$1000))</f>
        <v/>
      </c>
    </row>
    <row r="756" customFormat="false" ht="15" hidden="false" customHeight="false" outlineLevel="0" collapsed="false">
      <c r="A756" s="33"/>
      <c r="B756" s="33"/>
      <c r="C756" s="33"/>
      <c r="D756" s="33"/>
      <c r="E756" s="34"/>
      <c r="F756" s="34"/>
      <c r="G756" s="35" t="str">
        <f aca="true">IF(OR(E756="",J756=0),"",IF(F756&lt;&gt;"",F756-E756,TODAY()-E756))</f>
        <v/>
      </c>
      <c r="H756" s="29"/>
      <c r="I756" s="33"/>
      <c r="J756" s="32" t="n">
        <f aca="false">IF(OR(D756="",D756="Planned"),0,1)</f>
        <v>0</v>
      </c>
      <c r="K756" s="32" t="n">
        <f aca="false">IF(OR(D756="Under review",D756="Revision requested"),1,0)</f>
        <v>0</v>
      </c>
      <c r="L756" s="32" t="str">
        <f aca="false">IF(AND(J756=1,E756&lt;&gt;""),E756+ROW()/100000,"")</f>
        <v/>
      </c>
      <c r="M756" s="32" t="str">
        <f aca="false">IF(D756="Planned",ROW(),"")</f>
        <v/>
      </c>
      <c r="N756" s="32" t="str">
        <f aca="true">IF(K756=1,IF(E756="",0,TODAY()-E756)+ROW()/100000,"")</f>
        <v/>
      </c>
      <c r="O756" s="32" t="str">
        <f aca="false">IF(N756="","",RANK(N756,$N$2:$N$1000))</f>
        <v/>
      </c>
    </row>
    <row r="757" customFormat="false" ht="15" hidden="false" customHeight="false" outlineLevel="0" collapsed="false">
      <c r="A757" s="33"/>
      <c r="B757" s="33"/>
      <c r="C757" s="33"/>
      <c r="D757" s="33"/>
      <c r="E757" s="34"/>
      <c r="F757" s="34"/>
      <c r="G757" s="35" t="str">
        <f aca="true">IF(OR(E757="",J757=0),"",IF(F757&lt;&gt;"",F757-E757,TODAY()-E757))</f>
        <v/>
      </c>
      <c r="H757" s="29"/>
      <c r="I757" s="33"/>
      <c r="J757" s="32" t="n">
        <f aca="false">IF(OR(D757="",D757="Planned"),0,1)</f>
        <v>0</v>
      </c>
      <c r="K757" s="32" t="n">
        <f aca="false">IF(OR(D757="Under review",D757="Revision requested"),1,0)</f>
        <v>0</v>
      </c>
      <c r="L757" s="32" t="str">
        <f aca="false">IF(AND(J757=1,E757&lt;&gt;""),E757+ROW()/100000,"")</f>
        <v/>
      </c>
      <c r="M757" s="32" t="str">
        <f aca="false">IF(D757="Planned",ROW(),"")</f>
        <v/>
      </c>
      <c r="N757" s="32" t="str">
        <f aca="true">IF(K757=1,IF(E757="",0,TODAY()-E757)+ROW()/100000,"")</f>
        <v/>
      </c>
      <c r="O757" s="32" t="str">
        <f aca="false">IF(N757="","",RANK(N757,$N$2:$N$1000))</f>
        <v/>
      </c>
    </row>
    <row r="758" customFormat="false" ht="15" hidden="false" customHeight="false" outlineLevel="0" collapsed="false">
      <c r="A758" s="33"/>
      <c r="B758" s="33"/>
      <c r="C758" s="33"/>
      <c r="D758" s="33"/>
      <c r="E758" s="34"/>
      <c r="F758" s="34"/>
      <c r="G758" s="35" t="str">
        <f aca="true">IF(OR(E758="",J758=0),"",IF(F758&lt;&gt;"",F758-E758,TODAY()-E758))</f>
        <v/>
      </c>
      <c r="H758" s="29"/>
      <c r="I758" s="33"/>
      <c r="J758" s="32" t="n">
        <f aca="false">IF(OR(D758="",D758="Planned"),0,1)</f>
        <v>0</v>
      </c>
      <c r="K758" s="32" t="n">
        <f aca="false">IF(OR(D758="Under review",D758="Revision requested"),1,0)</f>
        <v>0</v>
      </c>
      <c r="L758" s="32" t="str">
        <f aca="false">IF(AND(J758=1,E758&lt;&gt;""),E758+ROW()/100000,"")</f>
        <v/>
      </c>
      <c r="M758" s="32" t="str">
        <f aca="false">IF(D758="Planned",ROW(),"")</f>
        <v/>
      </c>
      <c r="N758" s="32" t="str">
        <f aca="true">IF(K758=1,IF(E758="",0,TODAY()-E758)+ROW()/100000,"")</f>
        <v/>
      </c>
      <c r="O758" s="32" t="str">
        <f aca="false">IF(N758="","",RANK(N758,$N$2:$N$1000))</f>
        <v/>
      </c>
    </row>
    <row r="759" customFormat="false" ht="15" hidden="false" customHeight="false" outlineLevel="0" collapsed="false">
      <c r="A759" s="33"/>
      <c r="B759" s="33"/>
      <c r="C759" s="33"/>
      <c r="D759" s="33"/>
      <c r="E759" s="34"/>
      <c r="F759" s="34"/>
      <c r="G759" s="35" t="str">
        <f aca="true">IF(OR(E759="",J759=0),"",IF(F759&lt;&gt;"",F759-E759,TODAY()-E759))</f>
        <v/>
      </c>
      <c r="H759" s="29"/>
      <c r="I759" s="33"/>
      <c r="J759" s="32" t="n">
        <f aca="false">IF(OR(D759="",D759="Planned"),0,1)</f>
        <v>0</v>
      </c>
      <c r="K759" s="32" t="n">
        <f aca="false">IF(OR(D759="Under review",D759="Revision requested"),1,0)</f>
        <v>0</v>
      </c>
      <c r="L759" s="32" t="str">
        <f aca="false">IF(AND(J759=1,E759&lt;&gt;""),E759+ROW()/100000,"")</f>
        <v/>
      </c>
      <c r="M759" s="32" t="str">
        <f aca="false">IF(D759="Planned",ROW(),"")</f>
        <v/>
      </c>
      <c r="N759" s="32" t="str">
        <f aca="true">IF(K759=1,IF(E759="",0,TODAY()-E759)+ROW()/100000,"")</f>
        <v/>
      </c>
      <c r="O759" s="32" t="str">
        <f aca="false">IF(N759="","",RANK(N759,$N$2:$N$1000))</f>
        <v/>
      </c>
    </row>
    <row r="760" customFormat="false" ht="15" hidden="false" customHeight="false" outlineLevel="0" collapsed="false">
      <c r="A760" s="33"/>
      <c r="B760" s="33"/>
      <c r="C760" s="33"/>
      <c r="D760" s="33"/>
      <c r="E760" s="34"/>
      <c r="F760" s="34"/>
      <c r="G760" s="35" t="str">
        <f aca="true">IF(OR(E760="",J760=0),"",IF(F760&lt;&gt;"",F760-E760,TODAY()-E760))</f>
        <v/>
      </c>
      <c r="H760" s="29"/>
      <c r="I760" s="33"/>
      <c r="J760" s="32" t="n">
        <f aca="false">IF(OR(D760="",D760="Planned"),0,1)</f>
        <v>0</v>
      </c>
      <c r="K760" s="32" t="n">
        <f aca="false">IF(OR(D760="Under review",D760="Revision requested"),1,0)</f>
        <v>0</v>
      </c>
      <c r="L760" s="32" t="str">
        <f aca="false">IF(AND(J760=1,E760&lt;&gt;""),E760+ROW()/100000,"")</f>
        <v/>
      </c>
      <c r="M760" s="32" t="str">
        <f aca="false">IF(D760="Planned",ROW(),"")</f>
        <v/>
      </c>
      <c r="N760" s="32" t="str">
        <f aca="true">IF(K760=1,IF(E760="",0,TODAY()-E760)+ROW()/100000,"")</f>
        <v/>
      </c>
      <c r="O760" s="32" t="str">
        <f aca="false">IF(N760="","",RANK(N760,$N$2:$N$1000))</f>
        <v/>
      </c>
    </row>
    <row r="761" customFormat="false" ht="15" hidden="false" customHeight="false" outlineLevel="0" collapsed="false">
      <c r="A761" s="33"/>
      <c r="B761" s="33"/>
      <c r="C761" s="33"/>
      <c r="D761" s="33"/>
      <c r="E761" s="34"/>
      <c r="F761" s="34"/>
      <c r="G761" s="35" t="str">
        <f aca="true">IF(OR(E761="",J761=0),"",IF(F761&lt;&gt;"",F761-E761,TODAY()-E761))</f>
        <v/>
      </c>
      <c r="H761" s="29"/>
      <c r="I761" s="33"/>
      <c r="J761" s="32" t="n">
        <f aca="false">IF(OR(D761="",D761="Planned"),0,1)</f>
        <v>0</v>
      </c>
      <c r="K761" s="32" t="n">
        <f aca="false">IF(OR(D761="Under review",D761="Revision requested"),1,0)</f>
        <v>0</v>
      </c>
      <c r="L761" s="32" t="str">
        <f aca="false">IF(AND(J761=1,E761&lt;&gt;""),E761+ROW()/100000,"")</f>
        <v/>
      </c>
      <c r="M761" s="32" t="str">
        <f aca="false">IF(D761="Planned",ROW(),"")</f>
        <v/>
      </c>
      <c r="N761" s="32" t="str">
        <f aca="true">IF(K761=1,IF(E761="",0,TODAY()-E761)+ROW()/100000,"")</f>
        <v/>
      </c>
      <c r="O761" s="32" t="str">
        <f aca="false">IF(N761="","",RANK(N761,$N$2:$N$1000))</f>
        <v/>
      </c>
    </row>
    <row r="762" customFormat="false" ht="15" hidden="false" customHeight="false" outlineLevel="0" collapsed="false">
      <c r="A762" s="33"/>
      <c r="B762" s="33"/>
      <c r="C762" s="33"/>
      <c r="D762" s="33"/>
      <c r="E762" s="34"/>
      <c r="F762" s="34"/>
      <c r="G762" s="35" t="str">
        <f aca="true">IF(OR(E762="",J762=0),"",IF(F762&lt;&gt;"",F762-E762,TODAY()-E762))</f>
        <v/>
      </c>
      <c r="H762" s="29"/>
      <c r="I762" s="33"/>
      <c r="J762" s="32" t="n">
        <f aca="false">IF(OR(D762="",D762="Planned"),0,1)</f>
        <v>0</v>
      </c>
      <c r="K762" s="32" t="n">
        <f aca="false">IF(OR(D762="Under review",D762="Revision requested"),1,0)</f>
        <v>0</v>
      </c>
      <c r="L762" s="32" t="str">
        <f aca="false">IF(AND(J762=1,E762&lt;&gt;""),E762+ROW()/100000,"")</f>
        <v/>
      </c>
      <c r="M762" s="32" t="str">
        <f aca="false">IF(D762="Planned",ROW(),"")</f>
        <v/>
      </c>
      <c r="N762" s="32" t="str">
        <f aca="true">IF(K762=1,IF(E762="",0,TODAY()-E762)+ROW()/100000,"")</f>
        <v/>
      </c>
      <c r="O762" s="32" t="str">
        <f aca="false">IF(N762="","",RANK(N762,$N$2:$N$1000))</f>
        <v/>
      </c>
    </row>
    <row r="763" customFormat="false" ht="15" hidden="false" customHeight="false" outlineLevel="0" collapsed="false">
      <c r="A763" s="33"/>
      <c r="B763" s="33"/>
      <c r="C763" s="33"/>
      <c r="D763" s="33"/>
      <c r="E763" s="34"/>
      <c r="F763" s="34"/>
      <c r="G763" s="35" t="str">
        <f aca="true">IF(OR(E763="",J763=0),"",IF(F763&lt;&gt;"",F763-E763,TODAY()-E763))</f>
        <v/>
      </c>
      <c r="H763" s="29"/>
      <c r="I763" s="33"/>
      <c r="J763" s="32" t="n">
        <f aca="false">IF(OR(D763="",D763="Planned"),0,1)</f>
        <v>0</v>
      </c>
      <c r="K763" s="32" t="n">
        <f aca="false">IF(OR(D763="Under review",D763="Revision requested"),1,0)</f>
        <v>0</v>
      </c>
      <c r="L763" s="32" t="str">
        <f aca="false">IF(AND(J763=1,E763&lt;&gt;""),E763+ROW()/100000,"")</f>
        <v/>
      </c>
      <c r="M763" s="32" t="str">
        <f aca="false">IF(D763="Planned",ROW(),"")</f>
        <v/>
      </c>
      <c r="N763" s="32" t="str">
        <f aca="true">IF(K763=1,IF(E763="",0,TODAY()-E763)+ROW()/100000,"")</f>
        <v/>
      </c>
      <c r="O763" s="32" t="str">
        <f aca="false">IF(N763="","",RANK(N763,$N$2:$N$1000))</f>
        <v/>
      </c>
    </row>
    <row r="764" customFormat="false" ht="15" hidden="false" customHeight="false" outlineLevel="0" collapsed="false">
      <c r="A764" s="33"/>
      <c r="B764" s="33"/>
      <c r="C764" s="33"/>
      <c r="D764" s="33"/>
      <c r="E764" s="34"/>
      <c r="F764" s="34"/>
      <c r="G764" s="35" t="str">
        <f aca="true">IF(OR(E764="",J764=0),"",IF(F764&lt;&gt;"",F764-E764,TODAY()-E764))</f>
        <v/>
      </c>
      <c r="H764" s="29"/>
      <c r="I764" s="33"/>
      <c r="J764" s="32" t="n">
        <f aca="false">IF(OR(D764="",D764="Planned"),0,1)</f>
        <v>0</v>
      </c>
      <c r="K764" s="32" t="n">
        <f aca="false">IF(OR(D764="Under review",D764="Revision requested"),1,0)</f>
        <v>0</v>
      </c>
      <c r="L764" s="32" t="str">
        <f aca="false">IF(AND(J764=1,E764&lt;&gt;""),E764+ROW()/100000,"")</f>
        <v/>
      </c>
      <c r="M764" s="32" t="str">
        <f aca="false">IF(D764="Planned",ROW(),"")</f>
        <v/>
      </c>
      <c r="N764" s="32" t="str">
        <f aca="true">IF(K764=1,IF(E764="",0,TODAY()-E764)+ROW()/100000,"")</f>
        <v/>
      </c>
      <c r="O764" s="32" t="str">
        <f aca="false">IF(N764="","",RANK(N764,$N$2:$N$1000))</f>
        <v/>
      </c>
    </row>
    <row r="765" customFormat="false" ht="15" hidden="false" customHeight="false" outlineLevel="0" collapsed="false">
      <c r="A765" s="33"/>
      <c r="B765" s="33"/>
      <c r="C765" s="33"/>
      <c r="D765" s="33"/>
      <c r="E765" s="34"/>
      <c r="F765" s="34"/>
      <c r="G765" s="35" t="str">
        <f aca="true">IF(OR(E765="",J765=0),"",IF(F765&lt;&gt;"",F765-E765,TODAY()-E765))</f>
        <v/>
      </c>
      <c r="H765" s="29"/>
      <c r="I765" s="33"/>
      <c r="J765" s="32" t="n">
        <f aca="false">IF(OR(D765="",D765="Planned"),0,1)</f>
        <v>0</v>
      </c>
      <c r="K765" s="32" t="n">
        <f aca="false">IF(OR(D765="Under review",D765="Revision requested"),1,0)</f>
        <v>0</v>
      </c>
      <c r="L765" s="32" t="str">
        <f aca="false">IF(AND(J765=1,E765&lt;&gt;""),E765+ROW()/100000,"")</f>
        <v/>
      </c>
      <c r="M765" s="32" t="str">
        <f aca="false">IF(D765="Planned",ROW(),"")</f>
        <v/>
      </c>
      <c r="N765" s="32" t="str">
        <f aca="true">IF(K765=1,IF(E765="",0,TODAY()-E765)+ROW()/100000,"")</f>
        <v/>
      </c>
      <c r="O765" s="32" t="str">
        <f aca="false">IF(N765="","",RANK(N765,$N$2:$N$1000))</f>
        <v/>
      </c>
    </row>
    <row r="766" customFormat="false" ht="15" hidden="false" customHeight="false" outlineLevel="0" collapsed="false">
      <c r="A766" s="33"/>
      <c r="B766" s="33"/>
      <c r="C766" s="33"/>
      <c r="D766" s="33"/>
      <c r="E766" s="34"/>
      <c r="F766" s="34"/>
      <c r="G766" s="35" t="str">
        <f aca="true">IF(OR(E766="",J766=0),"",IF(F766&lt;&gt;"",F766-E766,TODAY()-E766))</f>
        <v/>
      </c>
      <c r="H766" s="29"/>
      <c r="I766" s="33"/>
      <c r="J766" s="32" t="n">
        <f aca="false">IF(OR(D766="",D766="Planned"),0,1)</f>
        <v>0</v>
      </c>
      <c r="K766" s="32" t="n">
        <f aca="false">IF(OR(D766="Under review",D766="Revision requested"),1,0)</f>
        <v>0</v>
      </c>
      <c r="L766" s="32" t="str">
        <f aca="false">IF(AND(J766=1,E766&lt;&gt;""),E766+ROW()/100000,"")</f>
        <v/>
      </c>
      <c r="M766" s="32" t="str">
        <f aca="false">IF(D766="Planned",ROW(),"")</f>
        <v/>
      </c>
      <c r="N766" s="32" t="str">
        <f aca="true">IF(K766=1,IF(E766="",0,TODAY()-E766)+ROW()/100000,"")</f>
        <v/>
      </c>
      <c r="O766" s="32" t="str">
        <f aca="false">IF(N766="","",RANK(N766,$N$2:$N$1000))</f>
        <v/>
      </c>
    </row>
    <row r="767" customFormat="false" ht="15" hidden="false" customHeight="false" outlineLevel="0" collapsed="false">
      <c r="A767" s="33"/>
      <c r="B767" s="33"/>
      <c r="C767" s="33"/>
      <c r="D767" s="33"/>
      <c r="E767" s="34"/>
      <c r="F767" s="34"/>
      <c r="G767" s="35" t="str">
        <f aca="true">IF(OR(E767="",J767=0),"",IF(F767&lt;&gt;"",F767-E767,TODAY()-E767))</f>
        <v/>
      </c>
      <c r="H767" s="29"/>
      <c r="I767" s="33"/>
      <c r="J767" s="32" t="n">
        <f aca="false">IF(OR(D767="",D767="Planned"),0,1)</f>
        <v>0</v>
      </c>
      <c r="K767" s="32" t="n">
        <f aca="false">IF(OR(D767="Under review",D767="Revision requested"),1,0)</f>
        <v>0</v>
      </c>
      <c r="L767" s="32" t="str">
        <f aca="false">IF(AND(J767=1,E767&lt;&gt;""),E767+ROW()/100000,"")</f>
        <v/>
      </c>
      <c r="M767" s="32" t="str">
        <f aca="false">IF(D767="Planned",ROW(),"")</f>
        <v/>
      </c>
      <c r="N767" s="32" t="str">
        <f aca="true">IF(K767=1,IF(E767="",0,TODAY()-E767)+ROW()/100000,"")</f>
        <v/>
      </c>
      <c r="O767" s="32" t="str">
        <f aca="false">IF(N767="","",RANK(N767,$N$2:$N$1000))</f>
        <v/>
      </c>
    </row>
    <row r="768" customFormat="false" ht="15" hidden="false" customHeight="false" outlineLevel="0" collapsed="false">
      <c r="A768" s="33"/>
      <c r="B768" s="33"/>
      <c r="C768" s="33"/>
      <c r="D768" s="33"/>
      <c r="E768" s="34"/>
      <c r="F768" s="34"/>
      <c r="G768" s="35" t="str">
        <f aca="true">IF(OR(E768="",J768=0),"",IF(F768&lt;&gt;"",F768-E768,TODAY()-E768))</f>
        <v/>
      </c>
      <c r="H768" s="29"/>
      <c r="I768" s="33"/>
      <c r="J768" s="32" t="n">
        <f aca="false">IF(OR(D768="",D768="Planned"),0,1)</f>
        <v>0</v>
      </c>
      <c r="K768" s="32" t="n">
        <f aca="false">IF(OR(D768="Under review",D768="Revision requested"),1,0)</f>
        <v>0</v>
      </c>
      <c r="L768" s="32" t="str">
        <f aca="false">IF(AND(J768=1,E768&lt;&gt;""),E768+ROW()/100000,"")</f>
        <v/>
      </c>
      <c r="M768" s="32" t="str">
        <f aca="false">IF(D768="Planned",ROW(),"")</f>
        <v/>
      </c>
      <c r="N768" s="32" t="str">
        <f aca="true">IF(K768=1,IF(E768="",0,TODAY()-E768)+ROW()/100000,"")</f>
        <v/>
      </c>
      <c r="O768" s="32" t="str">
        <f aca="false">IF(N768="","",RANK(N768,$N$2:$N$1000))</f>
        <v/>
      </c>
    </row>
    <row r="769" customFormat="false" ht="15" hidden="false" customHeight="false" outlineLevel="0" collapsed="false">
      <c r="A769" s="33"/>
      <c r="B769" s="33"/>
      <c r="C769" s="33"/>
      <c r="D769" s="33"/>
      <c r="E769" s="34"/>
      <c r="F769" s="34"/>
      <c r="G769" s="35" t="str">
        <f aca="true">IF(OR(E769="",J769=0),"",IF(F769&lt;&gt;"",F769-E769,TODAY()-E769))</f>
        <v/>
      </c>
      <c r="H769" s="29"/>
      <c r="I769" s="33"/>
      <c r="J769" s="32" t="n">
        <f aca="false">IF(OR(D769="",D769="Planned"),0,1)</f>
        <v>0</v>
      </c>
      <c r="K769" s="32" t="n">
        <f aca="false">IF(OR(D769="Under review",D769="Revision requested"),1,0)</f>
        <v>0</v>
      </c>
      <c r="L769" s="32" t="str">
        <f aca="false">IF(AND(J769=1,E769&lt;&gt;""),E769+ROW()/100000,"")</f>
        <v/>
      </c>
      <c r="M769" s="32" t="str">
        <f aca="false">IF(D769="Planned",ROW(),"")</f>
        <v/>
      </c>
      <c r="N769" s="32" t="str">
        <f aca="true">IF(K769=1,IF(E769="",0,TODAY()-E769)+ROW()/100000,"")</f>
        <v/>
      </c>
      <c r="O769" s="32" t="str">
        <f aca="false">IF(N769="","",RANK(N769,$N$2:$N$1000))</f>
        <v/>
      </c>
    </row>
    <row r="770" customFormat="false" ht="15" hidden="false" customHeight="false" outlineLevel="0" collapsed="false">
      <c r="A770" s="33"/>
      <c r="B770" s="33"/>
      <c r="C770" s="33"/>
      <c r="D770" s="33"/>
      <c r="E770" s="34"/>
      <c r="F770" s="34"/>
      <c r="G770" s="35" t="str">
        <f aca="true">IF(OR(E770="",J770=0),"",IF(F770&lt;&gt;"",F770-E770,TODAY()-E770))</f>
        <v/>
      </c>
      <c r="H770" s="29"/>
      <c r="I770" s="33"/>
      <c r="J770" s="32" t="n">
        <f aca="false">IF(OR(D770="",D770="Planned"),0,1)</f>
        <v>0</v>
      </c>
      <c r="K770" s="32" t="n">
        <f aca="false">IF(OR(D770="Under review",D770="Revision requested"),1,0)</f>
        <v>0</v>
      </c>
      <c r="L770" s="32" t="str">
        <f aca="false">IF(AND(J770=1,E770&lt;&gt;""),E770+ROW()/100000,"")</f>
        <v/>
      </c>
      <c r="M770" s="32" t="str">
        <f aca="false">IF(D770="Planned",ROW(),"")</f>
        <v/>
      </c>
      <c r="N770" s="32" t="str">
        <f aca="true">IF(K770=1,IF(E770="",0,TODAY()-E770)+ROW()/100000,"")</f>
        <v/>
      </c>
      <c r="O770" s="32" t="str">
        <f aca="false">IF(N770="","",RANK(N770,$N$2:$N$1000))</f>
        <v/>
      </c>
    </row>
    <row r="771" customFormat="false" ht="15" hidden="false" customHeight="false" outlineLevel="0" collapsed="false">
      <c r="A771" s="33"/>
      <c r="B771" s="33"/>
      <c r="C771" s="33"/>
      <c r="D771" s="33"/>
      <c r="E771" s="34"/>
      <c r="F771" s="34"/>
      <c r="G771" s="35" t="str">
        <f aca="true">IF(OR(E771="",J771=0),"",IF(F771&lt;&gt;"",F771-E771,TODAY()-E771))</f>
        <v/>
      </c>
      <c r="H771" s="29"/>
      <c r="I771" s="33"/>
      <c r="J771" s="32" t="n">
        <f aca="false">IF(OR(D771="",D771="Planned"),0,1)</f>
        <v>0</v>
      </c>
      <c r="K771" s="32" t="n">
        <f aca="false">IF(OR(D771="Under review",D771="Revision requested"),1,0)</f>
        <v>0</v>
      </c>
      <c r="L771" s="32" t="str">
        <f aca="false">IF(AND(J771=1,E771&lt;&gt;""),E771+ROW()/100000,"")</f>
        <v/>
      </c>
      <c r="M771" s="32" t="str">
        <f aca="false">IF(D771="Planned",ROW(),"")</f>
        <v/>
      </c>
      <c r="N771" s="32" t="str">
        <f aca="true">IF(K771=1,IF(E771="",0,TODAY()-E771)+ROW()/100000,"")</f>
        <v/>
      </c>
      <c r="O771" s="32" t="str">
        <f aca="false">IF(N771="","",RANK(N771,$N$2:$N$1000))</f>
        <v/>
      </c>
    </row>
    <row r="772" customFormat="false" ht="15" hidden="false" customHeight="false" outlineLevel="0" collapsed="false">
      <c r="A772" s="33"/>
      <c r="B772" s="33"/>
      <c r="C772" s="33"/>
      <c r="D772" s="33"/>
      <c r="E772" s="34"/>
      <c r="F772" s="34"/>
      <c r="G772" s="35" t="str">
        <f aca="true">IF(OR(E772="",J772=0),"",IF(F772&lt;&gt;"",F772-E772,TODAY()-E772))</f>
        <v/>
      </c>
      <c r="H772" s="29"/>
      <c r="I772" s="33"/>
      <c r="J772" s="32" t="n">
        <f aca="false">IF(OR(D772="",D772="Planned"),0,1)</f>
        <v>0</v>
      </c>
      <c r="K772" s="32" t="n">
        <f aca="false">IF(OR(D772="Under review",D772="Revision requested"),1,0)</f>
        <v>0</v>
      </c>
      <c r="L772" s="32" t="str">
        <f aca="false">IF(AND(J772=1,E772&lt;&gt;""),E772+ROW()/100000,"")</f>
        <v/>
      </c>
      <c r="M772" s="32" t="str">
        <f aca="false">IF(D772="Planned",ROW(),"")</f>
        <v/>
      </c>
      <c r="N772" s="32" t="str">
        <f aca="true">IF(K772=1,IF(E772="",0,TODAY()-E772)+ROW()/100000,"")</f>
        <v/>
      </c>
      <c r="O772" s="32" t="str">
        <f aca="false">IF(N772="","",RANK(N772,$N$2:$N$1000))</f>
        <v/>
      </c>
    </row>
    <row r="773" customFormat="false" ht="15" hidden="false" customHeight="false" outlineLevel="0" collapsed="false">
      <c r="A773" s="33"/>
      <c r="B773" s="33"/>
      <c r="C773" s="33"/>
      <c r="D773" s="33"/>
      <c r="E773" s="34"/>
      <c r="F773" s="34"/>
      <c r="G773" s="35" t="str">
        <f aca="true">IF(OR(E773="",J773=0),"",IF(F773&lt;&gt;"",F773-E773,TODAY()-E773))</f>
        <v/>
      </c>
      <c r="H773" s="29"/>
      <c r="I773" s="33"/>
      <c r="J773" s="32" t="n">
        <f aca="false">IF(OR(D773="",D773="Planned"),0,1)</f>
        <v>0</v>
      </c>
      <c r="K773" s="32" t="n">
        <f aca="false">IF(OR(D773="Under review",D773="Revision requested"),1,0)</f>
        <v>0</v>
      </c>
      <c r="L773" s="32" t="str">
        <f aca="false">IF(AND(J773=1,E773&lt;&gt;""),E773+ROW()/100000,"")</f>
        <v/>
      </c>
      <c r="M773" s="32" t="str">
        <f aca="false">IF(D773="Planned",ROW(),"")</f>
        <v/>
      </c>
      <c r="N773" s="32" t="str">
        <f aca="true">IF(K773=1,IF(E773="",0,TODAY()-E773)+ROW()/100000,"")</f>
        <v/>
      </c>
      <c r="O773" s="32" t="str">
        <f aca="false">IF(N773="","",RANK(N773,$N$2:$N$1000))</f>
        <v/>
      </c>
    </row>
    <row r="774" customFormat="false" ht="15" hidden="false" customHeight="false" outlineLevel="0" collapsed="false">
      <c r="A774" s="33"/>
      <c r="B774" s="33"/>
      <c r="C774" s="33"/>
      <c r="D774" s="33"/>
      <c r="E774" s="34"/>
      <c r="F774" s="34"/>
      <c r="G774" s="35" t="str">
        <f aca="true">IF(OR(E774="",J774=0),"",IF(F774&lt;&gt;"",F774-E774,TODAY()-E774))</f>
        <v/>
      </c>
      <c r="H774" s="29"/>
      <c r="I774" s="33"/>
      <c r="J774" s="32" t="n">
        <f aca="false">IF(OR(D774="",D774="Planned"),0,1)</f>
        <v>0</v>
      </c>
      <c r="K774" s="32" t="n">
        <f aca="false">IF(OR(D774="Under review",D774="Revision requested"),1,0)</f>
        <v>0</v>
      </c>
      <c r="L774" s="32" t="str">
        <f aca="false">IF(AND(J774=1,E774&lt;&gt;""),E774+ROW()/100000,"")</f>
        <v/>
      </c>
      <c r="M774" s="32" t="str">
        <f aca="false">IF(D774="Planned",ROW(),"")</f>
        <v/>
      </c>
      <c r="N774" s="32" t="str">
        <f aca="true">IF(K774=1,IF(E774="",0,TODAY()-E774)+ROW()/100000,"")</f>
        <v/>
      </c>
      <c r="O774" s="32" t="str">
        <f aca="false">IF(N774="","",RANK(N774,$N$2:$N$1000))</f>
        <v/>
      </c>
    </row>
    <row r="775" customFormat="false" ht="15" hidden="false" customHeight="false" outlineLevel="0" collapsed="false">
      <c r="A775" s="33"/>
      <c r="B775" s="33"/>
      <c r="C775" s="33"/>
      <c r="D775" s="33"/>
      <c r="E775" s="34"/>
      <c r="F775" s="34"/>
      <c r="G775" s="35" t="str">
        <f aca="true">IF(OR(E775="",J775=0),"",IF(F775&lt;&gt;"",F775-E775,TODAY()-E775))</f>
        <v/>
      </c>
      <c r="H775" s="29"/>
      <c r="I775" s="33"/>
      <c r="J775" s="32" t="n">
        <f aca="false">IF(OR(D775="",D775="Planned"),0,1)</f>
        <v>0</v>
      </c>
      <c r="K775" s="32" t="n">
        <f aca="false">IF(OR(D775="Under review",D775="Revision requested"),1,0)</f>
        <v>0</v>
      </c>
      <c r="L775" s="32" t="str">
        <f aca="false">IF(AND(J775=1,E775&lt;&gt;""),E775+ROW()/100000,"")</f>
        <v/>
      </c>
      <c r="M775" s="32" t="str">
        <f aca="false">IF(D775="Planned",ROW(),"")</f>
        <v/>
      </c>
      <c r="N775" s="32" t="str">
        <f aca="true">IF(K775=1,IF(E775="",0,TODAY()-E775)+ROW()/100000,"")</f>
        <v/>
      </c>
      <c r="O775" s="32" t="str">
        <f aca="false">IF(N775="","",RANK(N775,$N$2:$N$1000))</f>
        <v/>
      </c>
    </row>
    <row r="776" customFormat="false" ht="15" hidden="false" customHeight="false" outlineLevel="0" collapsed="false">
      <c r="A776" s="33"/>
      <c r="B776" s="33"/>
      <c r="C776" s="33"/>
      <c r="D776" s="33"/>
      <c r="E776" s="34"/>
      <c r="F776" s="34"/>
      <c r="G776" s="35" t="str">
        <f aca="true">IF(OR(E776="",J776=0),"",IF(F776&lt;&gt;"",F776-E776,TODAY()-E776))</f>
        <v/>
      </c>
      <c r="H776" s="29"/>
      <c r="I776" s="33"/>
      <c r="J776" s="32" t="n">
        <f aca="false">IF(OR(D776="",D776="Planned"),0,1)</f>
        <v>0</v>
      </c>
      <c r="K776" s="32" t="n">
        <f aca="false">IF(OR(D776="Under review",D776="Revision requested"),1,0)</f>
        <v>0</v>
      </c>
      <c r="L776" s="32" t="str">
        <f aca="false">IF(AND(J776=1,E776&lt;&gt;""),E776+ROW()/100000,"")</f>
        <v/>
      </c>
      <c r="M776" s="32" t="str">
        <f aca="false">IF(D776="Planned",ROW(),"")</f>
        <v/>
      </c>
      <c r="N776" s="32" t="str">
        <f aca="true">IF(K776=1,IF(E776="",0,TODAY()-E776)+ROW()/100000,"")</f>
        <v/>
      </c>
      <c r="O776" s="32" t="str">
        <f aca="false">IF(N776="","",RANK(N776,$N$2:$N$1000))</f>
        <v/>
      </c>
    </row>
    <row r="777" customFormat="false" ht="15" hidden="false" customHeight="false" outlineLevel="0" collapsed="false">
      <c r="A777" s="33"/>
      <c r="B777" s="33"/>
      <c r="C777" s="33"/>
      <c r="D777" s="33"/>
      <c r="E777" s="34"/>
      <c r="F777" s="34"/>
      <c r="G777" s="35" t="str">
        <f aca="true">IF(OR(E777="",J777=0),"",IF(F777&lt;&gt;"",F777-E777,TODAY()-E777))</f>
        <v/>
      </c>
      <c r="H777" s="29"/>
      <c r="I777" s="33"/>
      <c r="J777" s="32" t="n">
        <f aca="false">IF(OR(D777="",D777="Planned"),0,1)</f>
        <v>0</v>
      </c>
      <c r="K777" s="32" t="n">
        <f aca="false">IF(OR(D777="Under review",D777="Revision requested"),1,0)</f>
        <v>0</v>
      </c>
      <c r="L777" s="32" t="str">
        <f aca="false">IF(AND(J777=1,E777&lt;&gt;""),E777+ROW()/100000,"")</f>
        <v/>
      </c>
      <c r="M777" s="32" t="str">
        <f aca="false">IF(D777="Planned",ROW(),"")</f>
        <v/>
      </c>
      <c r="N777" s="32" t="str">
        <f aca="true">IF(K777=1,IF(E777="",0,TODAY()-E777)+ROW()/100000,"")</f>
        <v/>
      </c>
      <c r="O777" s="32" t="str">
        <f aca="false">IF(N777="","",RANK(N777,$N$2:$N$1000))</f>
        <v/>
      </c>
    </row>
    <row r="778" customFormat="false" ht="15" hidden="false" customHeight="false" outlineLevel="0" collapsed="false">
      <c r="A778" s="33"/>
      <c r="B778" s="33"/>
      <c r="C778" s="33"/>
      <c r="D778" s="33"/>
      <c r="E778" s="34"/>
      <c r="F778" s="34"/>
      <c r="G778" s="35" t="str">
        <f aca="true">IF(OR(E778="",J778=0),"",IF(F778&lt;&gt;"",F778-E778,TODAY()-E778))</f>
        <v/>
      </c>
      <c r="H778" s="29"/>
      <c r="I778" s="33"/>
      <c r="J778" s="32" t="n">
        <f aca="false">IF(OR(D778="",D778="Planned"),0,1)</f>
        <v>0</v>
      </c>
      <c r="K778" s="32" t="n">
        <f aca="false">IF(OR(D778="Under review",D778="Revision requested"),1,0)</f>
        <v>0</v>
      </c>
      <c r="L778" s="32" t="str">
        <f aca="false">IF(AND(J778=1,E778&lt;&gt;""),E778+ROW()/100000,"")</f>
        <v/>
      </c>
      <c r="M778" s="32" t="str">
        <f aca="false">IF(D778="Planned",ROW(),"")</f>
        <v/>
      </c>
      <c r="N778" s="32" t="str">
        <f aca="true">IF(K778=1,IF(E778="",0,TODAY()-E778)+ROW()/100000,"")</f>
        <v/>
      </c>
      <c r="O778" s="32" t="str">
        <f aca="false">IF(N778="","",RANK(N778,$N$2:$N$1000))</f>
        <v/>
      </c>
    </row>
    <row r="779" customFormat="false" ht="15" hidden="false" customHeight="false" outlineLevel="0" collapsed="false">
      <c r="A779" s="33"/>
      <c r="B779" s="33"/>
      <c r="C779" s="33"/>
      <c r="D779" s="33"/>
      <c r="E779" s="34"/>
      <c r="F779" s="34"/>
      <c r="G779" s="35" t="str">
        <f aca="true">IF(OR(E779="",J779=0),"",IF(F779&lt;&gt;"",F779-E779,TODAY()-E779))</f>
        <v/>
      </c>
      <c r="H779" s="29"/>
      <c r="I779" s="33"/>
      <c r="J779" s="32" t="n">
        <f aca="false">IF(OR(D779="",D779="Planned"),0,1)</f>
        <v>0</v>
      </c>
      <c r="K779" s="32" t="n">
        <f aca="false">IF(OR(D779="Under review",D779="Revision requested"),1,0)</f>
        <v>0</v>
      </c>
      <c r="L779" s="32" t="str">
        <f aca="false">IF(AND(J779=1,E779&lt;&gt;""),E779+ROW()/100000,"")</f>
        <v/>
      </c>
      <c r="M779" s="32" t="str">
        <f aca="false">IF(D779="Planned",ROW(),"")</f>
        <v/>
      </c>
      <c r="N779" s="32" t="str">
        <f aca="true">IF(K779=1,IF(E779="",0,TODAY()-E779)+ROW()/100000,"")</f>
        <v/>
      </c>
      <c r="O779" s="32" t="str">
        <f aca="false">IF(N779="","",RANK(N779,$N$2:$N$1000))</f>
        <v/>
      </c>
    </row>
    <row r="780" customFormat="false" ht="15" hidden="false" customHeight="false" outlineLevel="0" collapsed="false">
      <c r="A780" s="33"/>
      <c r="B780" s="33"/>
      <c r="C780" s="33"/>
      <c r="D780" s="33"/>
      <c r="E780" s="34"/>
      <c r="F780" s="34"/>
      <c r="G780" s="35" t="str">
        <f aca="true">IF(OR(E780="",J780=0),"",IF(F780&lt;&gt;"",F780-E780,TODAY()-E780))</f>
        <v/>
      </c>
      <c r="H780" s="29"/>
      <c r="I780" s="33"/>
      <c r="J780" s="32" t="n">
        <f aca="false">IF(OR(D780="",D780="Planned"),0,1)</f>
        <v>0</v>
      </c>
      <c r="K780" s="32" t="n">
        <f aca="false">IF(OR(D780="Under review",D780="Revision requested"),1,0)</f>
        <v>0</v>
      </c>
      <c r="L780" s="32" t="str">
        <f aca="false">IF(AND(J780=1,E780&lt;&gt;""),E780+ROW()/100000,"")</f>
        <v/>
      </c>
      <c r="M780" s="32" t="str">
        <f aca="false">IF(D780="Planned",ROW(),"")</f>
        <v/>
      </c>
      <c r="N780" s="32" t="str">
        <f aca="true">IF(K780=1,IF(E780="",0,TODAY()-E780)+ROW()/100000,"")</f>
        <v/>
      </c>
      <c r="O780" s="32" t="str">
        <f aca="false">IF(N780="","",RANK(N780,$N$2:$N$1000))</f>
        <v/>
      </c>
    </row>
    <row r="781" customFormat="false" ht="15" hidden="false" customHeight="false" outlineLevel="0" collapsed="false">
      <c r="A781" s="33"/>
      <c r="B781" s="33"/>
      <c r="C781" s="33"/>
      <c r="D781" s="33"/>
      <c r="E781" s="34"/>
      <c r="F781" s="34"/>
      <c r="G781" s="35" t="str">
        <f aca="true">IF(OR(E781="",J781=0),"",IF(F781&lt;&gt;"",F781-E781,TODAY()-E781))</f>
        <v/>
      </c>
      <c r="H781" s="29"/>
      <c r="I781" s="33"/>
      <c r="J781" s="32" t="n">
        <f aca="false">IF(OR(D781="",D781="Planned"),0,1)</f>
        <v>0</v>
      </c>
      <c r="K781" s="32" t="n">
        <f aca="false">IF(OR(D781="Under review",D781="Revision requested"),1,0)</f>
        <v>0</v>
      </c>
      <c r="L781" s="32" t="str">
        <f aca="false">IF(AND(J781=1,E781&lt;&gt;""),E781+ROW()/100000,"")</f>
        <v/>
      </c>
      <c r="M781" s="32" t="str">
        <f aca="false">IF(D781="Planned",ROW(),"")</f>
        <v/>
      </c>
      <c r="N781" s="32" t="str">
        <f aca="true">IF(K781=1,IF(E781="",0,TODAY()-E781)+ROW()/100000,"")</f>
        <v/>
      </c>
      <c r="O781" s="32" t="str">
        <f aca="false">IF(N781="","",RANK(N781,$N$2:$N$1000))</f>
        <v/>
      </c>
    </row>
    <row r="782" customFormat="false" ht="15" hidden="false" customHeight="false" outlineLevel="0" collapsed="false">
      <c r="A782" s="33"/>
      <c r="B782" s="33"/>
      <c r="C782" s="33"/>
      <c r="D782" s="33"/>
      <c r="E782" s="34"/>
      <c r="F782" s="34"/>
      <c r="G782" s="35" t="str">
        <f aca="true">IF(OR(E782="",J782=0),"",IF(F782&lt;&gt;"",F782-E782,TODAY()-E782))</f>
        <v/>
      </c>
      <c r="H782" s="29"/>
      <c r="I782" s="33"/>
      <c r="J782" s="32" t="n">
        <f aca="false">IF(OR(D782="",D782="Planned"),0,1)</f>
        <v>0</v>
      </c>
      <c r="K782" s="32" t="n">
        <f aca="false">IF(OR(D782="Under review",D782="Revision requested"),1,0)</f>
        <v>0</v>
      </c>
      <c r="L782" s="32" t="str">
        <f aca="false">IF(AND(J782=1,E782&lt;&gt;""),E782+ROW()/100000,"")</f>
        <v/>
      </c>
      <c r="M782" s="32" t="str">
        <f aca="false">IF(D782="Planned",ROW(),"")</f>
        <v/>
      </c>
      <c r="N782" s="32" t="str">
        <f aca="true">IF(K782=1,IF(E782="",0,TODAY()-E782)+ROW()/100000,"")</f>
        <v/>
      </c>
      <c r="O782" s="32" t="str">
        <f aca="false">IF(N782="","",RANK(N782,$N$2:$N$1000))</f>
        <v/>
      </c>
    </row>
    <row r="783" customFormat="false" ht="15" hidden="false" customHeight="false" outlineLevel="0" collapsed="false">
      <c r="A783" s="33"/>
      <c r="B783" s="33"/>
      <c r="C783" s="33"/>
      <c r="D783" s="33"/>
      <c r="E783" s="34"/>
      <c r="F783" s="34"/>
      <c r="G783" s="35" t="str">
        <f aca="true">IF(OR(E783="",J783=0),"",IF(F783&lt;&gt;"",F783-E783,TODAY()-E783))</f>
        <v/>
      </c>
      <c r="H783" s="29"/>
      <c r="I783" s="33"/>
      <c r="J783" s="32" t="n">
        <f aca="false">IF(OR(D783="",D783="Planned"),0,1)</f>
        <v>0</v>
      </c>
      <c r="K783" s="32" t="n">
        <f aca="false">IF(OR(D783="Under review",D783="Revision requested"),1,0)</f>
        <v>0</v>
      </c>
      <c r="L783" s="32" t="str">
        <f aca="false">IF(AND(J783=1,E783&lt;&gt;""),E783+ROW()/100000,"")</f>
        <v/>
      </c>
      <c r="M783" s="32" t="str">
        <f aca="false">IF(D783="Planned",ROW(),"")</f>
        <v/>
      </c>
      <c r="N783" s="32" t="str">
        <f aca="true">IF(K783=1,IF(E783="",0,TODAY()-E783)+ROW()/100000,"")</f>
        <v/>
      </c>
      <c r="O783" s="32" t="str">
        <f aca="false">IF(N783="","",RANK(N783,$N$2:$N$1000))</f>
        <v/>
      </c>
    </row>
    <row r="784" customFormat="false" ht="15" hidden="false" customHeight="false" outlineLevel="0" collapsed="false">
      <c r="A784" s="33"/>
      <c r="B784" s="33"/>
      <c r="C784" s="33"/>
      <c r="D784" s="33"/>
      <c r="E784" s="34"/>
      <c r="F784" s="34"/>
      <c r="G784" s="35" t="str">
        <f aca="true">IF(OR(E784="",J784=0),"",IF(F784&lt;&gt;"",F784-E784,TODAY()-E784))</f>
        <v/>
      </c>
      <c r="H784" s="29"/>
      <c r="I784" s="33"/>
      <c r="J784" s="32" t="n">
        <f aca="false">IF(OR(D784="",D784="Planned"),0,1)</f>
        <v>0</v>
      </c>
      <c r="K784" s="32" t="n">
        <f aca="false">IF(OR(D784="Under review",D784="Revision requested"),1,0)</f>
        <v>0</v>
      </c>
      <c r="L784" s="32" t="str">
        <f aca="false">IF(AND(J784=1,E784&lt;&gt;""),E784+ROW()/100000,"")</f>
        <v/>
      </c>
      <c r="M784" s="32" t="str">
        <f aca="false">IF(D784="Planned",ROW(),"")</f>
        <v/>
      </c>
      <c r="N784" s="32" t="str">
        <f aca="true">IF(K784=1,IF(E784="",0,TODAY()-E784)+ROW()/100000,"")</f>
        <v/>
      </c>
      <c r="O784" s="32" t="str">
        <f aca="false">IF(N784="","",RANK(N784,$N$2:$N$1000))</f>
        <v/>
      </c>
    </row>
    <row r="785" customFormat="false" ht="15" hidden="false" customHeight="false" outlineLevel="0" collapsed="false">
      <c r="A785" s="33"/>
      <c r="B785" s="33"/>
      <c r="C785" s="33"/>
      <c r="D785" s="33"/>
      <c r="E785" s="34"/>
      <c r="F785" s="34"/>
      <c r="G785" s="35" t="str">
        <f aca="true">IF(OR(E785="",J785=0),"",IF(F785&lt;&gt;"",F785-E785,TODAY()-E785))</f>
        <v/>
      </c>
      <c r="H785" s="29"/>
      <c r="I785" s="33"/>
      <c r="J785" s="32" t="n">
        <f aca="false">IF(OR(D785="",D785="Planned"),0,1)</f>
        <v>0</v>
      </c>
      <c r="K785" s="32" t="n">
        <f aca="false">IF(OR(D785="Under review",D785="Revision requested"),1,0)</f>
        <v>0</v>
      </c>
      <c r="L785" s="32" t="str">
        <f aca="false">IF(AND(J785=1,E785&lt;&gt;""),E785+ROW()/100000,"")</f>
        <v/>
      </c>
      <c r="M785" s="32" t="str">
        <f aca="false">IF(D785="Planned",ROW(),"")</f>
        <v/>
      </c>
      <c r="N785" s="32" t="str">
        <f aca="true">IF(K785=1,IF(E785="",0,TODAY()-E785)+ROW()/100000,"")</f>
        <v/>
      </c>
      <c r="O785" s="32" t="str">
        <f aca="false">IF(N785="","",RANK(N785,$N$2:$N$1000))</f>
        <v/>
      </c>
    </row>
    <row r="786" customFormat="false" ht="15" hidden="false" customHeight="false" outlineLevel="0" collapsed="false">
      <c r="A786" s="33"/>
      <c r="B786" s="33"/>
      <c r="C786" s="33"/>
      <c r="D786" s="33"/>
      <c r="E786" s="34"/>
      <c r="F786" s="34"/>
      <c r="G786" s="35" t="str">
        <f aca="true">IF(OR(E786="",J786=0),"",IF(F786&lt;&gt;"",F786-E786,TODAY()-E786))</f>
        <v/>
      </c>
      <c r="H786" s="29"/>
      <c r="I786" s="33"/>
      <c r="J786" s="32" t="n">
        <f aca="false">IF(OR(D786="",D786="Planned"),0,1)</f>
        <v>0</v>
      </c>
      <c r="K786" s="32" t="n">
        <f aca="false">IF(OR(D786="Under review",D786="Revision requested"),1,0)</f>
        <v>0</v>
      </c>
      <c r="L786" s="32" t="str">
        <f aca="false">IF(AND(J786=1,E786&lt;&gt;""),E786+ROW()/100000,"")</f>
        <v/>
      </c>
      <c r="M786" s="32" t="str">
        <f aca="false">IF(D786="Planned",ROW(),"")</f>
        <v/>
      </c>
      <c r="N786" s="32" t="str">
        <f aca="true">IF(K786=1,IF(E786="",0,TODAY()-E786)+ROW()/100000,"")</f>
        <v/>
      </c>
      <c r="O786" s="32" t="str">
        <f aca="false">IF(N786="","",RANK(N786,$N$2:$N$1000))</f>
        <v/>
      </c>
    </row>
    <row r="787" customFormat="false" ht="15" hidden="false" customHeight="false" outlineLevel="0" collapsed="false">
      <c r="A787" s="33"/>
      <c r="B787" s="33"/>
      <c r="C787" s="33"/>
      <c r="D787" s="33"/>
      <c r="E787" s="34"/>
      <c r="F787" s="34"/>
      <c r="G787" s="35" t="str">
        <f aca="true">IF(OR(E787="",J787=0),"",IF(F787&lt;&gt;"",F787-E787,TODAY()-E787))</f>
        <v/>
      </c>
      <c r="H787" s="29"/>
      <c r="I787" s="33"/>
      <c r="J787" s="32" t="n">
        <f aca="false">IF(OR(D787="",D787="Planned"),0,1)</f>
        <v>0</v>
      </c>
      <c r="K787" s="32" t="n">
        <f aca="false">IF(OR(D787="Under review",D787="Revision requested"),1,0)</f>
        <v>0</v>
      </c>
      <c r="L787" s="32" t="str">
        <f aca="false">IF(AND(J787=1,E787&lt;&gt;""),E787+ROW()/100000,"")</f>
        <v/>
      </c>
      <c r="M787" s="32" t="str">
        <f aca="false">IF(D787="Planned",ROW(),"")</f>
        <v/>
      </c>
      <c r="N787" s="32" t="str">
        <f aca="true">IF(K787=1,IF(E787="",0,TODAY()-E787)+ROW()/100000,"")</f>
        <v/>
      </c>
      <c r="O787" s="32" t="str">
        <f aca="false">IF(N787="","",RANK(N787,$N$2:$N$1000))</f>
        <v/>
      </c>
    </row>
    <row r="788" customFormat="false" ht="15" hidden="false" customHeight="false" outlineLevel="0" collapsed="false">
      <c r="A788" s="33"/>
      <c r="B788" s="33"/>
      <c r="C788" s="33"/>
      <c r="D788" s="33"/>
      <c r="E788" s="34"/>
      <c r="F788" s="34"/>
      <c r="G788" s="35" t="str">
        <f aca="true">IF(OR(E788="",J788=0),"",IF(F788&lt;&gt;"",F788-E788,TODAY()-E788))</f>
        <v/>
      </c>
      <c r="H788" s="29"/>
      <c r="I788" s="33"/>
      <c r="J788" s="32" t="n">
        <f aca="false">IF(OR(D788="",D788="Planned"),0,1)</f>
        <v>0</v>
      </c>
      <c r="K788" s="32" t="n">
        <f aca="false">IF(OR(D788="Under review",D788="Revision requested"),1,0)</f>
        <v>0</v>
      </c>
      <c r="L788" s="32" t="str">
        <f aca="false">IF(AND(J788=1,E788&lt;&gt;""),E788+ROW()/100000,"")</f>
        <v/>
      </c>
      <c r="M788" s="32" t="str">
        <f aca="false">IF(D788="Planned",ROW(),"")</f>
        <v/>
      </c>
      <c r="N788" s="32" t="str">
        <f aca="true">IF(K788=1,IF(E788="",0,TODAY()-E788)+ROW()/100000,"")</f>
        <v/>
      </c>
      <c r="O788" s="32" t="str">
        <f aca="false">IF(N788="","",RANK(N788,$N$2:$N$1000))</f>
        <v/>
      </c>
    </row>
    <row r="789" customFormat="false" ht="15" hidden="false" customHeight="false" outlineLevel="0" collapsed="false">
      <c r="A789" s="33"/>
      <c r="B789" s="33"/>
      <c r="C789" s="33"/>
      <c r="D789" s="33"/>
      <c r="E789" s="34"/>
      <c r="F789" s="34"/>
      <c r="G789" s="35" t="str">
        <f aca="true">IF(OR(E789="",J789=0),"",IF(F789&lt;&gt;"",F789-E789,TODAY()-E789))</f>
        <v/>
      </c>
      <c r="H789" s="29"/>
      <c r="I789" s="33"/>
      <c r="J789" s="32" t="n">
        <f aca="false">IF(OR(D789="",D789="Planned"),0,1)</f>
        <v>0</v>
      </c>
      <c r="K789" s="32" t="n">
        <f aca="false">IF(OR(D789="Under review",D789="Revision requested"),1,0)</f>
        <v>0</v>
      </c>
      <c r="L789" s="32" t="str">
        <f aca="false">IF(AND(J789=1,E789&lt;&gt;""),E789+ROW()/100000,"")</f>
        <v/>
      </c>
      <c r="M789" s="32" t="str">
        <f aca="false">IF(D789="Planned",ROW(),"")</f>
        <v/>
      </c>
      <c r="N789" s="32" t="str">
        <f aca="true">IF(K789=1,IF(E789="",0,TODAY()-E789)+ROW()/100000,"")</f>
        <v/>
      </c>
      <c r="O789" s="32" t="str">
        <f aca="false">IF(N789="","",RANK(N789,$N$2:$N$1000))</f>
        <v/>
      </c>
    </row>
    <row r="790" customFormat="false" ht="15" hidden="false" customHeight="false" outlineLevel="0" collapsed="false">
      <c r="A790" s="33"/>
      <c r="B790" s="33"/>
      <c r="C790" s="33"/>
      <c r="D790" s="33"/>
      <c r="E790" s="34"/>
      <c r="F790" s="34"/>
      <c r="G790" s="35" t="str">
        <f aca="true">IF(OR(E790="",J790=0),"",IF(F790&lt;&gt;"",F790-E790,TODAY()-E790))</f>
        <v/>
      </c>
      <c r="H790" s="29"/>
      <c r="I790" s="33"/>
      <c r="J790" s="32" t="n">
        <f aca="false">IF(OR(D790="",D790="Planned"),0,1)</f>
        <v>0</v>
      </c>
      <c r="K790" s="32" t="n">
        <f aca="false">IF(OR(D790="Under review",D790="Revision requested"),1,0)</f>
        <v>0</v>
      </c>
      <c r="L790" s="32" t="str">
        <f aca="false">IF(AND(J790=1,E790&lt;&gt;""),E790+ROW()/100000,"")</f>
        <v/>
      </c>
      <c r="M790" s="32" t="str">
        <f aca="false">IF(D790="Planned",ROW(),"")</f>
        <v/>
      </c>
      <c r="N790" s="32" t="str">
        <f aca="true">IF(K790=1,IF(E790="",0,TODAY()-E790)+ROW()/100000,"")</f>
        <v/>
      </c>
      <c r="O790" s="32" t="str">
        <f aca="false">IF(N790="","",RANK(N790,$N$2:$N$1000))</f>
        <v/>
      </c>
    </row>
    <row r="791" customFormat="false" ht="15" hidden="false" customHeight="false" outlineLevel="0" collapsed="false">
      <c r="A791" s="33"/>
      <c r="B791" s="33"/>
      <c r="C791" s="33"/>
      <c r="D791" s="33"/>
      <c r="E791" s="34"/>
      <c r="F791" s="34"/>
      <c r="G791" s="35" t="str">
        <f aca="true">IF(OR(E791="",J791=0),"",IF(F791&lt;&gt;"",F791-E791,TODAY()-E791))</f>
        <v/>
      </c>
      <c r="H791" s="29"/>
      <c r="I791" s="33"/>
      <c r="J791" s="32" t="n">
        <f aca="false">IF(OR(D791="",D791="Planned"),0,1)</f>
        <v>0</v>
      </c>
      <c r="K791" s="32" t="n">
        <f aca="false">IF(OR(D791="Under review",D791="Revision requested"),1,0)</f>
        <v>0</v>
      </c>
      <c r="L791" s="32" t="str">
        <f aca="false">IF(AND(J791=1,E791&lt;&gt;""),E791+ROW()/100000,"")</f>
        <v/>
      </c>
      <c r="M791" s="32" t="str">
        <f aca="false">IF(D791="Planned",ROW(),"")</f>
        <v/>
      </c>
      <c r="N791" s="32" t="str">
        <f aca="true">IF(K791=1,IF(E791="",0,TODAY()-E791)+ROW()/100000,"")</f>
        <v/>
      </c>
      <c r="O791" s="32" t="str">
        <f aca="false">IF(N791="","",RANK(N791,$N$2:$N$1000))</f>
        <v/>
      </c>
    </row>
    <row r="792" customFormat="false" ht="15" hidden="false" customHeight="false" outlineLevel="0" collapsed="false">
      <c r="A792" s="33"/>
      <c r="B792" s="33"/>
      <c r="C792" s="33"/>
      <c r="D792" s="33"/>
      <c r="E792" s="34"/>
      <c r="F792" s="34"/>
      <c r="G792" s="35" t="str">
        <f aca="true">IF(OR(E792="",J792=0),"",IF(F792&lt;&gt;"",F792-E792,TODAY()-E792))</f>
        <v/>
      </c>
      <c r="H792" s="29"/>
      <c r="I792" s="33"/>
      <c r="J792" s="32" t="n">
        <f aca="false">IF(OR(D792="",D792="Planned"),0,1)</f>
        <v>0</v>
      </c>
      <c r="K792" s="32" t="n">
        <f aca="false">IF(OR(D792="Under review",D792="Revision requested"),1,0)</f>
        <v>0</v>
      </c>
      <c r="L792" s="32" t="str">
        <f aca="false">IF(AND(J792=1,E792&lt;&gt;""),E792+ROW()/100000,"")</f>
        <v/>
      </c>
      <c r="M792" s="32" t="str">
        <f aca="false">IF(D792="Planned",ROW(),"")</f>
        <v/>
      </c>
      <c r="N792" s="32" t="str">
        <f aca="true">IF(K792=1,IF(E792="",0,TODAY()-E792)+ROW()/100000,"")</f>
        <v/>
      </c>
      <c r="O792" s="32" t="str">
        <f aca="false">IF(N792="","",RANK(N792,$N$2:$N$1000))</f>
        <v/>
      </c>
    </row>
    <row r="793" customFormat="false" ht="15" hidden="false" customHeight="false" outlineLevel="0" collapsed="false">
      <c r="A793" s="33"/>
      <c r="B793" s="33"/>
      <c r="C793" s="33"/>
      <c r="D793" s="33"/>
      <c r="E793" s="34"/>
      <c r="F793" s="34"/>
      <c r="G793" s="35" t="str">
        <f aca="true">IF(OR(E793="",J793=0),"",IF(F793&lt;&gt;"",F793-E793,TODAY()-E793))</f>
        <v/>
      </c>
      <c r="H793" s="29"/>
      <c r="I793" s="33"/>
      <c r="J793" s="32" t="n">
        <f aca="false">IF(OR(D793="",D793="Planned"),0,1)</f>
        <v>0</v>
      </c>
      <c r="K793" s="32" t="n">
        <f aca="false">IF(OR(D793="Under review",D793="Revision requested"),1,0)</f>
        <v>0</v>
      </c>
      <c r="L793" s="32" t="str">
        <f aca="false">IF(AND(J793=1,E793&lt;&gt;""),E793+ROW()/100000,"")</f>
        <v/>
      </c>
      <c r="M793" s="32" t="str">
        <f aca="false">IF(D793="Planned",ROW(),"")</f>
        <v/>
      </c>
      <c r="N793" s="32" t="str">
        <f aca="true">IF(K793=1,IF(E793="",0,TODAY()-E793)+ROW()/100000,"")</f>
        <v/>
      </c>
      <c r="O793" s="32" t="str">
        <f aca="false">IF(N793="","",RANK(N793,$N$2:$N$1000))</f>
        <v/>
      </c>
    </row>
    <row r="794" customFormat="false" ht="15" hidden="false" customHeight="false" outlineLevel="0" collapsed="false">
      <c r="A794" s="33"/>
      <c r="B794" s="33"/>
      <c r="C794" s="33"/>
      <c r="D794" s="33"/>
      <c r="E794" s="34"/>
      <c r="F794" s="34"/>
      <c r="G794" s="35" t="str">
        <f aca="true">IF(OR(E794="",J794=0),"",IF(F794&lt;&gt;"",F794-E794,TODAY()-E794))</f>
        <v/>
      </c>
      <c r="H794" s="29"/>
      <c r="I794" s="33"/>
      <c r="J794" s="32" t="n">
        <f aca="false">IF(OR(D794="",D794="Planned"),0,1)</f>
        <v>0</v>
      </c>
      <c r="K794" s="32" t="n">
        <f aca="false">IF(OR(D794="Under review",D794="Revision requested"),1,0)</f>
        <v>0</v>
      </c>
      <c r="L794" s="32" t="str">
        <f aca="false">IF(AND(J794=1,E794&lt;&gt;""),E794+ROW()/100000,"")</f>
        <v/>
      </c>
      <c r="M794" s="32" t="str">
        <f aca="false">IF(D794="Planned",ROW(),"")</f>
        <v/>
      </c>
      <c r="N794" s="32" t="str">
        <f aca="true">IF(K794=1,IF(E794="",0,TODAY()-E794)+ROW()/100000,"")</f>
        <v/>
      </c>
      <c r="O794" s="32" t="str">
        <f aca="false">IF(N794="","",RANK(N794,$N$2:$N$1000))</f>
        <v/>
      </c>
    </row>
    <row r="795" customFormat="false" ht="15" hidden="false" customHeight="false" outlineLevel="0" collapsed="false">
      <c r="A795" s="33"/>
      <c r="B795" s="33"/>
      <c r="C795" s="33"/>
      <c r="D795" s="33"/>
      <c r="E795" s="34"/>
      <c r="F795" s="34"/>
      <c r="G795" s="35" t="str">
        <f aca="true">IF(OR(E795="",J795=0),"",IF(F795&lt;&gt;"",F795-E795,TODAY()-E795))</f>
        <v/>
      </c>
      <c r="H795" s="29"/>
      <c r="I795" s="33"/>
      <c r="J795" s="32" t="n">
        <f aca="false">IF(OR(D795="",D795="Planned"),0,1)</f>
        <v>0</v>
      </c>
      <c r="K795" s="32" t="n">
        <f aca="false">IF(OR(D795="Under review",D795="Revision requested"),1,0)</f>
        <v>0</v>
      </c>
      <c r="L795" s="32" t="str">
        <f aca="false">IF(AND(J795=1,E795&lt;&gt;""),E795+ROW()/100000,"")</f>
        <v/>
      </c>
      <c r="M795" s="32" t="str">
        <f aca="false">IF(D795="Planned",ROW(),"")</f>
        <v/>
      </c>
      <c r="N795" s="32" t="str">
        <f aca="true">IF(K795=1,IF(E795="",0,TODAY()-E795)+ROW()/100000,"")</f>
        <v/>
      </c>
      <c r="O795" s="32" t="str">
        <f aca="false">IF(N795="","",RANK(N795,$N$2:$N$1000))</f>
        <v/>
      </c>
    </row>
    <row r="796" customFormat="false" ht="15" hidden="false" customHeight="false" outlineLevel="0" collapsed="false">
      <c r="A796" s="33"/>
      <c r="B796" s="33"/>
      <c r="C796" s="33"/>
      <c r="D796" s="33"/>
      <c r="E796" s="34"/>
      <c r="F796" s="34"/>
      <c r="G796" s="35" t="str">
        <f aca="true">IF(OR(E796="",J796=0),"",IF(F796&lt;&gt;"",F796-E796,TODAY()-E796))</f>
        <v/>
      </c>
      <c r="H796" s="29"/>
      <c r="I796" s="33"/>
      <c r="J796" s="32" t="n">
        <f aca="false">IF(OR(D796="",D796="Planned"),0,1)</f>
        <v>0</v>
      </c>
      <c r="K796" s="32" t="n">
        <f aca="false">IF(OR(D796="Under review",D796="Revision requested"),1,0)</f>
        <v>0</v>
      </c>
      <c r="L796" s="32" t="str">
        <f aca="false">IF(AND(J796=1,E796&lt;&gt;""),E796+ROW()/100000,"")</f>
        <v/>
      </c>
      <c r="M796" s="32" t="str">
        <f aca="false">IF(D796="Planned",ROW(),"")</f>
        <v/>
      </c>
      <c r="N796" s="32" t="str">
        <f aca="true">IF(K796=1,IF(E796="",0,TODAY()-E796)+ROW()/100000,"")</f>
        <v/>
      </c>
      <c r="O796" s="32" t="str">
        <f aca="false">IF(N796="","",RANK(N796,$N$2:$N$1000))</f>
        <v/>
      </c>
    </row>
    <row r="797" customFormat="false" ht="15" hidden="false" customHeight="false" outlineLevel="0" collapsed="false">
      <c r="A797" s="33"/>
      <c r="B797" s="33"/>
      <c r="C797" s="33"/>
      <c r="D797" s="33"/>
      <c r="E797" s="34"/>
      <c r="F797" s="34"/>
      <c r="G797" s="35" t="str">
        <f aca="true">IF(OR(E797="",J797=0),"",IF(F797&lt;&gt;"",F797-E797,TODAY()-E797))</f>
        <v/>
      </c>
      <c r="H797" s="29"/>
      <c r="I797" s="33"/>
      <c r="J797" s="32" t="n">
        <f aca="false">IF(OR(D797="",D797="Planned"),0,1)</f>
        <v>0</v>
      </c>
      <c r="K797" s="32" t="n">
        <f aca="false">IF(OR(D797="Under review",D797="Revision requested"),1,0)</f>
        <v>0</v>
      </c>
      <c r="L797" s="32" t="str">
        <f aca="false">IF(AND(J797=1,E797&lt;&gt;""),E797+ROW()/100000,"")</f>
        <v/>
      </c>
      <c r="M797" s="32" t="str">
        <f aca="false">IF(D797="Planned",ROW(),"")</f>
        <v/>
      </c>
      <c r="N797" s="32" t="str">
        <f aca="true">IF(K797=1,IF(E797="",0,TODAY()-E797)+ROW()/100000,"")</f>
        <v/>
      </c>
      <c r="O797" s="32" t="str">
        <f aca="false">IF(N797="","",RANK(N797,$N$2:$N$1000))</f>
        <v/>
      </c>
    </row>
    <row r="798" customFormat="false" ht="15" hidden="false" customHeight="false" outlineLevel="0" collapsed="false">
      <c r="A798" s="33"/>
      <c r="B798" s="33"/>
      <c r="C798" s="33"/>
      <c r="D798" s="33"/>
      <c r="E798" s="34"/>
      <c r="F798" s="34"/>
      <c r="G798" s="35" t="str">
        <f aca="true">IF(OR(E798="",J798=0),"",IF(F798&lt;&gt;"",F798-E798,TODAY()-E798))</f>
        <v/>
      </c>
      <c r="H798" s="29"/>
      <c r="I798" s="33"/>
      <c r="J798" s="32" t="n">
        <f aca="false">IF(OR(D798="",D798="Planned"),0,1)</f>
        <v>0</v>
      </c>
      <c r="K798" s="32" t="n">
        <f aca="false">IF(OR(D798="Under review",D798="Revision requested"),1,0)</f>
        <v>0</v>
      </c>
      <c r="L798" s="32" t="str">
        <f aca="false">IF(AND(J798=1,E798&lt;&gt;""),E798+ROW()/100000,"")</f>
        <v/>
      </c>
      <c r="M798" s="32" t="str">
        <f aca="false">IF(D798="Planned",ROW(),"")</f>
        <v/>
      </c>
      <c r="N798" s="32" t="str">
        <f aca="true">IF(K798=1,IF(E798="",0,TODAY()-E798)+ROW()/100000,"")</f>
        <v/>
      </c>
      <c r="O798" s="32" t="str">
        <f aca="false">IF(N798="","",RANK(N798,$N$2:$N$1000))</f>
        <v/>
      </c>
    </row>
    <row r="799" customFormat="false" ht="15" hidden="false" customHeight="false" outlineLevel="0" collapsed="false">
      <c r="A799" s="33"/>
      <c r="B799" s="33"/>
      <c r="C799" s="33"/>
      <c r="D799" s="33"/>
      <c r="E799" s="34"/>
      <c r="F799" s="34"/>
      <c r="G799" s="35" t="str">
        <f aca="true">IF(OR(E799="",J799=0),"",IF(F799&lt;&gt;"",F799-E799,TODAY()-E799))</f>
        <v/>
      </c>
      <c r="H799" s="29"/>
      <c r="I799" s="33"/>
      <c r="J799" s="32" t="n">
        <f aca="false">IF(OR(D799="",D799="Planned"),0,1)</f>
        <v>0</v>
      </c>
      <c r="K799" s="32" t="n">
        <f aca="false">IF(OR(D799="Under review",D799="Revision requested"),1,0)</f>
        <v>0</v>
      </c>
      <c r="L799" s="32" t="str">
        <f aca="false">IF(AND(J799=1,E799&lt;&gt;""),E799+ROW()/100000,"")</f>
        <v/>
      </c>
      <c r="M799" s="32" t="str">
        <f aca="false">IF(D799="Planned",ROW(),"")</f>
        <v/>
      </c>
      <c r="N799" s="32" t="str">
        <f aca="true">IF(K799=1,IF(E799="",0,TODAY()-E799)+ROW()/100000,"")</f>
        <v/>
      </c>
      <c r="O799" s="32" t="str">
        <f aca="false">IF(N799="","",RANK(N799,$N$2:$N$1000))</f>
        <v/>
      </c>
    </row>
    <row r="800" customFormat="false" ht="15" hidden="false" customHeight="false" outlineLevel="0" collapsed="false">
      <c r="A800" s="33"/>
      <c r="B800" s="33"/>
      <c r="C800" s="33"/>
      <c r="D800" s="33"/>
      <c r="E800" s="34"/>
      <c r="F800" s="34"/>
      <c r="G800" s="35" t="str">
        <f aca="true">IF(OR(E800="",J800=0),"",IF(F800&lt;&gt;"",F800-E800,TODAY()-E800))</f>
        <v/>
      </c>
      <c r="H800" s="29"/>
      <c r="I800" s="33"/>
      <c r="J800" s="32" t="n">
        <f aca="false">IF(OR(D800="",D800="Planned"),0,1)</f>
        <v>0</v>
      </c>
      <c r="K800" s="32" t="n">
        <f aca="false">IF(OR(D800="Under review",D800="Revision requested"),1,0)</f>
        <v>0</v>
      </c>
      <c r="L800" s="32" t="str">
        <f aca="false">IF(AND(J800=1,E800&lt;&gt;""),E800+ROW()/100000,"")</f>
        <v/>
      </c>
      <c r="M800" s="32" t="str">
        <f aca="false">IF(D800="Planned",ROW(),"")</f>
        <v/>
      </c>
      <c r="N800" s="32" t="str">
        <f aca="true">IF(K800=1,IF(E800="",0,TODAY()-E800)+ROW()/100000,"")</f>
        <v/>
      </c>
      <c r="O800" s="32" t="str">
        <f aca="false">IF(N800="","",RANK(N800,$N$2:$N$1000))</f>
        <v/>
      </c>
    </row>
    <row r="801" customFormat="false" ht="15" hidden="false" customHeight="false" outlineLevel="0" collapsed="false">
      <c r="A801" s="33"/>
      <c r="B801" s="33"/>
      <c r="C801" s="33"/>
      <c r="D801" s="33"/>
      <c r="E801" s="34"/>
      <c r="F801" s="34"/>
      <c r="G801" s="35" t="str">
        <f aca="true">IF(OR(E801="",J801=0),"",IF(F801&lt;&gt;"",F801-E801,TODAY()-E801))</f>
        <v/>
      </c>
      <c r="H801" s="29"/>
      <c r="I801" s="33"/>
      <c r="J801" s="32" t="n">
        <f aca="false">IF(OR(D801="",D801="Planned"),0,1)</f>
        <v>0</v>
      </c>
      <c r="K801" s="32" t="n">
        <f aca="false">IF(OR(D801="Under review",D801="Revision requested"),1,0)</f>
        <v>0</v>
      </c>
      <c r="L801" s="32" t="str">
        <f aca="false">IF(AND(J801=1,E801&lt;&gt;""),E801+ROW()/100000,"")</f>
        <v/>
      </c>
      <c r="M801" s="32" t="str">
        <f aca="false">IF(D801="Planned",ROW(),"")</f>
        <v/>
      </c>
      <c r="N801" s="32" t="str">
        <f aca="true">IF(K801=1,IF(E801="",0,TODAY()-E801)+ROW()/100000,"")</f>
        <v/>
      </c>
      <c r="O801" s="32" t="str">
        <f aca="false">IF(N801="","",RANK(N801,$N$2:$N$1000))</f>
        <v/>
      </c>
    </row>
    <row r="802" customFormat="false" ht="15" hidden="false" customHeight="false" outlineLevel="0" collapsed="false">
      <c r="A802" s="33"/>
      <c r="B802" s="33"/>
      <c r="C802" s="33"/>
      <c r="D802" s="33"/>
      <c r="E802" s="34"/>
      <c r="F802" s="34"/>
      <c r="G802" s="35" t="str">
        <f aca="true">IF(OR(E802="",J802=0),"",IF(F802&lt;&gt;"",F802-E802,TODAY()-E802))</f>
        <v/>
      </c>
      <c r="H802" s="29"/>
      <c r="I802" s="33"/>
      <c r="J802" s="32" t="n">
        <f aca="false">IF(OR(D802="",D802="Planned"),0,1)</f>
        <v>0</v>
      </c>
      <c r="K802" s="32" t="n">
        <f aca="false">IF(OR(D802="Under review",D802="Revision requested"),1,0)</f>
        <v>0</v>
      </c>
      <c r="L802" s="32" t="str">
        <f aca="false">IF(AND(J802=1,E802&lt;&gt;""),E802+ROW()/100000,"")</f>
        <v/>
      </c>
      <c r="M802" s="32" t="str">
        <f aca="false">IF(D802="Planned",ROW(),"")</f>
        <v/>
      </c>
      <c r="N802" s="32" t="str">
        <f aca="true">IF(K802=1,IF(E802="",0,TODAY()-E802)+ROW()/100000,"")</f>
        <v/>
      </c>
      <c r="O802" s="32" t="str">
        <f aca="false">IF(N802="","",RANK(N802,$N$2:$N$1000))</f>
        <v/>
      </c>
    </row>
    <row r="803" customFormat="false" ht="15" hidden="false" customHeight="false" outlineLevel="0" collapsed="false">
      <c r="A803" s="33"/>
      <c r="B803" s="33"/>
      <c r="C803" s="33"/>
      <c r="D803" s="33"/>
      <c r="E803" s="34"/>
      <c r="F803" s="34"/>
      <c r="G803" s="35" t="str">
        <f aca="true">IF(OR(E803="",J803=0),"",IF(F803&lt;&gt;"",F803-E803,TODAY()-E803))</f>
        <v/>
      </c>
      <c r="H803" s="29"/>
      <c r="I803" s="33"/>
      <c r="J803" s="32" t="n">
        <f aca="false">IF(OR(D803="",D803="Planned"),0,1)</f>
        <v>0</v>
      </c>
      <c r="K803" s="32" t="n">
        <f aca="false">IF(OR(D803="Under review",D803="Revision requested"),1,0)</f>
        <v>0</v>
      </c>
      <c r="L803" s="32" t="str">
        <f aca="false">IF(AND(J803=1,E803&lt;&gt;""),E803+ROW()/100000,"")</f>
        <v/>
      </c>
      <c r="M803" s="32" t="str">
        <f aca="false">IF(D803="Planned",ROW(),"")</f>
        <v/>
      </c>
      <c r="N803" s="32" t="str">
        <f aca="true">IF(K803=1,IF(E803="",0,TODAY()-E803)+ROW()/100000,"")</f>
        <v/>
      </c>
      <c r="O803" s="32" t="str">
        <f aca="false">IF(N803="","",RANK(N803,$N$2:$N$1000))</f>
        <v/>
      </c>
    </row>
    <row r="804" customFormat="false" ht="15" hidden="false" customHeight="false" outlineLevel="0" collapsed="false">
      <c r="A804" s="33"/>
      <c r="B804" s="33"/>
      <c r="C804" s="33"/>
      <c r="D804" s="33"/>
      <c r="E804" s="34"/>
      <c r="F804" s="34"/>
      <c r="G804" s="35" t="str">
        <f aca="true">IF(OR(E804="",J804=0),"",IF(F804&lt;&gt;"",F804-E804,TODAY()-E804))</f>
        <v/>
      </c>
      <c r="H804" s="29"/>
      <c r="I804" s="33"/>
      <c r="J804" s="32" t="n">
        <f aca="false">IF(OR(D804="",D804="Planned"),0,1)</f>
        <v>0</v>
      </c>
      <c r="K804" s="32" t="n">
        <f aca="false">IF(OR(D804="Under review",D804="Revision requested"),1,0)</f>
        <v>0</v>
      </c>
      <c r="L804" s="32" t="str">
        <f aca="false">IF(AND(J804=1,E804&lt;&gt;""),E804+ROW()/100000,"")</f>
        <v/>
      </c>
      <c r="M804" s="32" t="str">
        <f aca="false">IF(D804="Planned",ROW(),"")</f>
        <v/>
      </c>
      <c r="N804" s="32" t="str">
        <f aca="true">IF(K804=1,IF(E804="",0,TODAY()-E804)+ROW()/100000,"")</f>
        <v/>
      </c>
      <c r="O804" s="32" t="str">
        <f aca="false">IF(N804="","",RANK(N804,$N$2:$N$1000))</f>
        <v/>
      </c>
    </row>
    <row r="805" customFormat="false" ht="15" hidden="false" customHeight="false" outlineLevel="0" collapsed="false">
      <c r="A805" s="33"/>
      <c r="B805" s="33"/>
      <c r="C805" s="33"/>
      <c r="D805" s="33"/>
      <c r="E805" s="34"/>
      <c r="F805" s="34"/>
      <c r="G805" s="35" t="str">
        <f aca="true">IF(OR(E805="",J805=0),"",IF(F805&lt;&gt;"",F805-E805,TODAY()-E805))</f>
        <v/>
      </c>
      <c r="H805" s="29"/>
      <c r="I805" s="33"/>
      <c r="J805" s="32" t="n">
        <f aca="false">IF(OR(D805="",D805="Planned"),0,1)</f>
        <v>0</v>
      </c>
      <c r="K805" s="32" t="n">
        <f aca="false">IF(OR(D805="Under review",D805="Revision requested"),1,0)</f>
        <v>0</v>
      </c>
      <c r="L805" s="32" t="str">
        <f aca="false">IF(AND(J805=1,E805&lt;&gt;""),E805+ROW()/100000,"")</f>
        <v/>
      </c>
      <c r="M805" s="32" t="str">
        <f aca="false">IF(D805="Planned",ROW(),"")</f>
        <v/>
      </c>
      <c r="N805" s="32" t="str">
        <f aca="true">IF(K805=1,IF(E805="",0,TODAY()-E805)+ROW()/100000,"")</f>
        <v/>
      </c>
      <c r="O805" s="32" t="str">
        <f aca="false">IF(N805="","",RANK(N805,$N$2:$N$1000))</f>
        <v/>
      </c>
    </row>
    <row r="806" customFormat="false" ht="15" hidden="false" customHeight="false" outlineLevel="0" collapsed="false">
      <c r="A806" s="33"/>
      <c r="B806" s="33"/>
      <c r="C806" s="33"/>
      <c r="D806" s="33"/>
      <c r="E806" s="34"/>
      <c r="F806" s="34"/>
      <c r="G806" s="35" t="str">
        <f aca="true">IF(OR(E806="",J806=0),"",IF(F806&lt;&gt;"",F806-E806,TODAY()-E806))</f>
        <v/>
      </c>
      <c r="H806" s="29"/>
      <c r="I806" s="33"/>
      <c r="J806" s="32" t="n">
        <f aca="false">IF(OR(D806="",D806="Planned"),0,1)</f>
        <v>0</v>
      </c>
      <c r="K806" s="32" t="n">
        <f aca="false">IF(OR(D806="Under review",D806="Revision requested"),1,0)</f>
        <v>0</v>
      </c>
      <c r="L806" s="32" t="str">
        <f aca="false">IF(AND(J806=1,E806&lt;&gt;""),E806+ROW()/100000,"")</f>
        <v/>
      </c>
      <c r="M806" s="32" t="str">
        <f aca="false">IF(D806="Planned",ROW(),"")</f>
        <v/>
      </c>
      <c r="N806" s="32" t="str">
        <f aca="true">IF(K806=1,IF(E806="",0,TODAY()-E806)+ROW()/100000,"")</f>
        <v/>
      </c>
      <c r="O806" s="32" t="str">
        <f aca="false">IF(N806="","",RANK(N806,$N$2:$N$1000))</f>
        <v/>
      </c>
    </row>
    <row r="807" customFormat="false" ht="15" hidden="false" customHeight="false" outlineLevel="0" collapsed="false">
      <c r="A807" s="33"/>
      <c r="B807" s="33"/>
      <c r="C807" s="33"/>
      <c r="D807" s="33"/>
      <c r="E807" s="34"/>
      <c r="F807" s="34"/>
      <c r="G807" s="35" t="str">
        <f aca="true">IF(OR(E807="",J807=0),"",IF(F807&lt;&gt;"",F807-E807,TODAY()-E807))</f>
        <v/>
      </c>
      <c r="H807" s="29"/>
      <c r="I807" s="33"/>
      <c r="J807" s="32" t="n">
        <f aca="false">IF(OR(D807="",D807="Planned"),0,1)</f>
        <v>0</v>
      </c>
      <c r="K807" s="32" t="n">
        <f aca="false">IF(OR(D807="Under review",D807="Revision requested"),1,0)</f>
        <v>0</v>
      </c>
      <c r="L807" s="32" t="str">
        <f aca="false">IF(AND(J807=1,E807&lt;&gt;""),E807+ROW()/100000,"")</f>
        <v/>
      </c>
      <c r="M807" s="32" t="str">
        <f aca="false">IF(D807="Planned",ROW(),"")</f>
        <v/>
      </c>
      <c r="N807" s="32" t="str">
        <f aca="true">IF(K807=1,IF(E807="",0,TODAY()-E807)+ROW()/100000,"")</f>
        <v/>
      </c>
      <c r="O807" s="32" t="str">
        <f aca="false">IF(N807="","",RANK(N807,$N$2:$N$1000))</f>
        <v/>
      </c>
    </row>
    <row r="808" customFormat="false" ht="15" hidden="false" customHeight="false" outlineLevel="0" collapsed="false">
      <c r="A808" s="33"/>
      <c r="B808" s="33"/>
      <c r="C808" s="33"/>
      <c r="D808" s="33"/>
      <c r="E808" s="34"/>
      <c r="F808" s="34"/>
      <c r="G808" s="35" t="str">
        <f aca="true">IF(OR(E808="",J808=0),"",IF(F808&lt;&gt;"",F808-E808,TODAY()-E808))</f>
        <v/>
      </c>
      <c r="H808" s="29"/>
      <c r="I808" s="33"/>
      <c r="J808" s="32" t="n">
        <f aca="false">IF(OR(D808="",D808="Planned"),0,1)</f>
        <v>0</v>
      </c>
      <c r="K808" s="32" t="n">
        <f aca="false">IF(OR(D808="Under review",D808="Revision requested"),1,0)</f>
        <v>0</v>
      </c>
      <c r="L808" s="32" t="str">
        <f aca="false">IF(AND(J808=1,E808&lt;&gt;""),E808+ROW()/100000,"")</f>
        <v/>
      </c>
      <c r="M808" s="32" t="str">
        <f aca="false">IF(D808="Planned",ROW(),"")</f>
        <v/>
      </c>
      <c r="N808" s="32" t="str">
        <f aca="true">IF(K808=1,IF(E808="",0,TODAY()-E808)+ROW()/100000,"")</f>
        <v/>
      </c>
      <c r="O808" s="32" t="str">
        <f aca="false">IF(N808="","",RANK(N808,$N$2:$N$1000))</f>
        <v/>
      </c>
    </row>
    <row r="809" customFormat="false" ht="15" hidden="false" customHeight="false" outlineLevel="0" collapsed="false">
      <c r="A809" s="33"/>
      <c r="B809" s="33"/>
      <c r="C809" s="33"/>
      <c r="D809" s="33"/>
      <c r="E809" s="34"/>
      <c r="F809" s="34"/>
      <c r="G809" s="35" t="str">
        <f aca="true">IF(OR(E809="",J809=0),"",IF(F809&lt;&gt;"",F809-E809,TODAY()-E809))</f>
        <v/>
      </c>
      <c r="H809" s="29"/>
      <c r="I809" s="33"/>
      <c r="J809" s="32" t="n">
        <f aca="false">IF(OR(D809="",D809="Planned"),0,1)</f>
        <v>0</v>
      </c>
      <c r="K809" s="32" t="n">
        <f aca="false">IF(OR(D809="Under review",D809="Revision requested"),1,0)</f>
        <v>0</v>
      </c>
      <c r="L809" s="32" t="str">
        <f aca="false">IF(AND(J809=1,E809&lt;&gt;""),E809+ROW()/100000,"")</f>
        <v/>
      </c>
      <c r="M809" s="32" t="str">
        <f aca="false">IF(D809="Planned",ROW(),"")</f>
        <v/>
      </c>
      <c r="N809" s="32" t="str">
        <f aca="true">IF(K809=1,IF(E809="",0,TODAY()-E809)+ROW()/100000,"")</f>
        <v/>
      </c>
      <c r="O809" s="32" t="str">
        <f aca="false">IF(N809="","",RANK(N809,$N$2:$N$1000))</f>
        <v/>
      </c>
    </row>
    <row r="810" customFormat="false" ht="15" hidden="false" customHeight="false" outlineLevel="0" collapsed="false">
      <c r="A810" s="33"/>
      <c r="B810" s="33"/>
      <c r="C810" s="33"/>
      <c r="D810" s="33"/>
      <c r="E810" s="34"/>
      <c r="F810" s="34"/>
      <c r="G810" s="35" t="str">
        <f aca="true">IF(OR(E810="",J810=0),"",IF(F810&lt;&gt;"",F810-E810,TODAY()-E810))</f>
        <v/>
      </c>
      <c r="H810" s="29"/>
      <c r="I810" s="33"/>
      <c r="J810" s="32" t="n">
        <f aca="false">IF(OR(D810="",D810="Planned"),0,1)</f>
        <v>0</v>
      </c>
      <c r="K810" s="32" t="n">
        <f aca="false">IF(OR(D810="Under review",D810="Revision requested"),1,0)</f>
        <v>0</v>
      </c>
      <c r="L810" s="32" t="str">
        <f aca="false">IF(AND(J810=1,E810&lt;&gt;""),E810+ROW()/100000,"")</f>
        <v/>
      </c>
      <c r="M810" s="32" t="str">
        <f aca="false">IF(D810="Planned",ROW(),"")</f>
        <v/>
      </c>
      <c r="N810" s="32" t="str">
        <f aca="true">IF(K810=1,IF(E810="",0,TODAY()-E810)+ROW()/100000,"")</f>
        <v/>
      </c>
      <c r="O810" s="32" t="str">
        <f aca="false">IF(N810="","",RANK(N810,$N$2:$N$1000))</f>
        <v/>
      </c>
    </row>
    <row r="811" customFormat="false" ht="15" hidden="false" customHeight="false" outlineLevel="0" collapsed="false">
      <c r="A811" s="33"/>
      <c r="B811" s="33"/>
      <c r="C811" s="33"/>
      <c r="D811" s="33"/>
      <c r="E811" s="34"/>
      <c r="F811" s="34"/>
      <c r="G811" s="35" t="str">
        <f aca="true">IF(OR(E811="",J811=0),"",IF(F811&lt;&gt;"",F811-E811,TODAY()-E811))</f>
        <v/>
      </c>
      <c r="H811" s="29"/>
      <c r="I811" s="33"/>
      <c r="J811" s="32" t="n">
        <f aca="false">IF(OR(D811="",D811="Planned"),0,1)</f>
        <v>0</v>
      </c>
      <c r="K811" s="32" t="n">
        <f aca="false">IF(OR(D811="Under review",D811="Revision requested"),1,0)</f>
        <v>0</v>
      </c>
      <c r="L811" s="32" t="str">
        <f aca="false">IF(AND(J811=1,E811&lt;&gt;""),E811+ROW()/100000,"")</f>
        <v/>
      </c>
      <c r="M811" s="32" t="str">
        <f aca="false">IF(D811="Planned",ROW(),"")</f>
        <v/>
      </c>
      <c r="N811" s="32" t="str">
        <f aca="true">IF(K811=1,IF(E811="",0,TODAY()-E811)+ROW()/100000,"")</f>
        <v/>
      </c>
      <c r="O811" s="32" t="str">
        <f aca="false">IF(N811="","",RANK(N811,$N$2:$N$1000))</f>
        <v/>
      </c>
    </row>
    <row r="812" customFormat="false" ht="15" hidden="false" customHeight="false" outlineLevel="0" collapsed="false">
      <c r="A812" s="33"/>
      <c r="B812" s="33"/>
      <c r="C812" s="33"/>
      <c r="D812" s="33"/>
      <c r="E812" s="34"/>
      <c r="F812" s="34"/>
      <c r="G812" s="35" t="str">
        <f aca="true">IF(OR(E812="",J812=0),"",IF(F812&lt;&gt;"",F812-E812,TODAY()-E812))</f>
        <v/>
      </c>
      <c r="H812" s="29"/>
      <c r="I812" s="33"/>
      <c r="J812" s="32" t="n">
        <f aca="false">IF(OR(D812="",D812="Planned"),0,1)</f>
        <v>0</v>
      </c>
      <c r="K812" s="32" t="n">
        <f aca="false">IF(OR(D812="Under review",D812="Revision requested"),1,0)</f>
        <v>0</v>
      </c>
      <c r="L812" s="32" t="str">
        <f aca="false">IF(AND(J812=1,E812&lt;&gt;""),E812+ROW()/100000,"")</f>
        <v/>
      </c>
      <c r="M812" s="32" t="str">
        <f aca="false">IF(D812="Planned",ROW(),"")</f>
        <v/>
      </c>
      <c r="N812" s="32" t="str">
        <f aca="true">IF(K812=1,IF(E812="",0,TODAY()-E812)+ROW()/100000,"")</f>
        <v/>
      </c>
      <c r="O812" s="32" t="str">
        <f aca="false">IF(N812="","",RANK(N812,$N$2:$N$1000))</f>
        <v/>
      </c>
    </row>
    <row r="813" customFormat="false" ht="15" hidden="false" customHeight="false" outlineLevel="0" collapsed="false">
      <c r="A813" s="33"/>
      <c r="B813" s="33"/>
      <c r="C813" s="33"/>
      <c r="D813" s="33"/>
      <c r="E813" s="34"/>
      <c r="F813" s="34"/>
      <c r="G813" s="35" t="str">
        <f aca="true">IF(OR(E813="",J813=0),"",IF(F813&lt;&gt;"",F813-E813,TODAY()-E813))</f>
        <v/>
      </c>
      <c r="H813" s="29"/>
      <c r="I813" s="33"/>
      <c r="J813" s="32" t="n">
        <f aca="false">IF(OR(D813="",D813="Planned"),0,1)</f>
        <v>0</v>
      </c>
      <c r="K813" s="32" t="n">
        <f aca="false">IF(OR(D813="Under review",D813="Revision requested"),1,0)</f>
        <v>0</v>
      </c>
      <c r="L813" s="32" t="str">
        <f aca="false">IF(AND(J813=1,E813&lt;&gt;""),E813+ROW()/100000,"")</f>
        <v/>
      </c>
      <c r="M813" s="32" t="str">
        <f aca="false">IF(D813="Planned",ROW(),"")</f>
        <v/>
      </c>
      <c r="N813" s="32" t="str">
        <f aca="true">IF(K813=1,IF(E813="",0,TODAY()-E813)+ROW()/100000,"")</f>
        <v/>
      </c>
      <c r="O813" s="32" t="str">
        <f aca="false">IF(N813="","",RANK(N813,$N$2:$N$1000))</f>
        <v/>
      </c>
    </row>
    <row r="814" customFormat="false" ht="15" hidden="false" customHeight="false" outlineLevel="0" collapsed="false">
      <c r="A814" s="33"/>
      <c r="B814" s="33"/>
      <c r="C814" s="33"/>
      <c r="D814" s="33"/>
      <c r="E814" s="34"/>
      <c r="F814" s="34"/>
      <c r="G814" s="35" t="str">
        <f aca="true">IF(OR(E814="",J814=0),"",IF(F814&lt;&gt;"",F814-E814,TODAY()-E814))</f>
        <v/>
      </c>
      <c r="H814" s="29"/>
      <c r="I814" s="33"/>
      <c r="J814" s="32" t="n">
        <f aca="false">IF(OR(D814="",D814="Planned"),0,1)</f>
        <v>0</v>
      </c>
      <c r="K814" s="32" t="n">
        <f aca="false">IF(OR(D814="Under review",D814="Revision requested"),1,0)</f>
        <v>0</v>
      </c>
      <c r="L814" s="32" t="str">
        <f aca="false">IF(AND(J814=1,E814&lt;&gt;""),E814+ROW()/100000,"")</f>
        <v/>
      </c>
      <c r="M814" s="32" t="str">
        <f aca="false">IF(D814="Planned",ROW(),"")</f>
        <v/>
      </c>
      <c r="N814" s="32" t="str">
        <f aca="true">IF(K814=1,IF(E814="",0,TODAY()-E814)+ROW()/100000,"")</f>
        <v/>
      </c>
      <c r="O814" s="32" t="str">
        <f aca="false">IF(N814="","",RANK(N814,$N$2:$N$1000))</f>
        <v/>
      </c>
    </row>
    <row r="815" customFormat="false" ht="15" hidden="false" customHeight="false" outlineLevel="0" collapsed="false">
      <c r="A815" s="33"/>
      <c r="B815" s="33"/>
      <c r="C815" s="33"/>
      <c r="D815" s="33"/>
      <c r="E815" s="34"/>
      <c r="F815" s="34"/>
      <c r="G815" s="35" t="str">
        <f aca="true">IF(OR(E815="",J815=0),"",IF(F815&lt;&gt;"",F815-E815,TODAY()-E815))</f>
        <v/>
      </c>
      <c r="H815" s="29"/>
      <c r="I815" s="33"/>
      <c r="J815" s="32" t="n">
        <f aca="false">IF(OR(D815="",D815="Planned"),0,1)</f>
        <v>0</v>
      </c>
      <c r="K815" s="32" t="n">
        <f aca="false">IF(OR(D815="Under review",D815="Revision requested"),1,0)</f>
        <v>0</v>
      </c>
      <c r="L815" s="32" t="str">
        <f aca="false">IF(AND(J815=1,E815&lt;&gt;""),E815+ROW()/100000,"")</f>
        <v/>
      </c>
      <c r="M815" s="32" t="str">
        <f aca="false">IF(D815="Planned",ROW(),"")</f>
        <v/>
      </c>
      <c r="N815" s="32" t="str">
        <f aca="true">IF(K815=1,IF(E815="",0,TODAY()-E815)+ROW()/100000,"")</f>
        <v/>
      </c>
      <c r="O815" s="32" t="str">
        <f aca="false">IF(N815="","",RANK(N815,$N$2:$N$1000))</f>
        <v/>
      </c>
    </row>
    <row r="816" customFormat="false" ht="15" hidden="false" customHeight="false" outlineLevel="0" collapsed="false">
      <c r="A816" s="33"/>
      <c r="B816" s="33"/>
      <c r="C816" s="33"/>
      <c r="D816" s="33"/>
      <c r="E816" s="34"/>
      <c r="F816" s="34"/>
      <c r="G816" s="35" t="str">
        <f aca="true">IF(OR(E816="",J816=0),"",IF(F816&lt;&gt;"",F816-E816,TODAY()-E816))</f>
        <v/>
      </c>
      <c r="H816" s="29"/>
      <c r="I816" s="33"/>
      <c r="J816" s="32" t="n">
        <f aca="false">IF(OR(D816="",D816="Planned"),0,1)</f>
        <v>0</v>
      </c>
      <c r="K816" s="32" t="n">
        <f aca="false">IF(OR(D816="Under review",D816="Revision requested"),1,0)</f>
        <v>0</v>
      </c>
      <c r="L816" s="32" t="str">
        <f aca="false">IF(AND(J816=1,E816&lt;&gt;""),E816+ROW()/100000,"")</f>
        <v/>
      </c>
      <c r="M816" s="32" t="str">
        <f aca="false">IF(D816="Planned",ROW(),"")</f>
        <v/>
      </c>
      <c r="N816" s="32" t="str">
        <f aca="true">IF(K816=1,IF(E816="",0,TODAY()-E816)+ROW()/100000,"")</f>
        <v/>
      </c>
      <c r="O816" s="32" t="str">
        <f aca="false">IF(N816="","",RANK(N816,$N$2:$N$1000))</f>
        <v/>
      </c>
    </row>
    <row r="817" customFormat="false" ht="15" hidden="false" customHeight="false" outlineLevel="0" collapsed="false">
      <c r="A817" s="33"/>
      <c r="B817" s="33"/>
      <c r="C817" s="33"/>
      <c r="D817" s="33"/>
      <c r="E817" s="34"/>
      <c r="F817" s="34"/>
      <c r="G817" s="35" t="str">
        <f aca="true">IF(OR(E817="",J817=0),"",IF(F817&lt;&gt;"",F817-E817,TODAY()-E817))</f>
        <v/>
      </c>
      <c r="H817" s="29"/>
      <c r="I817" s="33"/>
      <c r="J817" s="32" t="n">
        <f aca="false">IF(OR(D817="",D817="Planned"),0,1)</f>
        <v>0</v>
      </c>
      <c r="K817" s="32" t="n">
        <f aca="false">IF(OR(D817="Under review",D817="Revision requested"),1,0)</f>
        <v>0</v>
      </c>
      <c r="L817" s="32" t="str">
        <f aca="false">IF(AND(J817=1,E817&lt;&gt;""),E817+ROW()/100000,"")</f>
        <v/>
      </c>
      <c r="M817" s="32" t="str">
        <f aca="false">IF(D817="Planned",ROW(),"")</f>
        <v/>
      </c>
      <c r="N817" s="32" t="str">
        <f aca="true">IF(K817=1,IF(E817="",0,TODAY()-E817)+ROW()/100000,"")</f>
        <v/>
      </c>
      <c r="O817" s="32" t="str">
        <f aca="false">IF(N817="","",RANK(N817,$N$2:$N$1000))</f>
        <v/>
      </c>
    </row>
    <row r="818" customFormat="false" ht="15" hidden="false" customHeight="false" outlineLevel="0" collapsed="false">
      <c r="A818" s="33"/>
      <c r="B818" s="33"/>
      <c r="C818" s="33"/>
      <c r="D818" s="33"/>
      <c r="E818" s="34"/>
      <c r="F818" s="34"/>
      <c r="G818" s="35" t="str">
        <f aca="true">IF(OR(E818="",J818=0),"",IF(F818&lt;&gt;"",F818-E818,TODAY()-E818))</f>
        <v/>
      </c>
      <c r="H818" s="29"/>
      <c r="I818" s="33"/>
      <c r="J818" s="32" t="n">
        <f aca="false">IF(OR(D818="",D818="Planned"),0,1)</f>
        <v>0</v>
      </c>
      <c r="K818" s="32" t="n">
        <f aca="false">IF(OR(D818="Under review",D818="Revision requested"),1,0)</f>
        <v>0</v>
      </c>
      <c r="L818" s="32" t="str">
        <f aca="false">IF(AND(J818=1,E818&lt;&gt;""),E818+ROW()/100000,"")</f>
        <v/>
      </c>
      <c r="M818" s="32" t="str">
        <f aca="false">IF(D818="Planned",ROW(),"")</f>
        <v/>
      </c>
      <c r="N818" s="32" t="str">
        <f aca="true">IF(K818=1,IF(E818="",0,TODAY()-E818)+ROW()/100000,"")</f>
        <v/>
      </c>
      <c r="O818" s="32" t="str">
        <f aca="false">IF(N818="","",RANK(N818,$N$2:$N$1000))</f>
        <v/>
      </c>
    </row>
    <row r="819" customFormat="false" ht="15" hidden="false" customHeight="false" outlineLevel="0" collapsed="false">
      <c r="A819" s="33"/>
      <c r="B819" s="33"/>
      <c r="C819" s="33"/>
      <c r="D819" s="33"/>
      <c r="E819" s="34"/>
      <c r="F819" s="34"/>
      <c r="G819" s="35" t="str">
        <f aca="true">IF(OR(E819="",J819=0),"",IF(F819&lt;&gt;"",F819-E819,TODAY()-E819))</f>
        <v/>
      </c>
      <c r="H819" s="29"/>
      <c r="I819" s="33"/>
      <c r="J819" s="32" t="n">
        <f aca="false">IF(OR(D819="",D819="Planned"),0,1)</f>
        <v>0</v>
      </c>
      <c r="K819" s="32" t="n">
        <f aca="false">IF(OR(D819="Under review",D819="Revision requested"),1,0)</f>
        <v>0</v>
      </c>
      <c r="L819" s="32" t="str">
        <f aca="false">IF(AND(J819=1,E819&lt;&gt;""),E819+ROW()/100000,"")</f>
        <v/>
      </c>
      <c r="M819" s="32" t="str">
        <f aca="false">IF(D819="Planned",ROW(),"")</f>
        <v/>
      </c>
      <c r="N819" s="32" t="str">
        <f aca="true">IF(K819=1,IF(E819="",0,TODAY()-E819)+ROW()/100000,"")</f>
        <v/>
      </c>
      <c r="O819" s="32" t="str">
        <f aca="false">IF(N819="","",RANK(N819,$N$2:$N$1000))</f>
        <v/>
      </c>
    </row>
    <row r="820" customFormat="false" ht="15" hidden="false" customHeight="false" outlineLevel="0" collapsed="false">
      <c r="A820" s="33"/>
      <c r="B820" s="33"/>
      <c r="C820" s="33"/>
      <c r="D820" s="33"/>
      <c r="E820" s="34"/>
      <c r="F820" s="34"/>
      <c r="G820" s="35" t="str">
        <f aca="true">IF(OR(E820="",J820=0),"",IF(F820&lt;&gt;"",F820-E820,TODAY()-E820))</f>
        <v/>
      </c>
      <c r="H820" s="29"/>
      <c r="I820" s="33"/>
      <c r="J820" s="32" t="n">
        <f aca="false">IF(OR(D820="",D820="Planned"),0,1)</f>
        <v>0</v>
      </c>
      <c r="K820" s="32" t="n">
        <f aca="false">IF(OR(D820="Under review",D820="Revision requested"),1,0)</f>
        <v>0</v>
      </c>
      <c r="L820" s="32" t="str">
        <f aca="false">IF(AND(J820=1,E820&lt;&gt;""),E820+ROW()/100000,"")</f>
        <v/>
      </c>
      <c r="M820" s="32" t="str">
        <f aca="false">IF(D820="Planned",ROW(),"")</f>
        <v/>
      </c>
      <c r="N820" s="32" t="str">
        <f aca="true">IF(K820=1,IF(E820="",0,TODAY()-E820)+ROW()/100000,"")</f>
        <v/>
      </c>
      <c r="O820" s="32" t="str">
        <f aca="false">IF(N820="","",RANK(N820,$N$2:$N$1000))</f>
        <v/>
      </c>
    </row>
    <row r="821" customFormat="false" ht="15" hidden="false" customHeight="false" outlineLevel="0" collapsed="false">
      <c r="A821" s="33"/>
      <c r="B821" s="33"/>
      <c r="C821" s="33"/>
      <c r="D821" s="33"/>
      <c r="E821" s="34"/>
      <c r="F821" s="34"/>
      <c r="G821" s="35" t="str">
        <f aca="true">IF(OR(E821="",J821=0),"",IF(F821&lt;&gt;"",F821-E821,TODAY()-E821))</f>
        <v/>
      </c>
      <c r="H821" s="29"/>
      <c r="I821" s="33"/>
      <c r="J821" s="32" t="n">
        <f aca="false">IF(OR(D821="",D821="Planned"),0,1)</f>
        <v>0</v>
      </c>
      <c r="K821" s="32" t="n">
        <f aca="false">IF(OR(D821="Under review",D821="Revision requested"),1,0)</f>
        <v>0</v>
      </c>
      <c r="L821" s="32" t="str">
        <f aca="false">IF(AND(J821=1,E821&lt;&gt;""),E821+ROW()/100000,"")</f>
        <v/>
      </c>
      <c r="M821" s="32" t="str">
        <f aca="false">IF(D821="Planned",ROW(),"")</f>
        <v/>
      </c>
      <c r="N821" s="32" t="str">
        <f aca="true">IF(K821=1,IF(E821="",0,TODAY()-E821)+ROW()/100000,"")</f>
        <v/>
      </c>
      <c r="O821" s="32" t="str">
        <f aca="false">IF(N821="","",RANK(N821,$N$2:$N$1000))</f>
        <v/>
      </c>
    </row>
    <row r="822" customFormat="false" ht="15" hidden="false" customHeight="false" outlineLevel="0" collapsed="false">
      <c r="A822" s="33"/>
      <c r="B822" s="33"/>
      <c r="C822" s="33"/>
      <c r="D822" s="33"/>
      <c r="E822" s="34"/>
      <c r="F822" s="34"/>
      <c r="G822" s="35" t="str">
        <f aca="true">IF(OR(E822="",J822=0),"",IF(F822&lt;&gt;"",F822-E822,TODAY()-E822))</f>
        <v/>
      </c>
      <c r="H822" s="29"/>
      <c r="I822" s="33"/>
      <c r="J822" s="32" t="n">
        <f aca="false">IF(OR(D822="",D822="Planned"),0,1)</f>
        <v>0</v>
      </c>
      <c r="K822" s="32" t="n">
        <f aca="false">IF(OR(D822="Under review",D822="Revision requested"),1,0)</f>
        <v>0</v>
      </c>
      <c r="L822" s="32" t="str">
        <f aca="false">IF(AND(J822=1,E822&lt;&gt;""),E822+ROW()/100000,"")</f>
        <v/>
      </c>
      <c r="M822" s="32" t="str">
        <f aca="false">IF(D822="Planned",ROW(),"")</f>
        <v/>
      </c>
      <c r="N822" s="32" t="str">
        <f aca="true">IF(K822=1,IF(E822="",0,TODAY()-E822)+ROW()/100000,"")</f>
        <v/>
      </c>
      <c r="O822" s="32" t="str">
        <f aca="false">IF(N822="","",RANK(N822,$N$2:$N$1000))</f>
        <v/>
      </c>
    </row>
    <row r="823" customFormat="false" ht="15" hidden="false" customHeight="false" outlineLevel="0" collapsed="false">
      <c r="A823" s="33"/>
      <c r="B823" s="33"/>
      <c r="C823" s="33"/>
      <c r="D823" s="33"/>
      <c r="E823" s="34"/>
      <c r="F823" s="34"/>
      <c r="G823" s="35" t="str">
        <f aca="true">IF(OR(E823="",J823=0),"",IF(F823&lt;&gt;"",F823-E823,TODAY()-E823))</f>
        <v/>
      </c>
      <c r="H823" s="29"/>
      <c r="I823" s="33"/>
      <c r="J823" s="32" t="n">
        <f aca="false">IF(OR(D823="",D823="Planned"),0,1)</f>
        <v>0</v>
      </c>
      <c r="K823" s="32" t="n">
        <f aca="false">IF(OR(D823="Under review",D823="Revision requested"),1,0)</f>
        <v>0</v>
      </c>
      <c r="L823" s="32" t="str">
        <f aca="false">IF(AND(J823=1,E823&lt;&gt;""),E823+ROW()/100000,"")</f>
        <v/>
      </c>
      <c r="M823" s="32" t="str">
        <f aca="false">IF(D823="Planned",ROW(),"")</f>
        <v/>
      </c>
      <c r="N823" s="32" t="str">
        <f aca="true">IF(K823=1,IF(E823="",0,TODAY()-E823)+ROW()/100000,"")</f>
        <v/>
      </c>
      <c r="O823" s="32" t="str">
        <f aca="false">IF(N823="","",RANK(N823,$N$2:$N$1000))</f>
        <v/>
      </c>
    </row>
    <row r="824" customFormat="false" ht="15" hidden="false" customHeight="false" outlineLevel="0" collapsed="false">
      <c r="A824" s="33"/>
      <c r="B824" s="33"/>
      <c r="C824" s="33"/>
      <c r="D824" s="33"/>
      <c r="E824" s="34"/>
      <c r="F824" s="34"/>
      <c r="G824" s="35" t="str">
        <f aca="true">IF(OR(E824="",J824=0),"",IF(F824&lt;&gt;"",F824-E824,TODAY()-E824))</f>
        <v/>
      </c>
      <c r="H824" s="29"/>
      <c r="I824" s="33"/>
      <c r="J824" s="32" t="n">
        <f aca="false">IF(OR(D824="",D824="Planned"),0,1)</f>
        <v>0</v>
      </c>
      <c r="K824" s="32" t="n">
        <f aca="false">IF(OR(D824="Under review",D824="Revision requested"),1,0)</f>
        <v>0</v>
      </c>
      <c r="L824" s="32" t="str">
        <f aca="false">IF(AND(J824=1,E824&lt;&gt;""),E824+ROW()/100000,"")</f>
        <v/>
      </c>
      <c r="M824" s="32" t="str">
        <f aca="false">IF(D824="Planned",ROW(),"")</f>
        <v/>
      </c>
      <c r="N824" s="32" t="str">
        <f aca="true">IF(K824=1,IF(E824="",0,TODAY()-E824)+ROW()/100000,"")</f>
        <v/>
      </c>
      <c r="O824" s="32" t="str">
        <f aca="false">IF(N824="","",RANK(N824,$N$2:$N$1000))</f>
        <v/>
      </c>
    </row>
    <row r="825" customFormat="false" ht="15" hidden="false" customHeight="false" outlineLevel="0" collapsed="false">
      <c r="A825" s="33"/>
      <c r="B825" s="33"/>
      <c r="C825" s="33"/>
      <c r="D825" s="33"/>
      <c r="E825" s="34"/>
      <c r="F825" s="34"/>
      <c r="G825" s="35" t="str">
        <f aca="true">IF(OR(E825="",J825=0),"",IF(F825&lt;&gt;"",F825-E825,TODAY()-E825))</f>
        <v/>
      </c>
      <c r="H825" s="29"/>
      <c r="I825" s="33"/>
      <c r="J825" s="32" t="n">
        <f aca="false">IF(OR(D825="",D825="Planned"),0,1)</f>
        <v>0</v>
      </c>
      <c r="K825" s="32" t="n">
        <f aca="false">IF(OR(D825="Under review",D825="Revision requested"),1,0)</f>
        <v>0</v>
      </c>
      <c r="L825" s="32" t="str">
        <f aca="false">IF(AND(J825=1,E825&lt;&gt;""),E825+ROW()/100000,"")</f>
        <v/>
      </c>
      <c r="M825" s="32" t="str">
        <f aca="false">IF(D825="Planned",ROW(),"")</f>
        <v/>
      </c>
      <c r="N825" s="32" t="str">
        <f aca="true">IF(K825=1,IF(E825="",0,TODAY()-E825)+ROW()/100000,"")</f>
        <v/>
      </c>
      <c r="O825" s="32" t="str">
        <f aca="false">IF(N825="","",RANK(N825,$N$2:$N$1000))</f>
        <v/>
      </c>
    </row>
    <row r="826" customFormat="false" ht="15" hidden="false" customHeight="false" outlineLevel="0" collapsed="false">
      <c r="A826" s="33"/>
      <c r="B826" s="33"/>
      <c r="C826" s="33"/>
      <c r="D826" s="33"/>
      <c r="E826" s="34"/>
      <c r="F826" s="34"/>
      <c r="G826" s="35" t="str">
        <f aca="true">IF(OR(E826="",J826=0),"",IF(F826&lt;&gt;"",F826-E826,TODAY()-E826))</f>
        <v/>
      </c>
      <c r="H826" s="29"/>
      <c r="I826" s="33"/>
      <c r="J826" s="32" t="n">
        <f aca="false">IF(OR(D826="",D826="Planned"),0,1)</f>
        <v>0</v>
      </c>
      <c r="K826" s="32" t="n">
        <f aca="false">IF(OR(D826="Under review",D826="Revision requested"),1,0)</f>
        <v>0</v>
      </c>
      <c r="L826" s="32" t="str">
        <f aca="false">IF(AND(J826=1,E826&lt;&gt;""),E826+ROW()/100000,"")</f>
        <v/>
      </c>
      <c r="M826" s="32" t="str">
        <f aca="false">IF(D826="Planned",ROW(),"")</f>
        <v/>
      </c>
      <c r="N826" s="32" t="str">
        <f aca="true">IF(K826=1,IF(E826="",0,TODAY()-E826)+ROW()/100000,"")</f>
        <v/>
      </c>
      <c r="O826" s="32" t="str">
        <f aca="false">IF(N826="","",RANK(N826,$N$2:$N$1000))</f>
        <v/>
      </c>
    </row>
    <row r="827" customFormat="false" ht="15" hidden="false" customHeight="false" outlineLevel="0" collapsed="false">
      <c r="A827" s="33"/>
      <c r="B827" s="33"/>
      <c r="C827" s="33"/>
      <c r="D827" s="33"/>
      <c r="E827" s="34"/>
      <c r="F827" s="34"/>
      <c r="G827" s="35" t="str">
        <f aca="true">IF(OR(E827="",J827=0),"",IF(F827&lt;&gt;"",F827-E827,TODAY()-E827))</f>
        <v/>
      </c>
      <c r="H827" s="29"/>
      <c r="I827" s="33"/>
      <c r="J827" s="32" t="n">
        <f aca="false">IF(OR(D827="",D827="Planned"),0,1)</f>
        <v>0</v>
      </c>
      <c r="K827" s="32" t="n">
        <f aca="false">IF(OR(D827="Under review",D827="Revision requested"),1,0)</f>
        <v>0</v>
      </c>
      <c r="L827" s="32" t="str">
        <f aca="false">IF(AND(J827=1,E827&lt;&gt;""),E827+ROW()/100000,"")</f>
        <v/>
      </c>
      <c r="M827" s="32" t="str">
        <f aca="false">IF(D827="Planned",ROW(),"")</f>
        <v/>
      </c>
      <c r="N827" s="32" t="str">
        <f aca="true">IF(K827=1,IF(E827="",0,TODAY()-E827)+ROW()/100000,"")</f>
        <v/>
      </c>
      <c r="O827" s="32" t="str">
        <f aca="false">IF(N827="","",RANK(N827,$N$2:$N$1000))</f>
        <v/>
      </c>
    </row>
    <row r="828" customFormat="false" ht="15" hidden="false" customHeight="false" outlineLevel="0" collapsed="false">
      <c r="A828" s="33"/>
      <c r="B828" s="33"/>
      <c r="C828" s="33"/>
      <c r="D828" s="33"/>
      <c r="E828" s="34"/>
      <c r="F828" s="34"/>
      <c r="G828" s="35" t="str">
        <f aca="true">IF(OR(E828="",J828=0),"",IF(F828&lt;&gt;"",F828-E828,TODAY()-E828))</f>
        <v/>
      </c>
      <c r="H828" s="29"/>
      <c r="I828" s="33"/>
      <c r="J828" s="32" t="n">
        <f aca="false">IF(OR(D828="",D828="Planned"),0,1)</f>
        <v>0</v>
      </c>
      <c r="K828" s="32" t="n">
        <f aca="false">IF(OR(D828="Under review",D828="Revision requested"),1,0)</f>
        <v>0</v>
      </c>
      <c r="L828" s="32" t="str">
        <f aca="false">IF(AND(J828=1,E828&lt;&gt;""),E828+ROW()/100000,"")</f>
        <v/>
      </c>
      <c r="M828" s="32" t="str">
        <f aca="false">IF(D828="Planned",ROW(),"")</f>
        <v/>
      </c>
      <c r="N828" s="32" t="str">
        <f aca="true">IF(K828=1,IF(E828="",0,TODAY()-E828)+ROW()/100000,"")</f>
        <v/>
      </c>
      <c r="O828" s="32" t="str">
        <f aca="false">IF(N828="","",RANK(N828,$N$2:$N$1000))</f>
        <v/>
      </c>
    </row>
    <row r="829" customFormat="false" ht="15" hidden="false" customHeight="false" outlineLevel="0" collapsed="false">
      <c r="A829" s="33"/>
      <c r="B829" s="33"/>
      <c r="C829" s="33"/>
      <c r="D829" s="33"/>
      <c r="E829" s="34"/>
      <c r="F829" s="34"/>
      <c r="G829" s="35" t="str">
        <f aca="true">IF(OR(E829="",J829=0),"",IF(F829&lt;&gt;"",F829-E829,TODAY()-E829))</f>
        <v/>
      </c>
      <c r="H829" s="29"/>
      <c r="I829" s="33"/>
      <c r="J829" s="32" t="n">
        <f aca="false">IF(OR(D829="",D829="Planned"),0,1)</f>
        <v>0</v>
      </c>
      <c r="K829" s="32" t="n">
        <f aca="false">IF(OR(D829="Under review",D829="Revision requested"),1,0)</f>
        <v>0</v>
      </c>
      <c r="L829" s="32" t="str">
        <f aca="false">IF(AND(J829=1,E829&lt;&gt;""),E829+ROW()/100000,"")</f>
        <v/>
      </c>
      <c r="M829" s="32" t="str">
        <f aca="false">IF(D829="Planned",ROW(),"")</f>
        <v/>
      </c>
      <c r="N829" s="32" t="str">
        <f aca="true">IF(K829=1,IF(E829="",0,TODAY()-E829)+ROW()/100000,"")</f>
        <v/>
      </c>
      <c r="O829" s="32" t="str">
        <f aca="false">IF(N829="","",RANK(N829,$N$2:$N$1000))</f>
        <v/>
      </c>
    </row>
    <row r="830" customFormat="false" ht="15" hidden="false" customHeight="false" outlineLevel="0" collapsed="false">
      <c r="A830" s="33"/>
      <c r="B830" s="33"/>
      <c r="C830" s="33"/>
      <c r="D830" s="33"/>
      <c r="E830" s="34"/>
      <c r="F830" s="34"/>
      <c r="G830" s="35" t="str">
        <f aca="true">IF(OR(E830="",J830=0),"",IF(F830&lt;&gt;"",F830-E830,TODAY()-E830))</f>
        <v/>
      </c>
      <c r="H830" s="29"/>
      <c r="I830" s="33"/>
      <c r="J830" s="32" t="n">
        <f aca="false">IF(OR(D830="",D830="Planned"),0,1)</f>
        <v>0</v>
      </c>
      <c r="K830" s="32" t="n">
        <f aca="false">IF(OR(D830="Under review",D830="Revision requested"),1,0)</f>
        <v>0</v>
      </c>
      <c r="L830" s="32" t="str">
        <f aca="false">IF(AND(J830=1,E830&lt;&gt;""),E830+ROW()/100000,"")</f>
        <v/>
      </c>
      <c r="M830" s="32" t="str">
        <f aca="false">IF(D830="Planned",ROW(),"")</f>
        <v/>
      </c>
      <c r="N830" s="32" t="str">
        <f aca="true">IF(K830=1,IF(E830="",0,TODAY()-E830)+ROW()/100000,"")</f>
        <v/>
      </c>
      <c r="O830" s="32" t="str">
        <f aca="false">IF(N830="","",RANK(N830,$N$2:$N$1000))</f>
        <v/>
      </c>
    </row>
    <row r="831" customFormat="false" ht="15" hidden="false" customHeight="false" outlineLevel="0" collapsed="false">
      <c r="A831" s="33"/>
      <c r="B831" s="33"/>
      <c r="C831" s="33"/>
      <c r="D831" s="33"/>
      <c r="E831" s="34"/>
      <c r="F831" s="34"/>
      <c r="G831" s="35" t="str">
        <f aca="true">IF(OR(E831="",J831=0),"",IF(F831&lt;&gt;"",F831-E831,TODAY()-E831))</f>
        <v/>
      </c>
      <c r="H831" s="29"/>
      <c r="I831" s="33"/>
      <c r="J831" s="32" t="n">
        <f aca="false">IF(OR(D831="",D831="Planned"),0,1)</f>
        <v>0</v>
      </c>
      <c r="K831" s="32" t="n">
        <f aca="false">IF(OR(D831="Under review",D831="Revision requested"),1,0)</f>
        <v>0</v>
      </c>
      <c r="L831" s="32" t="str">
        <f aca="false">IF(AND(J831=1,E831&lt;&gt;""),E831+ROW()/100000,"")</f>
        <v/>
      </c>
      <c r="M831" s="32" t="str">
        <f aca="false">IF(D831="Planned",ROW(),"")</f>
        <v/>
      </c>
      <c r="N831" s="32" t="str">
        <f aca="true">IF(K831=1,IF(E831="",0,TODAY()-E831)+ROW()/100000,"")</f>
        <v/>
      </c>
      <c r="O831" s="32" t="str">
        <f aca="false">IF(N831="","",RANK(N831,$N$2:$N$1000))</f>
        <v/>
      </c>
    </row>
    <row r="832" customFormat="false" ht="15" hidden="false" customHeight="false" outlineLevel="0" collapsed="false">
      <c r="A832" s="33"/>
      <c r="B832" s="33"/>
      <c r="C832" s="33"/>
      <c r="D832" s="33"/>
      <c r="E832" s="34"/>
      <c r="F832" s="34"/>
      <c r="G832" s="35" t="str">
        <f aca="true">IF(OR(E832="",J832=0),"",IF(F832&lt;&gt;"",F832-E832,TODAY()-E832))</f>
        <v/>
      </c>
      <c r="H832" s="29"/>
      <c r="I832" s="33"/>
      <c r="J832" s="32" t="n">
        <f aca="false">IF(OR(D832="",D832="Planned"),0,1)</f>
        <v>0</v>
      </c>
      <c r="K832" s="32" t="n">
        <f aca="false">IF(OR(D832="Under review",D832="Revision requested"),1,0)</f>
        <v>0</v>
      </c>
      <c r="L832" s="32" t="str">
        <f aca="false">IF(AND(J832=1,E832&lt;&gt;""),E832+ROW()/100000,"")</f>
        <v/>
      </c>
      <c r="M832" s="32" t="str">
        <f aca="false">IF(D832="Planned",ROW(),"")</f>
        <v/>
      </c>
      <c r="N832" s="32" t="str">
        <f aca="true">IF(K832=1,IF(E832="",0,TODAY()-E832)+ROW()/100000,"")</f>
        <v/>
      </c>
      <c r="O832" s="32" t="str">
        <f aca="false">IF(N832="","",RANK(N832,$N$2:$N$1000))</f>
        <v/>
      </c>
    </row>
    <row r="833" customFormat="false" ht="15" hidden="false" customHeight="false" outlineLevel="0" collapsed="false">
      <c r="A833" s="33"/>
      <c r="B833" s="33"/>
      <c r="C833" s="33"/>
      <c r="D833" s="33"/>
      <c r="E833" s="34"/>
      <c r="F833" s="34"/>
      <c r="G833" s="35" t="str">
        <f aca="true">IF(OR(E833="",J833=0),"",IF(F833&lt;&gt;"",F833-E833,TODAY()-E833))</f>
        <v/>
      </c>
      <c r="H833" s="29"/>
      <c r="I833" s="33"/>
      <c r="J833" s="32" t="n">
        <f aca="false">IF(OR(D833="",D833="Planned"),0,1)</f>
        <v>0</v>
      </c>
      <c r="K833" s="32" t="n">
        <f aca="false">IF(OR(D833="Under review",D833="Revision requested"),1,0)</f>
        <v>0</v>
      </c>
      <c r="L833" s="32" t="str">
        <f aca="false">IF(AND(J833=1,E833&lt;&gt;""),E833+ROW()/100000,"")</f>
        <v/>
      </c>
      <c r="M833" s="32" t="str">
        <f aca="false">IF(D833="Planned",ROW(),"")</f>
        <v/>
      </c>
      <c r="N833" s="32" t="str">
        <f aca="true">IF(K833=1,IF(E833="",0,TODAY()-E833)+ROW()/100000,"")</f>
        <v/>
      </c>
      <c r="O833" s="32" t="str">
        <f aca="false">IF(N833="","",RANK(N833,$N$2:$N$1000))</f>
        <v/>
      </c>
    </row>
    <row r="834" customFormat="false" ht="15" hidden="false" customHeight="false" outlineLevel="0" collapsed="false">
      <c r="A834" s="33"/>
      <c r="B834" s="33"/>
      <c r="C834" s="33"/>
      <c r="D834" s="33"/>
      <c r="E834" s="34"/>
      <c r="F834" s="34"/>
      <c r="G834" s="35" t="str">
        <f aca="true">IF(OR(E834="",J834=0),"",IF(F834&lt;&gt;"",F834-E834,TODAY()-E834))</f>
        <v/>
      </c>
      <c r="H834" s="29"/>
      <c r="I834" s="33"/>
      <c r="J834" s="32" t="n">
        <f aca="false">IF(OR(D834="",D834="Planned"),0,1)</f>
        <v>0</v>
      </c>
      <c r="K834" s="32" t="n">
        <f aca="false">IF(OR(D834="Under review",D834="Revision requested"),1,0)</f>
        <v>0</v>
      </c>
      <c r="L834" s="32" t="str">
        <f aca="false">IF(AND(J834=1,E834&lt;&gt;""),E834+ROW()/100000,"")</f>
        <v/>
      </c>
      <c r="M834" s="32" t="str">
        <f aca="false">IF(D834="Planned",ROW(),"")</f>
        <v/>
      </c>
      <c r="N834" s="32" t="str">
        <f aca="true">IF(K834=1,IF(E834="",0,TODAY()-E834)+ROW()/100000,"")</f>
        <v/>
      </c>
      <c r="O834" s="32" t="str">
        <f aca="false">IF(N834="","",RANK(N834,$N$2:$N$1000))</f>
        <v/>
      </c>
    </row>
    <row r="835" customFormat="false" ht="15" hidden="false" customHeight="false" outlineLevel="0" collapsed="false">
      <c r="A835" s="33"/>
      <c r="B835" s="33"/>
      <c r="C835" s="33"/>
      <c r="D835" s="33"/>
      <c r="E835" s="34"/>
      <c r="F835" s="34"/>
      <c r="G835" s="35" t="str">
        <f aca="true">IF(OR(E835="",J835=0),"",IF(F835&lt;&gt;"",F835-E835,TODAY()-E835))</f>
        <v/>
      </c>
      <c r="H835" s="29"/>
      <c r="I835" s="33"/>
      <c r="J835" s="32" t="n">
        <f aca="false">IF(OR(D835="",D835="Planned"),0,1)</f>
        <v>0</v>
      </c>
      <c r="K835" s="32" t="n">
        <f aca="false">IF(OR(D835="Under review",D835="Revision requested"),1,0)</f>
        <v>0</v>
      </c>
      <c r="L835" s="32" t="str">
        <f aca="false">IF(AND(J835=1,E835&lt;&gt;""),E835+ROW()/100000,"")</f>
        <v/>
      </c>
      <c r="M835" s="32" t="str">
        <f aca="false">IF(D835="Planned",ROW(),"")</f>
        <v/>
      </c>
      <c r="N835" s="32" t="str">
        <f aca="true">IF(K835=1,IF(E835="",0,TODAY()-E835)+ROW()/100000,"")</f>
        <v/>
      </c>
      <c r="O835" s="32" t="str">
        <f aca="false">IF(N835="","",RANK(N835,$N$2:$N$1000))</f>
        <v/>
      </c>
    </row>
    <row r="836" customFormat="false" ht="15" hidden="false" customHeight="false" outlineLevel="0" collapsed="false">
      <c r="A836" s="33"/>
      <c r="B836" s="33"/>
      <c r="C836" s="33"/>
      <c r="D836" s="33"/>
      <c r="E836" s="34"/>
      <c r="F836" s="34"/>
      <c r="G836" s="35" t="str">
        <f aca="true">IF(OR(E836="",J836=0),"",IF(F836&lt;&gt;"",F836-E836,TODAY()-E836))</f>
        <v/>
      </c>
      <c r="H836" s="29"/>
      <c r="I836" s="33"/>
      <c r="J836" s="32" t="n">
        <f aca="false">IF(OR(D836="",D836="Planned"),0,1)</f>
        <v>0</v>
      </c>
      <c r="K836" s="32" t="n">
        <f aca="false">IF(OR(D836="Under review",D836="Revision requested"),1,0)</f>
        <v>0</v>
      </c>
      <c r="L836" s="32" t="str">
        <f aca="false">IF(AND(J836=1,E836&lt;&gt;""),E836+ROW()/100000,"")</f>
        <v/>
      </c>
      <c r="M836" s="32" t="str">
        <f aca="false">IF(D836="Planned",ROW(),"")</f>
        <v/>
      </c>
      <c r="N836" s="32" t="str">
        <f aca="true">IF(K836=1,IF(E836="",0,TODAY()-E836)+ROW()/100000,"")</f>
        <v/>
      </c>
      <c r="O836" s="32" t="str">
        <f aca="false">IF(N836="","",RANK(N836,$N$2:$N$1000))</f>
        <v/>
      </c>
    </row>
    <row r="837" customFormat="false" ht="15" hidden="false" customHeight="false" outlineLevel="0" collapsed="false">
      <c r="A837" s="33"/>
      <c r="B837" s="33"/>
      <c r="C837" s="33"/>
      <c r="D837" s="33"/>
      <c r="E837" s="34"/>
      <c r="F837" s="34"/>
      <c r="G837" s="35" t="str">
        <f aca="true">IF(OR(E837="",J837=0),"",IF(F837&lt;&gt;"",F837-E837,TODAY()-E837))</f>
        <v/>
      </c>
      <c r="H837" s="29"/>
      <c r="I837" s="33"/>
      <c r="J837" s="32" t="n">
        <f aca="false">IF(OR(D837="",D837="Planned"),0,1)</f>
        <v>0</v>
      </c>
      <c r="K837" s="32" t="n">
        <f aca="false">IF(OR(D837="Under review",D837="Revision requested"),1,0)</f>
        <v>0</v>
      </c>
      <c r="L837" s="32" t="str">
        <f aca="false">IF(AND(J837=1,E837&lt;&gt;""),E837+ROW()/100000,"")</f>
        <v/>
      </c>
      <c r="M837" s="32" t="str">
        <f aca="false">IF(D837="Planned",ROW(),"")</f>
        <v/>
      </c>
      <c r="N837" s="32" t="str">
        <f aca="true">IF(K837=1,IF(E837="",0,TODAY()-E837)+ROW()/100000,"")</f>
        <v/>
      </c>
      <c r="O837" s="32" t="str">
        <f aca="false">IF(N837="","",RANK(N837,$N$2:$N$1000))</f>
        <v/>
      </c>
    </row>
    <row r="838" customFormat="false" ht="15" hidden="false" customHeight="false" outlineLevel="0" collapsed="false">
      <c r="A838" s="33"/>
      <c r="B838" s="33"/>
      <c r="C838" s="33"/>
      <c r="D838" s="33"/>
      <c r="E838" s="34"/>
      <c r="F838" s="34"/>
      <c r="G838" s="35" t="str">
        <f aca="true">IF(OR(E838="",J838=0),"",IF(F838&lt;&gt;"",F838-E838,TODAY()-E838))</f>
        <v/>
      </c>
      <c r="H838" s="29"/>
      <c r="I838" s="33"/>
      <c r="J838" s="32" t="n">
        <f aca="false">IF(OR(D838="",D838="Planned"),0,1)</f>
        <v>0</v>
      </c>
      <c r="K838" s="32" t="n">
        <f aca="false">IF(OR(D838="Under review",D838="Revision requested"),1,0)</f>
        <v>0</v>
      </c>
      <c r="L838" s="32" t="str">
        <f aca="false">IF(AND(J838=1,E838&lt;&gt;""),E838+ROW()/100000,"")</f>
        <v/>
      </c>
      <c r="M838" s="32" t="str">
        <f aca="false">IF(D838="Planned",ROW(),"")</f>
        <v/>
      </c>
      <c r="N838" s="32" t="str">
        <f aca="true">IF(K838=1,IF(E838="",0,TODAY()-E838)+ROW()/100000,"")</f>
        <v/>
      </c>
      <c r="O838" s="32" t="str">
        <f aca="false">IF(N838="","",RANK(N838,$N$2:$N$1000))</f>
        <v/>
      </c>
    </row>
    <row r="839" customFormat="false" ht="15" hidden="false" customHeight="false" outlineLevel="0" collapsed="false">
      <c r="A839" s="33"/>
      <c r="B839" s="33"/>
      <c r="C839" s="33"/>
      <c r="D839" s="33"/>
      <c r="E839" s="34"/>
      <c r="F839" s="34"/>
      <c r="G839" s="35" t="str">
        <f aca="true">IF(OR(E839="",J839=0),"",IF(F839&lt;&gt;"",F839-E839,TODAY()-E839))</f>
        <v/>
      </c>
      <c r="H839" s="29"/>
      <c r="I839" s="33"/>
      <c r="J839" s="32" t="n">
        <f aca="false">IF(OR(D839="",D839="Planned"),0,1)</f>
        <v>0</v>
      </c>
      <c r="K839" s="32" t="n">
        <f aca="false">IF(OR(D839="Under review",D839="Revision requested"),1,0)</f>
        <v>0</v>
      </c>
      <c r="L839" s="32" t="str">
        <f aca="false">IF(AND(J839=1,E839&lt;&gt;""),E839+ROW()/100000,"")</f>
        <v/>
      </c>
      <c r="M839" s="32" t="str">
        <f aca="false">IF(D839="Planned",ROW(),"")</f>
        <v/>
      </c>
      <c r="N839" s="32" t="str">
        <f aca="true">IF(K839=1,IF(E839="",0,TODAY()-E839)+ROW()/100000,"")</f>
        <v/>
      </c>
      <c r="O839" s="32" t="str">
        <f aca="false">IF(N839="","",RANK(N839,$N$2:$N$1000))</f>
        <v/>
      </c>
    </row>
    <row r="840" customFormat="false" ht="15" hidden="false" customHeight="false" outlineLevel="0" collapsed="false">
      <c r="A840" s="33"/>
      <c r="B840" s="33"/>
      <c r="C840" s="33"/>
      <c r="D840" s="33"/>
      <c r="E840" s="34"/>
      <c r="F840" s="34"/>
      <c r="G840" s="35" t="str">
        <f aca="true">IF(OR(E840="",J840=0),"",IF(F840&lt;&gt;"",F840-E840,TODAY()-E840))</f>
        <v/>
      </c>
      <c r="H840" s="29"/>
      <c r="I840" s="33"/>
      <c r="J840" s="32" t="n">
        <f aca="false">IF(OR(D840="",D840="Planned"),0,1)</f>
        <v>0</v>
      </c>
      <c r="K840" s="32" t="n">
        <f aca="false">IF(OR(D840="Under review",D840="Revision requested"),1,0)</f>
        <v>0</v>
      </c>
      <c r="L840" s="32" t="str">
        <f aca="false">IF(AND(J840=1,E840&lt;&gt;""),E840+ROW()/100000,"")</f>
        <v/>
      </c>
      <c r="M840" s="32" t="str">
        <f aca="false">IF(D840="Planned",ROW(),"")</f>
        <v/>
      </c>
      <c r="N840" s="32" t="str">
        <f aca="true">IF(K840=1,IF(E840="",0,TODAY()-E840)+ROW()/100000,"")</f>
        <v/>
      </c>
      <c r="O840" s="32" t="str">
        <f aca="false">IF(N840="","",RANK(N840,$N$2:$N$1000))</f>
        <v/>
      </c>
    </row>
    <row r="841" customFormat="false" ht="15" hidden="false" customHeight="false" outlineLevel="0" collapsed="false">
      <c r="A841" s="33"/>
      <c r="B841" s="33"/>
      <c r="C841" s="33"/>
      <c r="D841" s="33"/>
      <c r="E841" s="34"/>
      <c r="F841" s="34"/>
      <c r="G841" s="35" t="str">
        <f aca="true">IF(OR(E841="",J841=0),"",IF(F841&lt;&gt;"",F841-E841,TODAY()-E841))</f>
        <v/>
      </c>
      <c r="H841" s="29"/>
      <c r="I841" s="33"/>
      <c r="J841" s="32" t="n">
        <f aca="false">IF(OR(D841="",D841="Planned"),0,1)</f>
        <v>0</v>
      </c>
      <c r="K841" s="32" t="n">
        <f aca="false">IF(OR(D841="Under review",D841="Revision requested"),1,0)</f>
        <v>0</v>
      </c>
      <c r="L841" s="32" t="str">
        <f aca="false">IF(AND(J841=1,E841&lt;&gt;""),E841+ROW()/100000,"")</f>
        <v/>
      </c>
      <c r="M841" s="32" t="str">
        <f aca="false">IF(D841="Planned",ROW(),"")</f>
        <v/>
      </c>
      <c r="N841" s="32" t="str">
        <f aca="true">IF(K841=1,IF(E841="",0,TODAY()-E841)+ROW()/100000,"")</f>
        <v/>
      </c>
      <c r="O841" s="32" t="str">
        <f aca="false">IF(N841="","",RANK(N841,$N$2:$N$1000))</f>
        <v/>
      </c>
    </row>
    <row r="842" customFormat="false" ht="15" hidden="false" customHeight="false" outlineLevel="0" collapsed="false">
      <c r="A842" s="33"/>
      <c r="B842" s="33"/>
      <c r="C842" s="33"/>
      <c r="D842" s="33"/>
      <c r="E842" s="34"/>
      <c r="F842" s="34"/>
      <c r="G842" s="35" t="str">
        <f aca="true">IF(OR(E842="",J842=0),"",IF(F842&lt;&gt;"",F842-E842,TODAY()-E842))</f>
        <v/>
      </c>
      <c r="H842" s="29"/>
      <c r="I842" s="33"/>
      <c r="J842" s="32" t="n">
        <f aca="false">IF(OR(D842="",D842="Planned"),0,1)</f>
        <v>0</v>
      </c>
      <c r="K842" s="32" t="n">
        <f aca="false">IF(OR(D842="Under review",D842="Revision requested"),1,0)</f>
        <v>0</v>
      </c>
      <c r="L842" s="32" t="str">
        <f aca="false">IF(AND(J842=1,E842&lt;&gt;""),E842+ROW()/100000,"")</f>
        <v/>
      </c>
      <c r="M842" s="32" t="str">
        <f aca="false">IF(D842="Planned",ROW(),"")</f>
        <v/>
      </c>
      <c r="N842" s="32" t="str">
        <f aca="true">IF(K842=1,IF(E842="",0,TODAY()-E842)+ROW()/100000,"")</f>
        <v/>
      </c>
      <c r="O842" s="32" t="str">
        <f aca="false">IF(N842="","",RANK(N842,$N$2:$N$1000))</f>
        <v/>
      </c>
    </row>
    <row r="843" customFormat="false" ht="15" hidden="false" customHeight="false" outlineLevel="0" collapsed="false">
      <c r="A843" s="33"/>
      <c r="B843" s="33"/>
      <c r="C843" s="33"/>
      <c r="D843" s="33"/>
      <c r="E843" s="34"/>
      <c r="F843" s="34"/>
      <c r="G843" s="35" t="str">
        <f aca="true">IF(OR(E843="",J843=0),"",IF(F843&lt;&gt;"",F843-E843,TODAY()-E843))</f>
        <v/>
      </c>
      <c r="H843" s="29"/>
      <c r="I843" s="33"/>
      <c r="J843" s="32" t="n">
        <f aca="false">IF(OR(D843="",D843="Planned"),0,1)</f>
        <v>0</v>
      </c>
      <c r="K843" s="32" t="n">
        <f aca="false">IF(OR(D843="Under review",D843="Revision requested"),1,0)</f>
        <v>0</v>
      </c>
      <c r="L843" s="32" t="str">
        <f aca="false">IF(AND(J843=1,E843&lt;&gt;""),E843+ROW()/100000,"")</f>
        <v/>
      </c>
      <c r="M843" s="32" t="str">
        <f aca="false">IF(D843="Planned",ROW(),"")</f>
        <v/>
      </c>
      <c r="N843" s="32" t="str">
        <f aca="true">IF(K843=1,IF(E843="",0,TODAY()-E843)+ROW()/100000,"")</f>
        <v/>
      </c>
      <c r="O843" s="32" t="str">
        <f aca="false">IF(N843="","",RANK(N843,$N$2:$N$1000))</f>
        <v/>
      </c>
    </row>
    <row r="844" customFormat="false" ht="15" hidden="false" customHeight="false" outlineLevel="0" collapsed="false">
      <c r="A844" s="33"/>
      <c r="B844" s="33"/>
      <c r="C844" s="33"/>
      <c r="D844" s="33"/>
      <c r="E844" s="34"/>
      <c r="F844" s="34"/>
      <c r="G844" s="35" t="str">
        <f aca="true">IF(OR(E844="",J844=0),"",IF(F844&lt;&gt;"",F844-E844,TODAY()-E844))</f>
        <v/>
      </c>
      <c r="H844" s="29"/>
      <c r="I844" s="33"/>
      <c r="J844" s="32" t="n">
        <f aca="false">IF(OR(D844="",D844="Planned"),0,1)</f>
        <v>0</v>
      </c>
      <c r="K844" s="32" t="n">
        <f aca="false">IF(OR(D844="Under review",D844="Revision requested"),1,0)</f>
        <v>0</v>
      </c>
      <c r="L844" s="32" t="str">
        <f aca="false">IF(AND(J844=1,E844&lt;&gt;""),E844+ROW()/100000,"")</f>
        <v/>
      </c>
      <c r="M844" s="32" t="str">
        <f aca="false">IF(D844="Planned",ROW(),"")</f>
        <v/>
      </c>
      <c r="N844" s="32" t="str">
        <f aca="true">IF(K844=1,IF(E844="",0,TODAY()-E844)+ROW()/100000,"")</f>
        <v/>
      </c>
      <c r="O844" s="32" t="str">
        <f aca="false">IF(N844="","",RANK(N844,$N$2:$N$1000))</f>
        <v/>
      </c>
    </row>
    <row r="845" customFormat="false" ht="15" hidden="false" customHeight="false" outlineLevel="0" collapsed="false">
      <c r="A845" s="33"/>
      <c r="B845" s="33"/>
      <c r="C845" s="33"/>
      <c r="D845" s="33"/>
      <c r="E845" s="34"/>
      <c r="F845" s="34"/>
      <c r="G845" s="35" t="str">
        <f aca="true">IF(OR(E845="",J845=0),"",IF(F845&lt;&gt;"",F845-E845,TODAY()-E845))</f>
        <v/>
      </c>
      <c r="H845" s="29"/>
      <c r="I845" s="33"/>
      <c r="J845" s="32" t="n">
        <f aca="false">IF(OR(D845="",D845="Planned"),0,1)</f>
        <v>0</v>
      </c>
      <c r="K845" s="32" t="n">
        <f aca="false">IF(OR(D845="Under review",D845="Revision requested"),1,0)</f>
        <v>0</v>
      </c>
      <c r="L845" s="32" t="str">
        <f aca="false">IF(AND(J845=1,E845&lt;&gt;""),E845+ROW()/100000,"")</f>
        <v/>
      </c>
      <c r="M845" s="32" t="str">
        <f aca="false">IF(D845="Planned",ROW(),"")</f>
        <v/>
      </c>
      <c r="N845" s="32" t="str">
        <f aca="true">IF(K845=1,IF(E845="",0,TODAY()-E845)+ROW()/100000,"")</f>
        <v/>
      </c>
      <c r="O845" s="32" t="str">
        <f aca="false">IF(N845="","",RANK(N845,$N$2:$N$1000))</f>
        <v/>
      </c>
    </row>
    <row r="846" customFormat="false" ht="15" hidden="false" customHeight="false" outlineLevel="0" collapsed="false">
      <c r="A846" s="33"/>
      <c r="B846" s="33"/>
      <c r="C846" s="33"/>
      <c r="D846" s="33"/>
      <c r="E846" s="34"/>
      <c r="F846" s="34"/>
      <c r="G846" s="35" t="str">
        <f aca="true">IF(OR(E846="",J846=0),"",IF(F846&lt;&gt;"",F846-E846,TODAY()-E846))</f>
        <v/>
      </c>
      <c r="H846" s="29"/>
      <c r="I846" s="33"/>
      <c r="J846" s="32" t="n">
        <f aca="false">IF(OR(D846="",D846="Planned"),0,1)</f>
        <v>0</v>
      </c>
      <c r="K846" s="32" t="n">
        <f aca="false">IF(OR(D846="Under review",D846="Revision requested"),1,0)</f>
        <v>0</v>
      </c>
      <c r="L846" s="32" t="str">
        <f aca="false">IF(AND(J846=1,E846&lt;&gt;""),E846+ROW()/100000,"")</f>
        <v/>
      </c>
      <c r="M846" s="32" t="str">
        <f aca="false">IF(D846="Planned",ROW(),"")</f>
        <v/>
      </c>
      <c r="N846" s="32" t="str">
        <f aca="true">IF(K846=1,IF(E846="",0,TODAY()-E846)+ROW()/100000,"")</f>
        <v/>
      </c>
      <c r="O846" s="32" t="str">
        <f aca="false">IF(N846="","",RANK(N846,$N$2:$N$1000))</f>
        <v/>
      </c>
    </row>
    <row r="847" customFormat="false" ht="15" hidden="false" customHeight="false" outlineLevel="0" collapsed="false">
      <c r="A847" s="33"/>
      <c r="B847" s="33"/>
      <c r="C847" s="33"/>
      <c r="D847" s="33"/>
      <c r="E847" s="34"/>
      <c r="F847" s="34"/>
      <c r="G847" s="35" t="str">
        <f aca="true">IF(OR(E847="",J847=0),"",IF(F847&lt;&gt;"",F847-E847,TODAY()-E847))</f>
        <v/>
      </c>
      <c r="H847" s="29"/>
      <c r="I847" s="33"/>
      <c r="J847" s="32" t="n">
        <f aca="false">IF(OR(D847="",D847="Planned"),0,1)</f>
        <v>0</v>
      </c>
      <c r="K847" s="32" t="n">
        <f aca="false">IF(OR(D847="Under review",D847="Revision requested"),1,0)</f>
        <v>0</v>
      </c>
      <c r="L847" s="32" t="str">
        <f aca="false">IF(AND(J847=1,E847&lt;&gt;""),E847+ROW()/100000,"")</f>
        <v/>
      </c>
      <c r="M847" s="32" t="str">
        <f aca="false">IF(D847="Planned",ROW(),"")</f>
        <v/>
      </c>
      <c r="N847" s="32" t="str">
        <f aca="true">IF(K847=1,IF(E847="",0,TODAY()-E847)+ROW()/100000,"")</f>
        <v/>
      </c>
      <c r="O847" s="32" t="str">
        <f aca="false">IF(N847="","",RANK(N847,$N$2:$N$1000))</f>
        <v/>
      </c>
    </row>
    <row r="848" customFormat="false" ht="15" hidden="false" customHeight="false" outlineLevel="0" collapsed="false">
      <c r="A848" s="33"/>
      <c r="B848" s="33"/>
      <c r="C848" s="33"/>
      <c r="D848" s="33"/>
      <c r="E848" s="34"/>
      <c r="F848" s="34"/>
      <c r="G848" s="35" t="str">
        <f aca="true">IF(OR(E848="",J848=0),"",IF(F848&lt;&gt;"",F848-E848,TODAY()-E848))</f>
        <v/>
      </c>
      <c r="H848" s="29"/>
      <c r="I848" s="33"/>
      <c r="J848" s="32" t="n">
        <f aca="false">IF(OR(D848="",D848="Planned"),0,1)</f>
        <v>0</v>
      </c>
      <c r="K848" s="32" t="n">
        <f aca="false">IF(OR(D848="Under review",D848="Revision requested"),1,0)</f>
        <v>0</v>
      </c>
      <c r="L848" s="32" t="str">
        <f aca="false">IF(AND(J848=1,E848&lt;&gt;""),E848+ROW()/100000,"")</f>
        <v/>
      </c>
      <c r="M848" s="32" t="str">
        <f aca="false">IF(D848="Planned",ROW(),"")</f>
        <v/>
      </c>
      <c r="N848" s="32" t="str">
        <f aca="true">IF(K848=1,IF(E848="",0,TODAY()-E848)+ROW()/100000,"")</f>
        <v/>
      </c>
      <c r="O848" s="32" t="str">
        <f aca="false">IF(N848="","",RANK(N848,$N$2:$N$1000))</f>
        <v/>
      </c>
    </row>
    <row r="849" customFormat="false" ht="15" hidden="false" customHeight="false" outlineLevel="0" collapsed="false">
      <c r="A849" s="33"/>
      <c r="B849" s="33"/>
      <c r="C849" s="33"/>
      <c r="D849" s="33"/>
      <c r="E849" s="34"/>
      <c r="F849" s="34"/>
      <c r="G849" s="35" t="str">
        <f aca="true">IF(OR(E849="",J849=0),"",IF(F849&lt;&gt;"",F849-E849,TODAY()-E849))</f>
        <v/>
      </c>
      <c r="H849" s="29"/>
      <c r="I849" s="33"/>
      <c r="J849" s="32" t="n">
        <f aca="false">IF(OR(D849="",D849="Planned"),0,1)</f>
        <v>0</v>
      </c>
      <c r="K849" s="32" t="n">
        <f aca="false">IF(OR(D849="Under review",D849="Revision requested"),1,0)</f>
        <v>0</v>
      </c>
      <c r="L849" s="32" t="str">
        <f aca="false">IF(AND(J849=1,E849&lt;&gt;""),E849+ROW()/100000,"")</f>
        <v/>
      </c>
      <c r="M849" s="32" t="str">
        <f aca="false">IF(D849="Planned",ROW(),"")</f>
        <v/>
      </c>
      <c r="N849" s="32" t="str">
        <f aca="true">IF(K849=1,IF(E849="",0,TODAY()-E849)+ROW()/100000,"")</f>
        <v/>
      </c>
      <c r="O849" s="32" t="str">
        <f aca="false">IF(N849="","",RANK(N849,$N$2:$N$1000))</f>
        <v/>
      </c>
    </row>
    <row r="850" customFormat="false" ht="15" hidden="false" customHeight="false" outlineLevel="0" collapsed="false">
      <c r="A850" s="33"/>
      <c r="B850" s="33"/>
      <c r="C850" s="33"/>
      <c r="D850" s="33"/>
      <c r="E850" s="34"/>
      <c r="F850" s="34"/>
      <c r="G850" s="35" t="str">
        <f aca="true">IF(OR(E850="",J850=0),"",IF(F850&lt;&gt;"",F850-E850,TODAY()-E850))</f>
        <v/>
      </c>
      <c r="H850" s="29"/>
      <c r="I850" s="33"/>
      <c r="J850" s="32" t="n">
        <f aca="false">IF(OR(D850="",D850="Planned"),0,1)</f>
        <v>0</v>
      </c>
      <c r="K850" s="32" t="n">
        <f aca="false">IF(OR(D850="Under review",D850="Revision requested"),1,0)</f>
        <v>0</v>
      </c>
      <c r="L850" s="32" t="str">
        <f aca="false">IF(AND(J850=1,E850&lt;&gt;""),E850+ROW()/100000,"")</f>
        <v/>
      </c>
      <c r="M850" s="32" t="str">
        <f aca="false">IF(D850="Planned",ROW(),"")</f>
        <v/>
      </c>
      <c r="N850" s="32" t="str">
        <f aca="true">IF(K850=1,IF(E850="",0,TODAY()-E850)+ROW()/100000,"")</f>
        <v/>
      </c>
      <c r="O850" s="32" t="str">
        <f aca="false">IF(N850="","",RANK(N850,$N$2:$N$1000))</f>
        <v/>
      </c>
    </row>
    <row r="851" customFormat="false" ht="15" hidden="false" customHeight="false" outlineLevel="0" collapsed="false">
      <c r="A851" s="33"/>
      <c r="B851" s="33"/>
      <c r="C851" s="33"/>
      <c r="D851" s="33"/>
      <c r="E851" s="34"/>
      <c r="F851" s="34"/>
      <c r="G851" s="35" t="str">
        <f aca="true">IF(OR(E851="",J851=0),"",IF(F851&lt;&gt;"",F851-E851,TODAY()-E851))</f>
        <v/>
      </c>
      <c r="H851" s="29"/>
      <c r="I851" s="33"/>
      <c r="J851" s="32" t="n">
        <f aca="false">IF(OR(D851="",D851="Planned"),0,1)</f>
        <v>0</v>
      </c>
      <c r="K851" s="32" t="n">
        <f aca="false">IF(OR(D851="Under review",D851="Revision requested"),1,0)</f>
        <v>0</v>
      </c>
      <c r="L851" s="32" t="str">
        <f aca="false">IF(AND(J851=1,E851&lt;&gt;""),E851+ROW()/100000,"")</f>
        <v/>
      </c>
      <c r="M851" s="32" t="str">
        <f aca="false">IF(D851="Planned",ROW(),"")</f>
        <v/>
      </c>
      <c r="N851" s="32" t="str">
        <f aca="true">IF(K851=1,IF(E851="",0,TODAY()-E851)+ROW()/100000,"")</f>
        <v/>
      </c>
      <c r="O851" s="32" t="str">
        <f aca="false">IF(N851="","",RANK(N851,$N$2:$N$1000))</f>
        <v/>
      </c>
    </row>
    <row r="852" customFormat="false" ht="15" hidden="false" customHeight="false" outlineLevel="0" collapsed="false">
      <c r="A852" s="33"/>
      <c r="B852" s="33"/>
      <c r="C852" s="33"/>
      <c r="D852" s="33"/>
      <c r="E852" s="34"/>
      <c r="F852" s="34"/>
      <c r="G852" s="35" t="str">
        <f aca="true">IF(OR(E852="",J852=0),"",IF(F852&lt;&gt;"",F852-E852,TODAY()-E852))</f>
        <v/>
      </c>
      <c r="H852" s="29"/>
      <c r="I852" s="33"/>
      <c r="J852" s="32" t="n">
        <f aca="false">IF(OR(D852="",D852="Planned"),0,1)</f>
        <v>0</v>
      </c>
      <c r="K852" s="32" t="n">
        <f aca="false">IF(OR(D852="Under review",D852="Revision requested"),1,0)</f>
        <v>0</v>
      </c>
      <c r="L852" s="32" t="str">
        <f aca="false">IF(AND(J852=1,E852&lt;&gt;""),E852+ROW()/100000,"")</f>
        <v/>
      </c>
      <c r="M852" s="32" t="str">
        <f aca="false">IF(D852="Planned",ROW(),"")</f>
        <v/>
      </c>
      <c r="N852" s="32" t="str">
        <f aca="true">IF(K852=1,IF(E852="",0,TODAY()-E852)+ROW()/100000,"")</f>
        <v/>
      </c>
      <c r="O852" s="32" t="str">
        <f aca="false">IF(N852="","",RANK(N852,$N$2:$N$1000))</f>
        <v/>
      </c>
    </row>
    <row r="853" customFormat="false" ht="15" hidden="false" customHeight="false" outlineLevel="0" collapsed="false">
      <c r="A853" s="33"/>
      <c r="B853" s="33"/>
      <c r="C853" s="33"/>
      <c r="D853" s="33"/>
      <c r="E853" s="34"/>
      <c r="F853" s="34"/>
      <c r="G853" s="35" t="str">
        <f aca="true">IF(OR(E853="",J853=0),"",IF(F853&lt;&gt;"",F853-E853,TODAY()-E853))</f>
        <v/>
      </c>
      <c r="H853" s="29"/>
      <c r="I853" s="33"/>
      <c r="J853" s="32" t="n">
        <f aca="false">IF(OR(D853="",D853="Planned"),0,1)</f>
        <v>0</v>
      </c>
      <c r="K853" s="32" t="n">
        <f aca="false">IF(OR(D853="Under review",D853="Revision requested"),1,0)</f>
        <v>0</v>
      </c>
      <c r="L853" s="32" t="str">
        <f aca="false">IF(AND(J853=1,E853&lt;&gt;""),E853+ROW()/100000,"")</f>
        <v/>
      </c>
      <c r="M853" s="32" t="str">
        <f aca="false">IF(D853="Planned",ROW(),"")</f>
        <v/>
      </c>
      <c r="N853" s="32" t="str">
        <f aca="true">IF(K853=1,IF(E853="",0,TODAY()-E853)+ROW()/100000,"")</f>
        <v/>
      </c>
      <c r="O853" s="32" t="str">
        <f aca="false">IF(N853="","",RANK(N853,$N$2:$N$1000))</f>
        <v/>
      </c>
    </row>
    <row r="854" customFormat="false" ht="15" hidden="false" customHeight="false" outlineLevel="0" collapsed="false">
      <c r="A854" s="33"/>
      <c r="B854" s="33"/>
      <c r="C854" s="33"/>
      <c r="D854" s="33"/>
      <c r="E854" s="34"/>
      <c r="F854" s="34"/>
      <c r="G854" s="35" t="str">
        <f aca="true">IF(OR(E854="",J854=0),"",IF(F854&lt;&gt;"",F854-E854,TODAY()-E854))</f>
        <v/>
      </c>
      <c r="H854" s="29"/>
      <c r="I854" s="33"/>
      <c r="J854" s="32" t="n">
        <f aca="false">IF(OR(D854="",D854="Planned"),0,1)</f>
        <v>0</v>
      </c>
      <c r="K854" s="32" t="n">
        <f aca="false">IF(OR(D854="Under review",D854="Revision requested"),1,0)</f>
        <v>0</v>
      </c>
      <c r="L854" s="32" t="str">
        <f aca="false">IF(AND(J854=1,E854&lt;&gt;""),E854+ROW()/100000,"")</f>
        <v/>
      </c>
      <c r="M854" s="32" t="str">
        <f aca="false">IF(D854="Planned",ROW(),"")</f>
        <v/>
      </c>
      <c r="N854" s="32" t="str">
        <f aca="true">IF(K854=1,IF(E854="",0,TODAY()-E854)+ROW()/100000,"")</f>
        <v/>
      </c>
      <c r="O854" s="32" t="str">
        <f aca="false">IF(N854="","",RANK(N854,$N$2:$N$1000))</f>
        <v/>
      </c>
    </row>
    <row r="855" customFormat="false" ht="15" hidden="false" customHeight="false" outlineLevel="0" collapsed="false">
      <c r="A855" s="33"/>
      <c r="B855" s="33"/>
      <c r="C855" s="33"/>
      <c r="D855" s="33"/>
      <c r="E855" s="34"/>
      <c r="F855" s="34"/>
      <c r="G855" s="35" t="str">
        <f aca="true">IF(OR(E855="",J855=0),"",IF(F855&lt;&gt;"",F855-E855,TODAY()-E855))</f>
        <v/>
      </c>
      <c r="H855" s="29"/>
      <c r="I855" s="33"/>
      <c r="J855" s="32" t="n">
        <f aca="false">IF(OR(D855="",D855="Planned"),0,1)</f>
        <v>0</v>
      </c>
      <c r="K855" s="32" t="n">
        <f aca="false">IF(OR(D855="Under review",D855="Revision requested"),1,0)</f>
        <v>0</v>
      </c>
      <c r="L855" s="32" t="str">
        <f aca="false">IF(AND(J855=1,E855&lt;&gt;""),E855+ROW()/100000,"")</f>
        <v/>
      </c>
      <c r="M855" s="32" t="str">
        <f aca="false">IF(D855="Planned",ROW(),"")</f>
        <v/>
      </c>
      <c r="N855" s="32" t="str">
        <f aca="true">IF(K855=1,IF(E855="",0,TODAY()-E855)+ROW()/100000,"")</f>
        <v/>
      </c>
      <c r="O855" s="32" t="str">
        <f aca="false">IF(N855="","",RANK(N855,$N$2:$N$1000))</f>
        <v/>
      </c>
    </row>
    <row r="856" customFormat="false" ht="15" hidden="false" customHeight="false" outlineLevel="0" collapsed="false">
      <c r="A856" s="33"/>
      <c r="B856" s="33"/>
      <c r="C856" s="33"/>
      <c r="D856" s="33"/>
      <c r="E856" s="34"/>
      <c r="F856" s="34"/>
      <c r="G856" s="35" t="str">
        <f aca="true">IF(OR(E856="",J856=0),"",IF(F856&lt;&gt;"",F856-E856,TODAY()-E856))</f>
        <v/>
      </c>
      <c r="H856" s="29"/>
      <c r="I856" s="33"/>
      <c r="J856" s="32" t="n">
        <f aca="false">IF(OR(D856="",D856="Planned"),0,1)</f>
        <v>0</v>
      </c>
      <c r="K856" s="32" t="n">
        <f aca="false">IF(OR(D856="Under review",D856="Revision requested"),1,0)</f>
        <v>0</v>
      </c>
      <c r="L856" s="32" t="str">
        <f aca="false">IF(AND(J856=1,E856&lt;&gt;""),E856+ROW()/100000,"")</f>
        <v/>
      </c>
      <c r="M856" s="32" t="str">
        <f aca="false">IF(D856="Planned",ROW(),"")</f>
        <v/>
      </c>
      <c r="N856" s="32" t="str">
        <f aca="true">IF(K856=1,IF(E856="",0,TODAY()-E856)+ROW()/100000,"")</f>
        <v/>
      </c>
      <c r="O856" s="32" t="str">
        <f aca="false">IF(N856="","",RANK(N856,$N$2:$N$1000))</f>
        <v/>
      </c>
    </row>
    <row r="857" customFormat="false" ht="15" hidden="false" customHeight="false" outlineLevel="0" collapsed="false">
      <c r="A857" s="33"/>
      <c r="B857" s="33"/>
      <c r="C857" s="33"/>
      <c r="D857" s="33"/>
      <c r="E857" s="34"/>
      <c r="F857" s="34"/>
      <c r="G857" s="35" t="str">
        <f aca="true">IF(OR(E857="",J857=0),"",IF(F857&lt;&gt;"",F857-E857,TODAY()-E857))</f>
        <v/>
      </c>
      <c r="H857" s="29"/>
      <c r="I857" s="33"/>
      <c r="J857" s="32" t="n">
        <f aca="false">IF(OR(D857="",D857="Planned"),0,1)</f>
        <v>0</v>
      </c>
      <c r="K857" s="32" t="n">
        <f aca="false">IF(OR(D857="Under review",D857="Revision requested"),1,0)</f>
        <v>0</v>
      </c>
      <c r="L857" s="32" t="str">
        <f aca="false">IF(AND(J857=1,E857&lt;&gt;""),E857+ROW()/100000,"")</f>
        <v/>
      </c>
      <c r="M857" s="32" t="str">
        <f aca="false">IF(D857="Planned",ROW(),"")</f>
        <v/>
      </c>
      <c r="N857" s="32" t="str">
        <f aca="true">IF(K857=1,IF(E857="",0,TODAY()-E857)+ROW()/100000,"")</f>
        <v/>
      </c>
      <c r="O857" s="32" t="str">
        <f aca="false">IF(N857="","",RANK(N857,$N$2:$N$1000))</f>
        <v/>
      </c>
    </row>
    <row r="858" customFormat="false" ht="15" hidden="false" customHeight="false" outlineLevel="0" collapsed="false">
      <c r="A858" s="33"/>
      <c r="B858" s="33"/>
      <c r="C858" s="33"/>
      <c r="D858" s="33"/>
      <c r="E858" s="34"/>
      <c r="F858" s="34"/>
      <c r="G858" s="35" t="str">
        <f aca="true">IF(OR(E858="",J858=0),"",IF(F858&lt;&gt;"",F858-E858,TODAY()-E858))</f>
        <v/>
      </c>
      <c r="H858" s="29"/>
      <c r="I858" s="33"/>
      <c r="J858" s="32" t="n">
        <f aca="false">IF(OR(D858="",D858="Planned"),0,1)</f>
        <v>0</v>
      </c>
      <c r="K858" s="32" t="n">
        <f aca="false">IF(OR(D858="Under review",D858="Revision requested"),1,0)</f>
        <v>0</v>
      </c>
      <c r="L858" s="32" t="str">
        <f aca="false">IF(AND(J858=1,E858&lt;&gt;""),E858+ROW()/100000,"")</f>
        <v/>
      </c>
      <c r="M858" s="32" t="str">
        <f aca="false">IF(D858="Planned",ROW(),"")</f>
        <v/>
      </c>
      <c r="N858" s="32" t="str">
        <f aca="true">IF(K858=1,IF(E858="",0,TODAY()-E858)+ROW()/100000,"")</f>
        <v/>
      </c>
      <c r="O858" s="32" t="str">
        <f aca="false">IF(N858="","",RANK(N858,$N$2:$N$1000))</f>
        <v/>
      </c>
    </row>
    <row r="859" customFormat="false" ht="15" hidden="false" customHeight="false" outlineLevel="0" collapsed="false">
      <c r="A859" s="33"/>
      <c r="B859" s="33"/>
      <c r="C859" s="33"/>
      <c r="D859" s="33"/>
      <c r="E859" s="34"/>
      <c r="F859" s="34"/>
      <c r="G859" s="35" t="str">
        <f aca="true">IF(OR(E859="",J859=0),"",IF(F859&lt;&gt;"",F859-E859,TODAY()-E859))</f>
        <v/>
      </c>
      <c r="H859" s="29"/>
      <c r="I859" s="33"/>
      <c r="J859" s="32" t="n">
        <f aca="false">IF(OR(D859="",D859="Planned"),0,1)</f>
        <v>0</v>
      </c>
      <c r="K859" s="32" t="n">
        <f aca="false">IF(OR(D859="Under review",D859="Revision requested"),1,0)</f>
        <v>0</v>
      </c>
      <c r="L859" s="32" t="str">
        <f aca="false">IF(AND(J859=1,E859&lt;&gt;""),E859+ROW()/100000,"")</f>
        <v/>
      </c>
      <c r="M859" s="32" t="str">
        <f aca="false">IF(D859="Planned",ROW(),"")</f>
        <v/>
      </c>
      <c r="N859" s="32" t="str">
        <f aca="true">IF(K859=1,IF(E859="",0,TODAY()-E859)+ROW()/100000,"")</f>
        <v/>
      </c>
      <c r="O859" s="32" t="str">
        <f aca="false">IF(N859="","",RANK(N859,$N$2:$N$1000))</f>
        <v/>
      </c>
    </row>
    <row r="860" customFormat="false" ht="15" hidden="false" customHeight="false" outlineLevel="0" collapsed="false">
      <c r="A860" s="33"/>
      <c r="B860" s="33"/>
      <c r="C860" s="33"/>
      <c r="D860" s="33"/>
      <c r="E860" s="34"/>
      <c r="F860" s="34"/>
      <c r="G860" s="35" t="str">
        <f aca="true">IF(OR(E860="",J860=0),"",IF(F860&lt;&gt;"",F860-E860,TODAY()-E860))</f>
        <v/>
      </c>
      <c r="H860" s="29"/>
      <c r="I860" s="33"/>
      <c r="J860" s="32" t="n">
        <f aca="false">IF(OR(D860="",D860="Planned"),0,1)</f>
        <v>0</v>
      </c>
      <c r="K860" s="32" t="n">
        <f aca="false">IF(OR(D860="Under review",D860="Revision requested"),1,0)</f>
        <v>0</v>
      </c>
      <c r="L860" s="32" t="str">
        <f aca="false">IF(AND(J860=1,E860&lt;&gt;""),E860+ROW()/100000,"")</f>
        <v/>
      </c>
      <c r="M860" s="32" t="str">
        <f aca="false">IF(D860="Planned",ROW(),"")</f>
        <v/>
      </c>
      <c r="N860" s="32" t="str">
        <f aca="true">IF(K860=1,IF(E860="",0,TODAY()-E860)+ROW()/100000,"")</f>
        <v/>
      </c>
      <c r="O860" s="32" t="str">
        <f aca="false">IF(N860="","",RANK(N860,$N$2:$N$1000))</f>
        <v/>
      </c>
    </row>
    <row r="861" customFormat="false" ht="15" hidden="false" customHeight="false" outlineLevel="0" collapsed="false">
      <c r="A861" s="33"/>
      <c r="B861" s="33"/>
      <c r="C861" s="33"/>
      <c r="D861" s="33"/>
      <c r="E861" s="34"/>
      <c r="F861" s="34"/>
      <c r="G861" s="35" t="str">
        <f aca="true">IF(OR(E861="",J861=0),"",IF(F861&lt;&gt;"",F861-E861,TODAY()-E861))</f>
        <v/>
      </c>
      <c r="H861" s="29"/>
      <c r="I861" s="33"/>
      <c r="J861" s="32" t="n">
        <f aca="false">IF(OR(D861="",D861="Planned"),0,1)</f>
        <v>0</v>
      </c>
      <c r="K861" s="32" t="n">
        <f aca="false">IF(OR(D861="Under review",D861="Revision requested"),1,0)</f>
        <v>0</v>
      </c>
      <c r="L861" s="32" t="str">
        <f aca="false">IF(AND(J861=1,E861&lt;&gt;""),E861+ROW()/100000,"")</f>
        <v/>
      </c>
      <c r="M861" s="32" t="str">
        <f aca="false">IF(D861="Planned",ROW(),"")</f>
        <v/>
      </c>
      <c r="N861" s="32" t="str">
        <f aca="true">IF(K861=1,IF(E861="",0,TODAY()-E861)+ROW()/100000,"")</f>
        <v/>
      </c>
      <c r="O861" s="32" t="str">
        <f aca="false">IF(N861="","",RANK(N861,$N$2:$N$1000))</f>
        <v/>
      </c>
    </row>
    <row r="862" customFormat="false" ht="15" hidden="false" customHeight="false" outlineLevel="0" collapsed="false">
      <c r="A862" s="33"/>
      <c r="B862" s="33"/>
      <c r="C862" s="33"/>
      <c r="D862" s="33"/>
      <c r="E862" s="34"/>
      <c r="F862" s="34"/>
      <c r="G862" s="35" t="str">
        <f aca="true">IF(OR(E862="",J862=0),"",IF(F862&lt;&gt;"",F862-E862,TODAY()-E862))</f>
        <v/>
      </c>
      <c r="H862" s="29"/>
      <c r="I862" s="33"/>
      <c r="J862" s="32" t="n">
        <f aca="false">IF(OR(D862="",D862="Planned"),0,1)</f>
        <v>0</v>
      </c>
      <c r="K862" s="32" t="n">
        <f aca="false">IF(OR(D862="Under review",D862="Revision requested"),1,0)</f>
        <v>0</v>
      </c>
      <c r="L862" s="32" t="str">
        <f aca="false">IF(AND(J862=1,E862&lt;&gt;""),E862+ROW()/100000,"")</f>
        <v/>
      </c>
      <c r="M862" s="32" t="str">
        <f aca="false">IF(D862="Planned",ROW(),"")</f>
        <v/>
      </c>
      <c r="N862" s="32" t="str">
        <f aca="true">IF(K862=1,IF(E862="",0,TODAY()-E862)+ROW()/100000,"")</f>
        <v/>
      </c>
      <c r="O862" s="32" t="str">
        <f aca="false">IF(N862="","",RANK(N862,$N$2:$N$1000))</f>
        <v/>
      </c>
    </row>
    <row r="863" customFormat="false" ht="15" hidden="false" customHeight="false" outlineLevel="0" collapsed="false">
      <c r="A863" s="33"/>
      <c r="B863" s="33"/>
      <c r="C863" s="33"/>
      <c r="D863" s="33"/>
      <c r="E863" s="34"/>
      <c r="F863" s="34"/>
      <c r="G863" s="35" t="str">
        <f aca="true">IF(OR(E863="",J863=0),"",IF(F863&lt;&gt;"",F863-E863,TODAY()-E863))</f>
        <v/>
      </c>
      <c r="H863" s="29"/>
      <c r="I863" s="33"/>
      <c r="J863" s="32" t="n">
        <f aca="false">IF(OR(D863="",D863="Planned"),0,1)</f>
        <v>0</v>
      </c>
      <c r="K863" s="32" t="n">
        <f aca="false">IF(OR(D863="Under review",D863="Revision requested"),1,0)</f>
        <v>0</v>
      </c>
      <c r="L863" s="32" t="str">
        <f aca="false">IF(AND(J863=1,E863&lt;&gt;""),E863+ROW()/100000,"")</f>
        <v/>
      </c>
      <c r="M863" s="32" t="str">
        <f aca="false">IF(D863="Planned",ROW(),"")</f>
        <v/>
      </c>
      <c r="N863" s="32" t="str">
        <f aca="true">IF(K863=1,IF(E863="",0,TODAY()-E863)+ROW()/100000,"")</f>
        <v/>
      </c>
      <c r="O863" s="32" t="str">
        <f aca="false">IF(N863="","",RANK(N863,$N$2:$N$1000))</f>
        <v/>
      </c>
    </row>
    <row r="864" customFormat="false" ht="15" hidden="false" customHeight="false" outlineLevel="0" collapsed="false">
      <c r="A864" s="33"/>
      <c r="B864" s="33"/>
      <c r="C864" s="33"/>
      <c r="D864" s="33"/>
      <c r="E864" s="34"/>
      <c r="F864" s="34"/>
      <c r="G864" s="35" t="str">
        <f aca="true">IF(OR(E864="",J864=0),"",IF(F864&lt;&gt;"",F864-E864,TODAY()-E864))</f>
        <v/>
      </c>
      <c r="H864" s="29"/>
      <c r="I864" s="33"/>
      <c r="J864" s="32" t="n">
        <f aca="false">IF(OR(D864="",D864="Planned"),0,1)</f>
        <v>0</v>
      </c>
      <c r="K864" s="32" t="n">
        <f aca="false">IF(OR(D864="Under review",D864="Revision requested"),1,0)</f>
        <v>0</v>
      </c>
      <c r="L864" s="32" t="str">
        <f aca="false">IF(AND(J864=1,E864&lt;&gt;""),E864+ROW()/100000,"")</f>
        <v/>
      </c>
      <c r="M864" s="32" t="str">
        <f aca="false">IF(D864="Planned",ROW(),"")</f>
        <v/>
      </c>
      <c r="N864" s="32" t="str">
        <f aca="true">IF(K864=1,IF(E864="",0,TODAY()-E864)+ROW()/100000,"")</f>
        <v/>
      </c>
      <c r="O864" s="32" t="str">
        <f aca="false">IF(N864="","",RANK(N864,$N$2:$N$1000))</f>
        <v/>
      </c>
    </row>
    <row r="865" customFormat="false" ht="15" hidden="false" customHeight="false" outlineLevel="0" collapsed="false">
      <c r="A865" s="33"/>
      <c r="B865" s="33"/>
      <c r="C865" s="33"/>
      <c r="D865" s="33"/>
      <c r="E865" s="34"/>
      <c r="F865" s="34"/>
      <c r="G865" s="35" t="str">
        <f aca="true">IF(OR(E865="",J865=0),"",IF(F865&lt;&gt;"",F865-E865,TODAY()-E865))</f>
        <v/>
      </c>
      <c r="H865" s="29"/>
      <c r="I865" s="33"/>
      <c r="J865" s="32" t="n">
        <f aca="false">IF(OR(D865="",D865="Planned"),0,1)</f>
        <v>0</v>
      </c>
      <c r="K865" s="32" t="n">
        <f aca="false">IF(OR(D865="Under review",D865="Revision requested"),1,0)</f>
        <v>0</v>
      </c>
      <c r="L865" s="32" t="str">
        <f aca="false">IF(AND(J865=1,E865&lt;&gt;""),E865+ROW()/100000,"")</f>
        <v/>
      </c>
      <c r="M865" s="32" t="str">
        <f aca="false">IF(D865="Planned",ROW(),"")</f>
        <v/>
      </c>
      <c r="N865" s="32" t="str">
        <f aca="true">IF(K865=1,IF(E865="",0,TODAY()-E865)+ROW()/100000,"")</f>
        <v/>
      </c>
      <c r="O865" s="32" t="str">
        <f aca="false">IF(N865="","",RANK(N865,$N$2:$N$1000))</f>
        <v/>
      </c>
    </row>
    <row r="866" customFormat="false" ht="15" hidden="false" customHeight="false" outlineLevel="0" collapsed="false">
      <c r="A866" s="33"/>
      <c r="B866" s="33"/>
      <c r="C866" s="33"/>
      <c r="D866" s="33"/>
      <c r="E866" s="34"/>
      <c r="F866" s="34"/>
      <c r="G866" s="35" t="str">
        <f aca="true">IF(OR(E866="",J866=0),"",IF(F866&lt;&gt;"",F866-E866,TODAY()-E866))</f>
        <v/>
      </c>
      <c r="H866" s="29"/>
      <c r="I866" s="33"/>
      <c r="J866" s="32" t="n">
        <f aca="false">IF(OR(D866="",D866="Planned"),0,1)</f>
        <v>0</v>
      </c>
      <c r="K866" s="32" t="n">
        <f aca="false">IF(OR(D866="Under review",D866="Revision requested"),1,0)</f>
        <v>0</v>
      </c>
      <c r="L866" s="32" t="str">
        <f aca="false">IF(AND(J866=1,E866&lt;&gt;""),E866+ROW()/100000,"")</f>
        <v/>
      </c>
      <c r="M866" s="32" t="str">
        <f aca="false">IF(D866="Planned",ROW(),"")</f>
        <v/>
      </c>
      <c r="N866" s="32" t="str">
        <f aca="true">IF(K866=1,IF(E866="",0,TODAY()-E866)+ROW()/100000,"")</f>
        <v/>
      </c>
      <c r="O866" s="32" t="str">
        <f aca="false">IF(N866="","",RANK(N866,$N$2:$N$1000))</f>
        <v/>
      </c>
    </row>
    <row r="867" customFormat="false" ht="15" hidden="false" customHeight="false" outlineLevel="0" collapsed="false">
      <c r="A867" s="33"/>
      <c r="B867" s="33"/>
      <c r="C867" s="33"/>
      <c r="D867" s="33"/>
      <c r="E867" s="34"/>
      <c r="F867" s="34"/>
      <c r="G867" s="35" t="str">
        <f aca="true">IF(OR(E867="",J867=0),"",IF(F867&lt;&gt;"",F867-E867,TODAY()-E867))</f>
        <v/>
      </c>
      <c r="H867" s="29"/>
      <c r="I867" s="33"/>
      <c r="J867" s="32" t="n">
        <f aca="false">IF(OR(D867="",D867="Planned"),0,1)</f>
        <v>0</v>
      </c>
      <c r="K867" s="32" t="n">
        <f aca="false">IF(OR(D867="Under review",D867="Revision requested"),1,0)</f>
        <v>0</v>
      </c>
      <c r="L867" s="32" t="str">
        <f aca="false">IF(AND(J867=1,E867&lt;&gt;""),E867+ROW()/100000,"")</f>
        <v/>
      </c>
      <c r="M867" s="32" t="str">
        <f aca="false">IF(D867="Planned",ROW(),"")</f>
        <v/>
      </c>
      <c r="N867" s="32" t="str">
        <f aca="true">IF(K867=1,IF(E867="",0,TODAY()-E867)+ROW()/100000,"")</f>
        <v/>
      </c>
      <c r="O867" s="32" t="str">
        <f aca="false">IF(N867="","",RANK(N867,$N$2:$N$1000))</f>
        <v/>
      </c>
    </row>
    <row r="868" customFormat="false" ht="15" hidden="false" customHeight="false" outlineLevel="0" collapsed="false">
      <c r="A868" s="33"/>
      <c r="B868" s="33"/>
      <c r="C868" s="33"/>
      <c r="D868" s="33"/>
      <c r="E868" s="34"/>
      <c r="F868" s="34"/>
      <c r="G868" s="35" t="str">
        <f aca="true">IF(OR(E868="",J868=0),"",IF(F868&lt;&gt;"",F868-E868,TODAY()-E868))</f>
        <v/>
      </c>
      <c r="H868" s="29"/>
      <c r="I868" s="33"/>
      <c r="J868" s="32" t="n">
        <f aca="false">IF(OR(D868="",D868="Planned"),0,1)</f>
        <v>0</v>
      </c>
      <c r="K868" s="32" t="n">
        <f aca="false">IF(OR(D868="Under review",D868="Revision requested"),1,0)</f>
        <v>0</v>
      </c>
      <c r="L868" s="32" t="str">
        <f aca="false">IF(AND(J868=1,E868&lt;&gt;""),E868+ROW()/100000,"")</f>
        <v/>
      </c>
      <c r="M868" s="32" t="str">
        <f aca="false">IF(D868="Planned",ROW(),"")</f>
        <v/>
      </c>
      <c r="N868" s="32" t="str">
        <f aca="true">IF(K868=1,IF(E868="",0,TODAY()-E868)+ROW()/100000,"")</f>
        <v/>
      </c>
      <c r="O868" s="32" t="str">
        <f aca="false">IF(N868="","",RANK(N868,$N$2:$N$1000))</f>
        <v/>
      </c>
    </row>
    <row r="869" customFormat="false" ht="15" hidden="false" customHeight="false" outlineLevel="0" collapsed="false">
      <c r="A869" s="33"/>
      <c r="B869" s="33"/>
      <c r="C869" s="33"/>
      <c r="D869" s="33"/>
      <c r="E869" s="34"/>
      <c r="F869" s="34"/>
      <c r="G869" s="35" t="str">
        <f aca="true">IF(OR(E869="",J869=0),"",IF(F869&lt;&gt;"",F869-E869,TODAY()-E869))</f>
        <v/>
      </c>
      <c r="H869" s="29"/>
      <c r="I869" s="33"/>
      <c r="J869" s="32" t="n">
        <f aca="false">IF(OR(D869="",D869="Planned"),0,1)</f>
        <v>0</v>
      </c>
      <c r="K869" s="32" t="n">
        <f aca="false">IF(OR(D869="Under review",D869="Revision requested"),1,0)</f>
        <v>0</v>
      </c>
      <c r="L869" s="32" t="str">
        <f aca="false">IF(AND(J869=1,E869&lt;&gt;""),E869+ROW()/100000,"")</f>
        <v/>
      </c>
      <c r="M869" s="32" t="str">
        <f aca="false">IF(D869="Planned",ROW(),"")</f>
        <v/>
      </c>
      <c r="N869" s="32" t="str">
        <f aca="true">IF(K869=1,IF(E869="",0,TODAY()-E869)+ROW()/100000,"")</f>
        <v/>
      </c>
      <c r="O869" s="32" t="str">
        <f aca="false">IF(N869="","",RANK(N869,$N$2:$N$1000))</f>
        <v/>
      </c>
    </row>
    <row r="870" customFormat="false" ht="15" hidden="false" customHeight="false" outlineLevel="0" collapsed="false">
      <c r="A870" s="33"/>
      <c r="B870" s="33"/>
      <c r="C870" s="33"/>
      <c r="D870" s="33"/>
      <c r="E870" s="34"/>
      <c r="F870" s="34"/>
      <c r="G870" s="35" t="str">
        <f aca="true">IF(OR(E870="",J870=0),"",IF(F870&lt;&gt;"",F870-E870,TODAY()-E870))</f>
        <v/>
      </c>
      <c r="H870" s="29"/>
      <c r="I870" s="33"/>
      <c r="J870" s="32" t="n">
        <f aca="false">IF(OR(D870="",D870="Planned"),0,1)</f>
        <v>0</v>
      </c>
      <c r="K870" s="32" t="n">
        <f aca="false">IF(OR(D870="Under review",D870="Revision requested"),1,0)</f>
        <v>0</v>
      </c>
      <c r="L870" s="32" t="str">
        <f aca="false">IF(AND(J870=1,E870&lt;&gt;""),E870+ROW()/100000,"")</f>
        <v/>
      </c>
      <c r="M870" s="32" t="str">
        <f aca="false">IF(D870="Planned",ROW(),"")</f>
        <v/>
      </c>
      <c r="N870" s="32" t="str">
        <f aca="true">IF(K870=1,IF(E870="",0,TODAY()-E870)+ROW()/100000,"")</f>
        <v/>
      </c>
      <c r="O870" s="32" t="str">
        <f aca="false">IF(N870="","",RANK(N870,$N$2:$N$1000))</f>
        <v/>
      </c>
    </row>
    <row r="871" customFormat="false" ht="15" hidden="false" customHeight="false" outlineLevel="0" collapsed="false">
      <c r="A871" s="33"/>
      <c r="B871" s="33"/>
      <c r="C871" s="33"/>
      <c r="D871" s="33"/>
      <c r="E871" s="34"/>
      <c r="F871" s="34"/>
      <c r="G871" s="35" t="str">
        <f aca="true">IF(OR(E871="",J871=0),"",IF(F871&lt;&gt;"",F871-E871,TODAY()-E871))</f>
        <v/>
      </c>
      <c r="H871" s="29"/>
      <c r="I871" s="33"/>
      <c r="J871" s="32" t="n">
        <f aca="false">IF(OR(D871="",D871="Planned"),0,1)</f>
        <v>0</v>
      </c>
      <c r="K871" s="32" t="n">
        <f aca="false">IF(OR(D871="Under review",D871="Revision requested"),1,0)</f>
        <v>0</v>
      </c>
      <c r="L871" s="32" t="str">
        <f aca="false">IF(AND(J871=1,E871&lt;&gt;""),E871+ROW()/100000,"")</f>
        <v/>
      </c>
      <c r="M871" s="32" t="str">
        <f aca="false">IF(D871="Planned",ROW(),"")</f>
        <v/>
      </c>
      <c r="N871" s="32" t="str">
        <f aca="true">IF(K871=1,IF(E871="",0,TODAY()-E871)+ROW()/100000,"")</f>
        <v/>
      </c>
      <c r="O871" s="32" t="str">
        <f aca="false">IF(N871="","",RANK(N871,$N$2:$N$1000))</f>
        <v/>
      </c>
    </row>
    <row r="872" customFormat="false" ht="15" hidden="false" customHeight="false" outlineLevel="0" collapsed="false">
      <c r="A872" s="33"/>
      <c r="B872" s="33"/>
      <c r="C872" s="33"/>
      <c r="D872" s="33"/>
      <c r="E872" s="34"/>
      <c r="F872" s="34"/>
      <c r="G872" s="35" t="str">
        <f aca="true">IF(OR(E872="",J872=0),"",IF(F872&lt;&gt;"",F872-E872,TODAY()-E872))</f>
        <v/>
      </c>
      <c r="H872" s="29"/>
      <c r="I872" s="33"/>
      <c r="J872" s="32" t="n">
        <f aca="false">IF(OR(D872="",D872="Planned"),0,1)</f>
        <v>0</v>
      </c>
      <c r="K872" s="32" t="n">
        <f aca="false">IF(OR(D872="Under review",D872="Revision requested"),1,0)</f>
        <v>0</v>
      </c>
      <c r="L872" s="32" t="str">
        <f aca="false">IF(AND(J872=1,E872&lt;&gt;""),E872+ROW()/100000,"")</f>
        <v/>
      </c>
      <c r="M872" s="32" t="str">
        <f aca="false">IF(D872="Planned",ROW(),"")</f>
        <v/>
      </c>
      <c r="N872" s="32" t="str">
        <f aca="true">IF(K872=1,IF(E872="",0,TODAY()-E872)+ROW()/100000,"")</f>
        <v/>
      </c>
      <c r="O872" s="32" t="str">
        <f aca="false">IF(N872="","",RANK(N872,$N$2:$N$1000))</f>
        <v/>
      </c>
    </row>
    <row r="873" customFormat="false" ht="15" hidden="false" customHeight="false" outlineLevel="0" collapsed="false">
      <c r="A873" s="33"/>
      <c r="B873" s="33"/>
      <c r="C873" s="33"/>
      <c r="D873" s="33"/>
      <c r="E873" s="34"/>
      <c r="F873" s="34"/>
      <c r="G873" s="35" t="str">
        <f aca="true">IF(OR(E873="",J873=0),"",IF(F873&lt;&gt;"",F873-E873,TODAY()-E873))</f>
        <v/>
      </c>
      <c r="H873" s="29"/>
      <c r="I873" s="33"/>
      <c r="J873" s="32" t="n">
        <f aca="false">IF(OR(D873="",D873="Planned"),0,1)</f>
        <v>0</v>
      </c>
      <c r="K873" s="32" t="n">
        <f aca="false">IF(OR(D873="Under review",D873="Revision requested"),1,0)</f>
        <v>0</v>
      </c>
      <c r="L873" s="32" t="str">
        <f aca="false">IF(AND(J873=1,E873&lt;&gt;""),E873+ROW()/100000,"")</f>
        <v/>
      </c>
      <c r="M873" s="32" t="str">
        <f aca="false">IF(D873="Planned",ROW(),"")</f>
        <v/>
      </c>
      <c r="N873" s="32" t="str">
        <f aca="true">IF(K873=1,IF(E873="",0,TODAY()-E873)+ROW()/100000,"")</f>
        <v/>
      </c>
      <c r="O873" s="32" t="str">
        <f aca="false">IF(N873="","",RANK(N873,$N$2:$N$1000))</f>
        <v/>
      </c>
    </row>
    <row r="874" customFormat="false" ht="15" hidden="false" customHeight="false" outlineLevel="0" collapsed="false">
      <c r="A874" s="33"/>
      <c r="B874" s="33"/>
      <c r="C874" s="33"/>
      <c r="D874" s="33"/>
      <c r="E874" s="34"/>
      <c r="F874" s="34"/>
      <c r="G874" s="35" t="str">
        <f aca="true">IF(OR(E874="",J874=0),"",IF(F874&lt;&gt;"",F874-E874,TODAY()-E874))</f>
        <v/>
      </c>
      <c r="H874" s="29"/>
      <c r="I874" s="33"/>
      <c r="J874" s="32" t="n">
        <f aca="false">IF(OR(D874="",D874="Planned"),0,1)</f>
        <v>0</v>
      </c>
      <c r="K874" s="32" t="n">
        <f aca="false">IF(OR(D874="Under review",D874="Revision requested"),1,0)</f>
        <v>0</v>
      </c>
      <c r="L874" s="32" t="str">
        <f aca="false">IF(AND(J874=1,E874&lt;&gt;""),E874+ROW()/100000,"")</f>
        <v/>
      </c>
      <c r="M874" s="32" t="str">
        <f aca="false">IF(D874="Planned",ROW(),"")</f>
        <v/>
      </c>
      <c r="N874" s="32" t="str">
        <f aca="true">IF(K874=1,IF(E874="",0,TODAY()-E874)+ROW()/100000,"")</f>
        <v/>
      </c>
      <c r="O874" s="32" t="str">
        <f aca="false">IF(N874="","",RANK(N874,$N$2:$N$1000))</f>
        <v/>
      </c>
    </row>
    <row r="875" customFormat="false" ht="15" hidden="false" customHeight="false" outlineLevel="0" collapsed="false">
      <c r="A875" s="33"/>
      <c r="B875" s="33"/>
      <c r="C875" s="33"/>
      <c r="D875" s="33"/>
      <c r="E875" s="34"/>
      <c r="F875" s="34"/>
      <c r="G875" s="35" t="str">
        <f aca="true">IF(OR(E875="",J875=0),"",IF(F875&lt;&gt;"",F875-E875,TODAY()-E875))</f>
        <v/>
      </c>
      <c r="H875" s="29"/>
      <c r="I875" s="33"/>
      <c r="J875" s="32" t="n">
        <f aca="false">IF(OR(D875="",D875="Planned"),0,1)</f>
        <v>0</v>
      </c>
      <c r="K875" s="32" t="n">
        <f aca="false">IF(OR(D875="Under review",D875="Revision requested"),1,0)</f>
        <v>0</v>
      </c>
      <c r="L875" s="32" t="str">
        <f aca="false">IF(AND(J875=1,E875&lt;&gt;""),E875+ROW()/100000,"")</f>
        <v/>
      </c>
      <c r="M875" s="32" t="str">
        <f aca="false">IF(D875="Planned",ROW(),"")</f>
        <v/>
      </c>
      <c r="N875" s="32" t="str">
        <f aca="true">IF(K875=1,IF(E875="",0,TODAY()-E875)+ROW()/100000,"")</f>
        <v/>
      </c>
      <c r="O875" s="32" t="str">
        <f aca="false">IF(N875="","",RANK(N875,$N$2:$N$1000))</f>
        <v/>
      </c>
    </row>
    <row r="876" customFormat="false" ht="15" hidden="false" customHeight="false" outlineLevel="0" collapsed="false">
      <c r="A876" s="33"/>
      <c r="B876" s="33"/>
      <c r="C876" s="33"/>
      <c r="D876" s="33"/>
      <c r="E876" s="34"/>
      <c r="F876" s="34"/>
      <c r="G876" s="35" t="str">
        <f aca="true">IF(OR(E876="",J876=0),"",IF(F876&lt;&gt;"",F876-E876,TODAY()-E876))</f>
        <v/>
      </c>
      <c r="H876" s="29"/>
      <c r="I876" s="33"/>
      <c r="J876" s="32" t="n">
        <f aca="false">IF(OR(D876="",D876="Planned"),0,1)</f>
        <v>0</v>
      </c>
      <c r="K876" s="32" t="n">
        <f aca="false">IF(OR(D876="Under review",D876="Revision requested"),1,0)</f>
        <v>0</v>
      </c>
      <c r="L876" s="32" t="str">
        <f aca="false">IF(AND(J876=1,E876&lt;&gt;""),E876+ROW()/100000,"")</f>
        <v/>
      </c>
      <c r="M876" s="32" t="str">
        <f aca="false">IF(D876="Planned",ROW(),"")</f>
        <v/>
      </c>
      <c r="N876" s="32" t="str">
        <f aca="true">IF(K876=1,IF(E876="",0,TODAY()-E876)+ROW()/100000,"")</f>
        <v/>
      </c>
      <c r="O876" s="32" t="str">
        <f aca="false">IF(N876="","",RANK(N876,$N$2:$N$1000))</f>
        <v/>
      </c>
    </row>
    <row r="877" customFormat="false" ht="15" hidden="false" customHeight="false" outlineLevel="0" collapsed="false">
      <c r="A877" s="33"/>
      <c r="B877" s="33"/>
      <c r="C877" s="33"/>
      <c r="D877" s="33"/>
      <c r="E877" s="34"/>
      <c r="F877" s="34"/>
      <c r="G877" s="35" t="str">
        <f aca="true">IF(OR(E877="",J877=0),"",IF(F877&lt;&gt;"",F877-E877,TODAY()-E877))</f>
        <v/>
      </c>
      <c r="H877" s="29"/>
      <c r="I877" s="33"/>
      <c r="J877" s="32" t="n">
        <f aca="false">IF(OR(D877="",D877="Planned"),0,1)</f>
        <v>0</v>
      </c>
      <c r="K877" s="32" t="n">
        <f aca="false">IF(OR(D877="Under review",D877="Revision requested"),1,0)</f>
        <v>0</v>
      </c>
      <c r="L877" s="32" t="str">
        <f aca="false">IF(AND(J877=1,E877&lt;&gt;""),E877+ROW()/100000,"")</f>
        <v/>
      </c>
      <c r="M877" s="32" t="str">
        <f aca="false">IF(D877="Planned",ROW(),"")</f>
        <v/>
      </c>
      <c r="N877" s="32" t="str">
        <f aca="true">IF(K877=1,IF(E877="",0,TODAY()-E877)+ROW()/100000,"")</f>
        <v/>
      </c>
      <c r="O877" s="32" t="str">
        <f aca="false">IF(N877="","",RANK(N877,$N$2:$N$1000))</f>
        <v/>
      </c>
    </row>
    <row r="878" customFormat="false" ht="15" hidden="false" customHeight="false" outlineLevel="0" collapsed="false">
      <c r="A878" s="33"/>
      <c r="B878" s="33"/>
      <c r="C878" s="33"/>
      <c r="D878" s="33"/>
      <c r="E878" s="34"/>
      <c r="F878" s="34"/>
      <c r="G878" s="35" t="str">
        <f aca="true">IF(OR(E878="",J878=0),"",IF(F878&lt;&gt;"",F878-E878,TODAY()-E878))</f>
        <v/>
      </c>
      <c r="H878" s="29"/>
      <c r="I878" s="33"/>
      <c r="J878" s="32" t="n">
        <f aca="false">IF(OR(D878="",D878="Planned"),0,1)</f>
        <v>0</v>
      </c>
      <c r="K878" s="32" t="n">
        <f aca="false">IF(OR(D878="Under review",D878="Revision requested"),1,0)</f>
        <v>0</v>
      </c>
      <c r="L878" s="32" t="str">
        <f aca="false">IF(AND(J878=1,E878&lt;&gt;""),E878+ROW()/100000,"")</f>
        <v/>
      </c>
      <c r="M878" s="32" t="str">
        <f aca="false">IF(D878="Planned",ROW(),"")</f>
        <v/>
      </c>
      <c r="N878" s="32" t="str">
        <f aca="true">IF(K878=1,IF(E878="",0,TODAY()-E878)+ROW()/100000,"")</f>
        <v/>
      </c>
      <c r="O878" s="32" t="str">
        <f aca="false">IF(N878="","",RANK(N878,$N$2:$N$1000))</f>
        <v/>
      </c>
    </row>
    <row r="879" customFormat="false" ht="15" hidden="false" customHeight="false" outlineLevel="0" collapsed="false">
      <c r="A879" s="33"/>
      <c r="B879" s="33"/>
      <c r="C879" s="33"/>
      <c r="D879" s="33"/>
      <c r="E879" s="34"/>
      <c r="F879" s="34"/>
      <c r="G879" s="35" t="str">
        <f aca="true">IF(OR(E879="",J879=0),"",IF(F879&lt;&gt;"",F879-E879,TODAY()-E879))</f>
        <v/>
      </c>
      <c r="H879" s="29"/>
      <c r="I879" s="33"/>
      <c r="J879" s="32" t="n">
        <f aca="false">IF(OR(D879="",D879="Planned"),0,1)</f>
        <v>0</v>
      </c>
      <c r="K879" s="32" t="n">
        <f aca="false">IF(OR(D879="Under review",D879="Revision requested"),1,0)</f>
        <v>0</v>
      </c>
      <c r="L879" s="32" t="str">
        <f aca="false">IF(AND(J879=1,E879&lt;&gt;""),E879+ROW()/100000,"")</f>
        <v/>
      </c>
      <c r="M879" s="32" t="str">
        <f aca="false">IF(D879="Planned",ROW(),"")</f>
        <v/>
      </c>
      <c r="N879" s="32" t="str">
        <f aca="true">IF(K879=1,IF(E879="",0,TODAY()-E879)+ROW()/100000,"")</f>
        <v/>
      </c>
      <c r="O879" s="32" t="str">
        <f aca="false">IF(N879="","",RANK(N879,$N$2:$N$1000))</f>
        <v/>
      </c>
    </row>
    <row r="880" customFormat="false" ht="15" hidden="false" customHeight="false" outlineLevel="0" collapsed="false">
      <c r="A880" s="33"/>
      <c r="B880" s="33"/>
      <c r="C880" s="33"/>
      <c r="D880" s="33"/>
      <c r="E880" s="34"/>
      <c r="F880" s="34"/>
      <c r="G880" s="35" t="str">
        <f aca="true">IF(OR(E880="",J880=0),"",IF(F880&lt;&gt;"",F880-E880,TODAY()-E880))</f>
        <v/>
      </c>
      <c r="H880" s="29"/>
      <c r="I880" s="33"/>
      <c r="J880" s="32" t="n">
        <f aca="false">IF(OR(D880="",D880="Planned"),0,1)</f>
        <v>0</v>
      </c>
      <c r="K880" s="32" t="n">
        <f aca="false">IF(OR(D880="Under review",D880="Revision requested"),1,0)</f>
        <v>0</v>
      </c>
      <c r="L880" s="32" t="str">
        <f aca="false">IF(AND(J880=1,E880&lt;&gt;""),E880+ROW()/100000,"")</f>
        <v/>
      </c>
      <c r="M880" s="32" t="str">
        <f aca="false">IF(D880="Planned",ROW(),"")</f>
        <v/>
      </c>
      <c r="N880" s="32" t="str">
        <f aca="true">IF(K880=1,IF(E880="",0,TODAY()-E880)+ROW()/100000,"")</f>
        <v/>
      </c>
      <c r="O880" s="32" t="str">
        <f aca="false">IF(N880="","",RANK(N880,$N$2:$N$1000))</f>
        <v/>
      </c>
    </row>
    <row r="881" customFormat="false" ht="15" hidden="false" customHeight="false" outlineLevel="0" collapsed="false">
      <c r="A881" s="33"/>
      <c r="B881" s="33"/>
      <c r="C881" s="33"/>
      <c r="D881" s="33"/>
      <c r="E881" s="34"/>
      <c r="F881" s="34"/>
      <c r="G881" s="35" t="str">
        <f aca="true">IF(OR(E881="",J881=0),"",IF(F881&lt;&gt;"",F881-E881,TODAY()-E881))</f>
        <v/>
      </c>
      <c r="H881" s="29"/>
      <c r="I881" s="33"/>
      <c r="J881" s="32" t="n">
        <f aca="false">IF(OR(D881="",D881="Planned"),0,1)</f>
        <v>0</v>
      </c>
      <c r="K881" s="32" t="n">
        <f aca="false">IF(OR(D881="Under review",D881="Revision requested"),1,0)</f>
        <v>0</v>
      </c>
      <c r="L881" s="32" t="str">
        <f aca="false">IF(AND(J881=1,E881&lt;&gt;""),E881+ROW()/100000,"")</f>
        <v/>
      </c>
      <c r="M881" s="32" t="str">
        <f aca="false">IF(D881="Planned",ROW(),"")</f>
        <v/>
      </c>
      <c r="N881" s="32" t="str">
        <f aca="true">IF(K881=1,IF(E881="",0,TODAY()-E881)+ROW()/100000,"")</f>
        <v/>
      </c>
      <c r="O881" s="32" t="str">
        <f aca="false">IF(N881="","",RANK(N881,$N$2:$N$1000))</f>
        <v/>
      </c>
    </row>
    <row r="882" customFormat="false" ht="15" hidden="false" customHeight="false" outlineLevel="0" collapsed="false">
      <c r="A882" s="33"/>
      <c r="B882" s="33"/>
      <c r="C882" s="33"/>
      <c r="D882" s="33"/>
      <c r="E882" s="34"/>
      <c r="F882" s="34"/>
      <c r="G882" s="35" t="str">
        <f aca="true">IF(OR(E882="",J882=0),"",IF(F882&lt;&gt;"",F882-E882,TODAY()-E882))</f>
        <v/>
      </c>
      <c r="H882" s="29"/>
      <c r="I882" s="33"/>
      <c r="J882" s="32" t="n">
        <f aca="false">IF(OR(D882="",D882="Planned"),0,1)</f>
        <v>0</v>
      </c>
      <c r="K882" s="32" t="n">
        <f aca="false">IF(OR(D882="Under review",D882="Revision requested"),1,0)</f>
        <v>0</v>
      </c>
      <c r="L882" s="32" t="str">
        <f aca="false">IF(AND(J882=1,E882&lt;&gt;""),E882+ROW()/100000,"")</f>
        <v/>
      </c>
      <c r="M882" s="32" t="str">
        <f aca="false">IF(D882="Planned",ROW(),"")</f>
        <v/>
      </c>
      <c r="N882" s="32" t="str">
        <f aca="true">IF(K882=1,IF(E882="",0,TODAY()-E882)+ROW()/100000,"")</f>
        <v/>
      </c>
      <c r="O882" s="32" t="str">
        <f aca="false">IF(N882="","",RANK(N882,$N$2:$N$1000))</f>
        <v/>
      </c>
    </row>
    <row r="883" customFormat="false" ht="15" hidden="false" customHeight="false" outlineLevel="0" collapsed="false">
      <c r="A883" s="33"/>
      <c r="B883" s="33"/>
      <c r="C883" s="33"/>
      <c r="D883" s="33"/>
      <c r="E883" s="34"/>
      <c r="F883" s="34"/>
      <c r="G883" s="35" t="str">
        <f aca="true">IF(OR(E883="",J883=0),"",IF(F883&lt;&gt;"",F883-E883,TODAY()-E883))</f>
        <v/>
      </c>
      <c r="H883" s="29"/>
      <c r="I883" s="33"/>
      <c r="J883" s="32" t="n">
        <f aca="false">IF(OR(D883="",D883="Planned"),0,1)</f>
        <v>0</v>
      </c>
      <c r="K883" s="32" t="n">
        <f aca="false">IF(OR(D883="Under review",D883="Revision requested"),1,0)</f>
        <v>0</v>
      </c>
      <c r="L883" s="32" t="str">
        <f aca="false">IF(AND(J883=1,E883&lt;&gt;""),E883+ROW()/100000,"")</f>
        <v/>
      </c>
      <c r="M883" s="32" t="str">
        <f aca="false">IF(D883="Planned",ROW(),"")</f>
        <v/>
      </c>
      <c r="N883" s="32" t="str">
        <f aca="true">IF(K883=1,IF(E883="",0,TODAY()-E883)+ROW()/100000,"")</f>
        <v/>
      </c>
      <c r="O883" s="32" t="str">
        <f aca="false">IF(N883="","",RANK(N883,$N$2:$N$1000))</f>
        <v/>
      </c>
    </row>
    <row r="884" customFormat="false" ht="15" hidden="false" customHeight="false" outlineLevel="0" collapsed="false">
      <c r="A884" s="33"/>
      <c r="B884" s="33"/>
      <c r="C884" s="33"/>
      <c r="D884" s="33"/>
      <c r="E884" s="34"/>
      <c r="F884" s="34"/>
      <c r="G884" s="35" t="str">
        <f aca="true">IF(OR(E884="",J884=0),"",IF(F884&lt;&gt;"",F884-E884,TODAY()-E884))</f>
        <v/>
      </c>
      <c r="H884" s="29"/>
      <c r="I884" s="33"/>
      <c r="J884" s="32" t="n">
        <f aca="false">IF(OR(D884="",D884="Planned"),0,1)</f>
        <v>0</v>
      </c>
      <c r="K884" s="32" t="n">
        <f aca="false">IF(OR(D884="Under review",D884="Revision requested"),1,0)</f>
        <v>0</v>
      </c>
      <c r="L884" s="32" t="str">
        <f aca="false">IF(AND(J884=1,E884&lt;&gt;""),E884+ROW()/100000,"")</f>
        <v/>
      </c>
      <c r="M884" s="32" t="str">
        <f aca="false">IF(D884="Planned",ROW(),"")</f>
        <v/>
      </c>
      <c r="N884" s="32" t="str">
        <f aca="true">IF(K884=1,IF(E884="",0,TODAY()-E884)+ROW()/100000,"")</f>
        <v/>
      </c>
      <c r="O884" s="32" t="str">
        <f aca="false">IF(N884="","",RANK(N884,$N$2:$N$1000))</f>
        <v/>
      </c>
    </row>
    <row r="885" customFormat="false" ht="15" hidden="false" customHeight="false" outlineLevel="0" collapsed="false">
      <c r="A885" s="33"/>
      <c r="B885" s="33"/>
      <c r="C885" s="33"/>
      <c r="D885" s="33"/>
      <c r="E885" s="34"/>
      <c r="F885" s="34"/>
      <c r="G885" s="35" t="str">
        <f aca="true">IF(OR(E885="",J885=0),"",IF(F885&lt;&gt;"",F885-E885,TODAY()-E885))</f>
        <v/>
      </c>
      <c r="H885" s="29"/>
      <c r="I885" s="33"/>
      <c r="J885" s="32" t="n">
        <f aca="false">IF(OR(D885="",D885="Planned"),0,1)</f>
        <v>0</v>
      </c>
      <c r="K885" s="32" t="n">
        <f aca="false">IF(OR(D885="Under review",D885="Revision requested"),1,0)</f>
        <v>0</v>
      </c>
      <c r="L885" s="32" t="str">
        <f aca="false">IF(AND(J885=1,E885&lt;&gt;""),E885+ROW()/100000,"")</f>
        <v/>
      </c>
      <c r="M885" s="32" t="str">
        <f aca="false">IF(D885="Planned",ROW(),"")</f>
        <v/>
      </c>
      <c r="N885" s="32" t="str">
        <f aca="true">IF(K885=1,IF(E885="",0,TODAY()-E885)+ROW()/100000,"")</f>
        <v/>
      </c>
      <c r="O885" s="32" t="str">
        <f aca="false">IF(N885="","",RANK(N885,$N$2:$N$1000))</f>
        <v/>
      </c>
    </row>
    <row r="886" customFormat="false" ht="15" hidden="false" customHeight="false" outlineLevel="0" collapsed="false">
      <c r="A886" s="33"/>
      <c r="B886" s="33"/>
      <c r="C886" s="33"/>
      <c r="D886" s="33"/>
      <c r="E886" s="34"/>
      <c r="F886" s="34"/>
      <c r="G886" s="35" t="str">
        <f aca="true">IF(OR(E886="",J886=0),"",IF(F886&lt;&gt;"",F886-E886,TODAY()-E886))</f>
        <v/>
      </c>
      <c r="H886" s="29"/>
      <c r="I886" s="33"/>
      <c r="J886" s="32" t="n">
        <f aca="false">IF(OR(D886="",D886="Planned"),0,1)</f>
        <v>0</v>
      </c>
      <c r="K886" s="32" t="n">
        <f aca="false">IF(OR(D886="Under review",D886="Revision requested"),1,0)</f>
        <v>0</v>
      </c>
      <c r="L886" s="32" t="str">
        <f aca="false">IF(AND(J886=1,E886&lt;&gt;""),E886+ROW()/100000,"")</f>
        <v/>
      </c>
      <c r="M886" s="32" t="str">
        <f aca="false">IF(D886="Planned",ROW(),"")</f>
        <v/>
      </c>
      <c r="N886" s="32" t="str">
        <f aca="true">IF(K886=1,IF(E886="",0,TODAY()-E886)+ROW()/100000,"")</f>
        <v/>
      </c>
      <c r="O886" s="32" t="str">
        <f aca="false">IF(N886="","",RANK(N886,$N$2:$N$1000))</f>
        <v/>
      </c>
    </row>
    <row r="887" customFormat="false" ht="15" hidden="false" customHeight="false" outlineLevel="0" collapsed="false">
      <c r="A887" s="33"/>
      <c r="B887" s="33"/>
      <c r="C887" s="33"/>
      <c r="D887" s="33"/>
      <c r="E887" s="34"/>
      <c r="F887" s="34"/>
      <c r="G887" s="35" t="str">
        <f aca="true">IF(OR(E887="",J887=0),"",IF(F887&lt;&gt;"",F887-E887,TODAY()-E887))</f>
        <v/>
      </c>
      <c r="H887" s="29"/>
      <c r="I887" s="33"/>
      <c r="J887" s="32" t="n">
        <f aca="false">IF(OR(D887="",D887="Planned"),0,1)</f>
        <v>0</v>
      </c>
      <c r="K887" s="32" t="n">
        <f aca="false">IF(OR(D887="Under review",D887="Revision requested"),1,0)</f>
        <v>0</v>
      </c>
      <c r="L887" s="32" t="str">
        <f aca="false">IF(AND(J887=1,E887&lt;&gt;""),E887+ROW()/100000,"")</f>
        <v/>
      </c>
      <c r="M887" s="32" t="str">
        <f aca="false">IF(D887="Planned",ROW(),"")</f>
        <v/>
      </c>
      <c r="N887" s="32" t="str">
        <f aca="true">IF(K887=1,IF(E887="",0,TODAY()-E887)+ROW()/100000,"")</f>
        <v/>
      </c>
      <c r="O887" s="32" t="str">
        <f aca="false">IF(N887="","",RANK(N887,$N$2:$N$1000))</f>
        <v/>
      </c>
    </row>
    <row r="888" customFormat="false" ht="15" hidden="false" customHeight="false" outlineLevel="0" collapsed="false">
      <c r="A888" s="33"/>
      <c r="B888" s="33"/>
      <c r="C888" s="33"/>
      <c r="D888" s="33"/>
      <c r="E888" s="34"/>
      <c r="F888" s="34"/>
      <c r="G888" s="35" t="str">
        <f aca="true">IF(OR(E888="",J888=0),"",IF(F888&lt;&gt;"",F888-E888,TODAY()-E888))</f>
        <v/>
      </c>
      <c r="H888" s="29"/>
      <c r="I888" s="33"/>
      <c r="J888" s="32" t="n">
        <f aca="false">IF(OR(D888="",D888="Planned"),0,1)</f>
        <v>0</v>
      </c>
      <c r="K888" s="32" t="n">
        <f aca="false">IF(OR(D888="Under review",D888="Revision requested"),1,0)</f>
        <v>0</v>
      </c>
      <c r="L888" s="32" t="str">
        <f aca="false">IF(AND(J888=1,E888&lt;&gt;""),E888+ROW()/100000,"")</f>
        <v/>
      </c>
      <c r="M888" s="32" t="str">
        <f aca="false">IF(D888="Planned",ROW(),"")</f>
        <v/>
      </c>
      <c r="N888" s="32" t="str">
        <f aca="true">IF(K888=1,IF(E888="",0,TODAY()-E888)+ROW()/100000,"")</f>
        <v/>
      </c>
      <c r="O888" s="32" t="str">
        <f aca="false">IF(N888="","",RANK(N888,$N$2:$N$1000))</f>
        <v/>
      </c>
    </row>
    <row r="889" customFormat="false" ht="15" hidden="false" customHeight="false" outlineLevel="0" collapsed="false">
      <c r="A889" s="33"/>
      <c r="B889" s="33"/>
      <c r="C889" s="33"/>
      <c r="D889" s="33"/>
      <c r="E889" s="34"/>
      <c r="F889" s="34"/>
      <c r="G889" s="35" t="str">
        <f aca="true">IF(OR(E889="",J889=0),"",IF(F889&lt;&gt;"",F889-E889,TODAY()-E889))</f>
        <v/>
      </c>
      <c r="H889" s="29"/>
      <c r="I889" s="33"/>
      <c r="J889" s="32" t="n">
        <f aca="false">IF(OR(D889="",D889="Planned"),0,1)</f>
        <v>0</v>
      </c>
      <c r="K889" s="32" t="n">
        <f aca="false">IF(OR(D889="Under review",D889="Revision requested"),1,0)</f>
        <v>0</v>
      </c>
      <c r="L889" s="32" t="str">
        <f aca="false">IF(AND(J889=1,E889&lt;&gt;""),E889+ROW()/100000,"")</f>
        <v/>
      </c>
      <c r="M889" s="32" t="str">
        <f aca="false">IF(D889="Planned",ROW(),"")</f>
        <v/>
      </c>
      <c r="N889" s="32" t="str">
        <f aca="true">IF(K889=1,IF(E889="",0,TODAY()-E889)+ROW()/100000,"")</f>
        <v/>
      </c>
      <c r="O889" s="32" t="str">
        <f aca="false">IF(N889="","",RANK(N889,$N$2:$N$1000))</f>
        <v/>
      </c>
    </row>
    <row r="890" customFormat="false" ht="15" hidden="false" customHeight="false" outlineLevel="0" collapsed="false">
      <c r="A890" s="33"/>
      <c r="B890" s="33"/>
      <c r="C890" s="33"/>
      <c r="D890" s="33"/>
      <c r="E890" s="34"/>
      <c r="F890" s="34"/>
      <c r="G890" s="35" t="str">
        <f aca="true">IF(OR(E890="",J890=0),"",IF(F890&lt;&gt;"",F890-E890,TODAY()-E890))</f>
        <v/>
      </c>
      <c r="H890" s="29"/>
      <c r="I890" s="33"/>
      <c r="J890" s="32" t="n">
        <f aca="false">IF(OR(D890="",D890="Planned"),0,1)</f>
        <v>0</v>
      </c>
      <c r="K890" s="32" t="n">
        <f aca="false">IF(OR(D890="Under review",D890="Revision requested"),1,0)</f>
        <v>0</v>
      </c>
      <c r="L890" s="32" t="str">
        <f aca="false">IF(AND(J890=1,E890&lt;&gt;""),E890+ROW()/100000,"")</f>
        <v/>
      </c>
      <c r="M890" s="32" t="str">
        <f aca="false">IF(D890="Planned",ROW(),"")</f>
        <v/>
      </c>
      <c r="N890" s="32" t="str">
        <f aca="true">IF(K890=1,IF(E890="",0,TODAY()-E890)+ROW()/100000,"")</f>
        <v/>
      </c>
      <c r="O890" s="32" t="str">
        <f aca="false">IF(N890="","",RANK(N890,$N$2:$N$1000))</f>
        <v/>
      </c>
    </row>
    <row r="891" customFormat="false" ht="15" hidden="false" customHeight="false" outlineLevel="0" collapsed="false">
      <c r="A891" s="33"/>
      <c r="B891" s="33"/>
      <c r="C891" s="33"/>
      <c r="D891" s="33"/>
      <c r="E891" s="34"/>
      <c r="F891" s="34"/>
      <c r="G891" s="35" t="str">
        <f aca="true">IF(OR(E891="",J891=0),"",IF(F891&lt;&gt;"",F891-E891,TODAY()-E891))</f>
        <v/>
      </c>
      <c r="H891" s="29"/>
      <c r="I891" s="33"/>
      <c r="J891" s="32" t="n">
        <f aca="false">IF(OR(D891="",D891="Planned"),0,1)</f>
        <v>0</v>
      </c>
      <c r="K891" s="32" t="n">
        <f aca="false">IF(OR(D891="Under review",D891="Revision requested"),1,0)</f>
        <v>0</v>
      </c>
      <c r="L891" s="32" t="str">
        <f aca="false">IF(AND(J891=1,E891&lt;&gt;""),E891+ROW()/100000,"")</f>
        <v/>
      </c>
      <c r="M891" s="32" t="str">
        <f aca="false">IF(D891="Planned",ROW(),"")</f>
        <v/>
      </c>
      <c r="N891" s="32" t="str">
        <f aca="true">IF(K891=1,IF(E891="",0,TODAY()-E891)+ROW()/100000,"")</f>
        <v/>
      </c>
      <c r="O891" s="32" t="str">
        <f aca="false">IF(N891="","",RANK(N891,$N$2:$N$1000))</f>
        <v/>
      </c>
    </row>
    <row r="892" customFormat="false" ht="15" hidden="false" customHeight="false" outlineLevel="0" collapsed="false">
      <c r="A892" s="33"/>
      <c r="B892" s="33"/>
      <c r="C892" s="33"/>
      <c r="D892" s="33"/>
      <c r="E892" s="34"/>
      <c r="F892" s="34"/>
      <c r="G892" s="35" t="str">
        <f aca="true">IF(OR(E892="",J892=0),"",IF(F892&lt;&gt;"",F892-E892,TODAY()-E892))</f>
        <v/>
      </c>
      <c r="H892" s="29"/>
      <c r="I892" s="33"/>
      <c r="J892" s="32" t="n">
        <f aca="false">IF(OR(D892="",D892="Planned"),0,1)</f>
        <v>0</v>
      </c>
      <c r="K892" s="32" t="n">
        <f aca="false">IF(OR(D892="Under review",D892="Revision requested"),1,0)</f>
        <v>0</v>
      </c>
      <c r="L892" s="32" t="str">
        <f aca="false">IF(AND(J892=1,E892&lt;&gt;""),E892+ROW()/100000,"")</f>
        <v/>
      </c>
      <c r="M892" s="32" t="str">
        <f aca="false">IF(D892="Planned",ROW(),"")</f>
        <v/>
      </c>
      <c r="N892" s="32" t="str">
        <f aca="true">IF(K892=1,IF(E892="",0,TODAY()-E892)+ROW()/100000,"")</f>
        <v/>
      </c>
      <c r="O892" s="32" t="str">
        <f aca="false">IF(N892="","",RANK(N892,$N$2:$N$1000))</f>
        <v/>
      </c>
    </row>
    <row r="893" customFormat="false" ht="15" hidden="false" customHeight="false" outlineLevel="0" collapsed="false">
      <c r="A893" s="33"/>
      <c r="B893" s="33"/>
      <c r="C893" s="33"/>
      <c r="D893" s="33"/>
      <c r="E893" s="34"/>
      <c r="F893" s="34"/>
      <c r="G893" s="35" t="str">
        <f aca="true">IF(OR(E893="",J893=0),"",IF(F893&lt;&gt;"",F893-E893,TODAY()-E893))</f>
        <v/>
      </c>
      <c r="H893" s="29"/>
      <c r="I893" s="33"/>
      <c r="J893" s="32" t="n">
        <f aca="false">IF(OR(D893="",D893="Planned"),0,1)</f>
        <v>0</v>
      </c>
      <c r="K893" s="32" t="n">
        <f aca="false">IF(OR(D893="Under review",D893="Revision requested"),1,0)</f>
        <v>0</v>
      </c>
      <c r="L893" s="32" t="str">
        <f aca="false">IF(AND(J893=1,E893&lt;&gt;""),E893+ROW()/100000,"")</f>
        <v/>
      </c>
      <c r="M893" s="32" t="str">
        <f aca="false">IF(D893="Planned",ROW(),"")</f>
        <v/>
      </c>
      <c r="N893" s="32" t="str">
        <f aca="true">IF(K893=1,IF(E893="",0,TODAY()-E893)+ROW()/100000,"")</f>
        <v/>
      </c>
      <c r="O893" s="32" t="str">
        <f aca="false">IF(N893="","",RANK(N893,$N$2:$N$1000))</f>
        <v/>
      </c>
    </row>
    <row r="894" customFormat="false" ht="15" hidden="false" customHeight="false" outlineLevel="0" collapsed="false">
      <c r="A894" s="33"/>
      <c r="B894" s="33"/>
      <c r="C894" s="33"/>
      <c r="D894" s="33"/>
      <c r="E894" s="34"/>
      <c r="F894" s="34"/>
      <c r="G894" s="35" t="str">
        <f aca="true">IF(OR(E894="",J894=0),"",IF(F894&lt;&gt;"",F894-E894,TODAY()-E894))</f>
        <v/>
      </c>
      <c r="H894" s="29"/>
      <c r="I894" s="33"/>
      <c r="J894" s="32" t="n">
        <f aca="false">IF(OR(D894="",D894="Planned"),0,1)</f>
        <v>0</v>
      </c>
      <c r="K894" s="32" t="n">
        <f aca="false">IF(OR(D894="Under review",D894="Revision requested"),1,0)</f>
        <v>0</v>
      </c>
      <c r="L894" s="32" t="str">
        <f aca="false">IF(AND(J894=1,E894&lt;&gt;""),E894+ROW()/100000,"")</f>
        <v/>
      </c>
      <c r="M894" s="32" t="str">
        <f aca="false">IF(D894="Planned",ROW(),"")</f>
        <v/>
      </c>
      <c r="N894" s="32" t="str">
        <f aca="true">IF(K894=1,IF(E894="",0,TODAY()-E894)+ROW()/100000,"")</f>
        <v/>
      </c>
      <c r="O894" s="32" t="str">
        <f aca="false">IF(N894="","",RANK(N894,$N$2:$N$1000))</f>
        <v/>
      </c>
    </row>
    <row r="895" customFormat="false" ht="15" hidden="false" customHeight="false" outlineLevel="0" collapsed="false">
      <c r="A895" s="33"/>
      <c r="B895" s="33"/>
      <c r="C895" s="33"/>
      <c r="D895" s="33"/>
      <c r="E895" s="34"/>
      <c r="F895" s="34"/>
      <c r="G895" s="35" t="str">
        <f aca="true">IF(OR(E895="",J895=0),"",IF(F895&lt;&gt;"",F895-E895,TODAY()-E895))</f>
        <v/>
      </c>
      <c r="H895" s="29"/>
      <c r="I895" s="33"/>
      <c r="J895" s="32" t="n">
        <f aca="false">IF(OR(D895="",D895="Planned"),0,1)</f>
        <v>0</v>
      </c>
      <c r="K895" s="32" t="n">
        <f aca="false">IF(OR(D895="Under review",D895="Revision requested"),1,0)</f>
        <v>0</v>
      </c>
      <c r="L895" s="32" t="str">
        <f aca="false">IF(AND(J895=1,E895&lt;&gt;""),E895+ROW()/100000,"")</f>
        <v/>
      </c>
      <c r="M895" s="32" t="str">
        <f aca="false">IF(D895="Planned",ROW(),"")</f>
        <v/>
      </c>
      <c r="N895" s="32" t="str">
        <f aca="true">IF(K895=1,IF(E895="",0,TODAY()-E895)+ROW()/100000,"")</f>
        <v/>
      </c>
      <c r="O895" s="32" t="str">
        <f aca="false">IF(N895="","",RANK(N895,$N$2:$N$1000))</f>
        <v/>
      </c>
    </row>
    <row r="896" customFormat="false" ht="15" hidden="false" customHeight="false" outlineLevel="0" collapsed="false">
      <c r="A896" s="33"/>
      <c r="B896" s="33"/>
      <c r="C896" s="33"/>
      <c r="D896" s="33"/>
      <c r="E896" s="34"/>
      <c r="F896" s="34"/>
      <c r="G896" s="35" t="str">
        <f aca="true">IF(OR(E896="",J896=0),"",IF(F896&lt;&gt;"",F896-E896,TODAY()-E896))</f>
        <v/>
      </c>
      <c r="H896" s="29"/>
      <c r="I896" s="33"/>
      <c r="J896" s="32" t="n">
        <f aca="false">IF(OR(D896="",D896="Planned"),0,1)</f>
        <v>0</v>
      </c>
      <c r="K896" s="32" t="n">
        <f aca="false">IF(OR(D896="Under review",D896="Revision requested"),1,0)</f>
        <v>0</v>
      </c>
      <c r="L896" s="32" t="str">
        <f aca="false">IF(AND(J896=1,E896&lt;&gt;""),E896+ROW()/100000,"")</f>
        <v/>
      </c>
      <c r="M896" s="32" t="str">
        <f aca="false">IF(D896="Planned",ROW(),"")</f>
        <v/>
      </c>
      <c r="N896" s="32" t="str">
        <f aca="true">IF(K896=1,IF(E896="",0,TODAY()-E896)+ROW()/100000,"")</f>
        <v/>
      </c>
      <c r="O896" s="32" t="str">
        <f aca="false">IF(N896="","",RANK(N896,$N$2:$N$1000))</f>
        <v/>
      </c>
    </row>
    <row r="897" customFormat="false" ht="15" hidden="false" customHeight="false" outlineLevel="0" collapsed="false">
      <c r="A897" s="33"/>
      <c r="B897" s="33"/>
      <c r="C897" s="33"/>
      <c r="D897" s="33"/>
      <c r="E897" s="34"/>
      <c r="F897" s="34"/>
      <c r="G897" s="35" t="str">
        <f aca="true">IF(OR(E897="",J897=0),"",IF(F897&lt;&gt;"",F897-E897,TODAY()-E897))</f>
        <v/>
      </c>
      <c r="H897" s="29"/>
      <c r="I897" s="33"/>
      <c r="J897" s="32" t="n">
        <f aca="false">IF(OR(D897="",D897="Planned"),0,1)</f>
        <v>0</v>
      </c>
      <c r="K897" s="32" t="n">
        <f aca="false">IF(OR(D897="Under review",D897="Revision requested"),1,0)</f>
        <v>0</v>
      </c>
      <c r="L897" s="32" t="str">
        <f aca="false">IF(AND(J897=1,E897&lt;&gt;""),E897+ROW()/100000,"")</f>
        <v/>
      </c>
      <c r="M897" s="32" t="str">
        <f aca="false">IF(D897="Planned",ROW(),"")</f>
        <v/>
      </c>
      <c r="N897" s="32" t="str">
        <f aca="true">IF(K897=1,IF(E897="",0,TODAY()-E897)+ROW()/100000,"")</f>
        <v/>
      </c>
      <c r="O897" s="32" t="str">
        <f aca="false">IF(N897="","",RANK(N897,$N$2:$N$1000))</f>
        <v/>
      </c>
    </row>
    <row r="898" customFormat="false" ht="15" hidden="false" customHeight="false" outlineLevel="0" collapsed="false">
      <c r="A898" s="33"/>
      <c r="B898" s="33"/>
      <c r="C898" s="33"/>
      <c r="D898" s="33"/>
      <c r="E898" s="34"/>
      <c r="F898" s="34"/>
      <c r="G898" s="35" t="str">
        <f aca="true">IF(OR(E898="",J898=0),"",IF(F898&lt;&gt;"",F898-E898,TODAY()-E898))</f>
        <v/>
      </c>
      <c r="H898" s="29"/>
      <c r="I898" s="33"/>
      <c r="J898" s="32" t="n">
        <f aca="false">IF(OR(D898="",D898="Planned"),0,1)</f>
        <v>0</v>
      </c>
      <c r="K898" s="32" t="n">
        <f aca="false">IF(OR(D898="Under review",D898="Revision requested"),1,0)</f>
        <v>0</v>
      </c>
      <c r="L898" s="32" t="str">
        <f aca="false">IF(AND(J898=1,E898&lt;&gt;""),E898+ROW()/100000,"")</f>
        <v/>
      </c>
      <c r="M898" s="32" t="str">
        <f aca="false">IF(D898="Planned",ROW(),"")</f>
        <v/>
      </c>
      <c r="N898" s="32" t="str">
        <f aca="true">IF(K898=1,IF(E898="",0,TODAY()-E898)+ROW()/100000,"")</f>
        <v/>
      </c>
      <c r="O898" s="32" t="str">
        <f aca="false">IF(N898="","",RANK(N898,$N$2:$N$1000))</f>
        <v/>
      </c>
    </row>
    <row r="899" customFormat="false" ht="15" hidden="false" customHeight="false" outlineLevel="0" collapsed="false">
      <c r="A899" s="33"/>
      <c r="B899" s="33"/>
      <c r="C899" s="33"/>
      <c r="D899" s="33"/>
      <c r="E899" s="34"/>
      <c r="F899" s="34"/>
      <c r="G899" s="35" t="str">
        <f aca="true">IF(OR(E899="",J899=0),"",IF(F899&lt;&gt;"",F899-E899,TODAY()-E899))</f>
        <v/>
      </c>
      <c r="H899" s="29"/>
      <c r="I899" s="33"/>
      <c r="J899" s="32" t="n">
        <f aca="false">IF(OR(D899="",D899="Planned"),0,1)</f>
        <v>0</v>
      </c>
      <c r="K899" s="32" t="n">
        <f aca="false">IF(OR(D899="Under review",D899="Revision requested"),1,0)</f>
        <v>0</v>
      </c>
      <c r="L899" s="32" t="str">
        <f aca="false">IF(AND(J899=1,E899&lt;&gt;""),E899+ROW()/100000,"")</f>
        <v/>
      </c>
      <c r="M899" s="32" t="str">
        <f aca="false">IF(D899="Planned",ROW(),"")</f>
        <v/>
      </c>
      <c r="N899" s="32" t="str">
        <f aca="true">IF(K899=1,IF(E899="",0,TODAY()-E899)+ROW()/100000,"")</f>
        <v/>
      </c>
      <c r="O899" s="32" t="str">
        <f aca="false">IF(N899="","",RANK(N899,$N$2:$N$1000))</f>
        <v/>
      </c>
    </row>
    <row r="900" customFormat="false" ht="15" hidden="false" customHeight="false" outlineLevel="0" collapsed="false">
      <c r="A900" s="33"/>
      <c r="B900" s="33"/>
      <c r="C900" s="33"/>
      <c r="D900" s="33"/>
      <c r="E900" s="34"/>
      <c r="F900" s="34"/>
      <c r="G900" s="35" t="str">
        <f aca="true">IF(OR(E900="",J900=0),"",IF(F900&lt;&gt;"",F900-E900,TODAY()-E900))</f>
        <v/>
      </c>
      <c r="H900" s="29"/>
      <c r="I900" s="33"/>
      <c r="J900" s="32" t="n">
        <f aca="false">IF(OR(D900="",D900="Planned"),0,1)</f>
        <v>0</v>
      </c>
      <c r="K900" s="32" t="n">
        <f aca="false">IF(OR(D900="Under review",D900="Revision requested"),1,0)</f>
        <v>0</v>
      </c>
      <c r="L900" s="32" t="str">
        <f aca="false">IF(AND(J900=1,E900&lt;&gt;""),E900+ROW()/100000,"")</f>
        <v/>
      </c>
      <c r="M900" s="32" t="str">
        <f aca="false">IF(D900="Planned",ROW(),"")</f>
        <v/>
      </c>
      <c r="N900" s="32" t="str">
        <f aca="true">IF(K900=1,IF(E900="",0,TODAY()-E900)+ROW()/100000,"")</f>
        <v/>
      </c>
      <c r="O900" s="32" t="str">
        <f aca="false">IF(N900="","",RANK(N900,$N$2:$N$1000))</f>
        <v/>
      </c>
    </row>
    <row r="901" customFormat="false" ht="15" hidden="false" customHeight="false" outlineLevel="0" collapsed="false">
      <c r="A901" s="33"/>
      <c r="B901" s="33"/>
      <c r="C901" s="33"/>
      <c r="D901" s="33"/>
      <c r="E901" s="34"/>
      <c r="F901" s="34"/>
      <c r="G901" s="35" t="str">
        <f aca="true">IF(OR(E901="",J901=0),"",IF(F901&lt;&gt;"",F901-E901,TODAY()-E901))</f>
        <v/>
      </c>
      <c r="H901" s="29"/>
      <c r="I901" s="33"/>
      <c r="J901" s="32" t="n">
        <f aca="false">IF(OR(D901="",D901="Planned"),0,1)</f>
        <v>0</v>
      </c>
      <c r="K901" s="32" t="n">
        <f aca="false">IF(OR(D901="Under review",D901="Revision requested"),1,0)</f>
        <v>0</v>
      </c>
      <c r="L901" s="32" t="str">
        <f aca="false">IF(AND(J901=1,E901&lt;&gt;""),E901+ROW()/100000,"")</f>
        <v/>
      </c>
      <c r="M901" s="32" t="str">
        <f aca="false">IF(D901="Planned",ROW(),"")</f>
        <v/>
      </c>
      <c r="N901" s="32" t="str">
        <f aca="true">IF(K901=1,IF(E901="",0,TODAY()-E901)+ROW()/100000,"")</f>
        <v/>
      </c>
      <c r="O901" s="32" t="str">
        <f aca="false">IF(N901="","",RANK(N901,$N$2:$N$1000))</f>
        <v/>
      </c>
    </row>
    <row r="902" customFormat="false" ht="15" hidden="false" customHeight="false" outlineLevel="0" collapsed="false">
      <c r="A902" s="33"/>
      <c r="B902" s="33"/>
      <c r="C902" s="33"/>
      <c r="D902" s="33"/>
      <c r="E902" s="34"/>
      <c r="F902" s="34"/>
      <c r="G902" s="35" t="str">
        <f aca="true">IF(OR(E902="",J902=0),"",IF(F902&lt;&gt;"",F902-E902,TODAY()-E902))</f>
        <v/>
      </c>
      <c r="H902" s="29"/>
      <c r="I902" s="33"/>
      <c r="J902" s="32" t="n">
        <f aca="false">IF(OR(D902="",D902="Planned"),0,1)</f>
        <v>0</v>
      </c>
      <c r="K902" s="32" t="n">
        <f aca="false">IF(OR(D902="Under review",D902="Revision requested"),1,0)</f>
        <v>0</v>
      </c>
      <c r="L902" s="32" t="str">
        <f aca="false">IF(AND(J902=1,E902&lt;&gt;""),E902+ROW()/100000,"")</f>
        <v/>
      </c>
      <c r="M902" s="32" t="str">
        <f aca="false">IF(D902="Planned",ROW(),"")</f>
        <v/>
      </c>
      <c r="N902" s="32" t="str">
        <f aca="true">IF(K902=1,IF(E902="",0,TODAY()-E902)+ROW()/100000,"")</f>
        <v/>
      </c>
      <c r="O902" s="32" t="str">
        <f aca="false">IF(N902="","",RANK(N902,$N$2:$N$1000))</f>
        <v/>
      </c>
    </row>
    <row r="903" customFormat="false" ht="15" hidden="false" customHeight="false" outlineLevel="0" collapsed="false">
      <c r="A903" s="33"/>
      <c r="B903" s="33"/>
      <c r="C903" s="33"/>
      <c r="D903" s="33"/>
      <c r="E903" s="34"/>
      <c r="F903" s="34"/>
      <c r="G903" s="35" t="str">
        <f aca="true">IF(OR(E903="",J903=0),"",IF(F903&lt;&gt;"",F903-E903,TODAY()-E903))</f>
        <v/>
      </c>
      <c r="H903" s="29"/>
      <c r="I903" s="33"/>
      <c r="J903" s="32" t="n">
        <f aca="false">IF(OR(D903="",D903="Planned"),0,1)</f>
        <v>0</v>
      </c>
      <c r="K903" s="32" t="n">
        <f aca="false">IF(OR(D903="Under review",D903="Revision requested"),1,0)</f>
        <v>0</v>
      </c>
      <c r="L903" s="32" t="str">
        <f aca="false">IF(AND(J903=1,E903&lt;&gt;""),E903+ROW()/100000,"")</f>
        <v/>
      </c>
      <c r="M903" s="32" t="str">
        <f aca="false">IF(D903="Planned",ROW(),"")</f>
        <v/>
      </c>
      <c r="N903" s="32" t="str">
        <f aca="true">IF(K903=1,IF(E903="",0,TODAY()-E903)+ROW()/100000,"")</f>
        <v/>
      </c>
      <c r="O903" s="32" t="str">
        <f aca="false">IF(N903="","",RANK(N903,$N$2:$N$1000))</f>
        <v/>
      </c>
    </row>
    <row r="904" customFormat="false" ht="15" hidden="false" customHeight="false" outlineLevel="0" collapsed="false">
      <c r="A904" s="33"/>
      <c r="B904" s="33"/>
      <c r="C904" s="33"/>
      <c r="D904" s="33"/>
      <c r="E904" s="34"/>
      <c r="F904" s="34"/>
      <c r="G904" s="35" t="str">
        <f aca="true">IF(OR(E904="",J904=0),"",IF(F904&lt;&gt;"",F904-E904,TODAY()-E904))</f>
        <v/>
      </c>
      <c r="H904" s="29"/>
      <c r="I904" s="33"/>
      <c r="J904" s="32" t="n">
        <f aca="false">IF(OR(D904="",D904="Planned"),0,1)</f>
        <v>0</v>
      </c>
      <c r="K904" s="32" t="n">
        <f aca="false">IF(OR(D904="Under review",D904="Revision requested"),1,0)</f>
        <v>0</v>
      </c>
      <c r="L904" s="32" t="str">
        <f aca="false">IF(AND(J904=1,E904&lt;&gt;""),E904+ROW()/100000,"")</f>
        <v/>
      </c>
      <c r="M904" s="32" t="str">
        <f aca="false">IF(D904="Planned",ROW(),"")</f>
        <v/>
      </c>
      <c r="N904" s="32" t="str">
        <f aca="true">IF(K904=1,IF(E904="",0,TODAY()-E904)+ROW()/100000,"")</f>
        <v/>
      </c>
      <c r="O904" s="32" t="str">
        <f aca="false">IF(N904="","",RANK(N904,$N$2:$N$1000))</f>
        <v/>
      </c>
    </row>
    <row r="905" customFormat="false" ht="15" hidden="false" customHeight="false" outlineLevel="0" collapsed="false">
      <c r="A905" s="33"/>
      <c r="B905" s="33"/>
      <c r="C905" s="33"/>
      <c r="D905" s="33"/>
      <c r="E905" s="34"/>
      <c r="F905" s="34"/>
      <c r="G905" s="35" t="str">
        <f aca="true">IF(OR(E905="",J905=0),"",IF(F905&lt;&gt;"",F905-E905,TODAY()-E905))</f>
        <v/>
      </c>
      <c r="H905" s="29"/>
      <c r="I905" s="33"/>
      <c r="J905" s="32" t="n">
        <f aca="false">IF(OR(D905="",D905="Planned"),0,1)</f>
        <v>0</v>
      </c>
      <c r="K905" s="32" t="n">
        <f aca="false">IF(OR(D905="Under review",D905="Revision requested"),1,0)</f>
        <v>0</v>
      </c>
      <c r="L905" s="32" t="str">
        <f aca="false">IF(AND(J905=1,E905&lt;&gt;""),E905+ROW()/100000,"")</f>
        <v/>
      </c>
      <c r="M905" s="32" t="str">
        <f aca="false">IF(D905="Planned",ROW(),"")</f>
        <v/>
      </c>
      <c r="N905" s="32" t="str">
        <f aca="true">IF(K905=1,IF(E905="",0,TODAY()-E905)+ROW()/100000,"")</f>
        <v/>
      </c>
      <c r="O905" s="32" t="str">
        <f aca="false">IF(N905="","",RANK(N905,$N$2:$N$1000))</f>
        <v/>
      </c>
    </row>
    <row r="906" customFormat="false" ht="15" hidden="false" customHeight="false" outlineLevel="0" collapsed="false">
      <c r="A906" s="33"/>
      <c r="B906" s="33"/>
      <c r="C906" s="33"/>
      <c r="D906" s="33"/>
      <c r="E906" s="34"/>
      <c r="F906" s="34"/>
      <c r="G906" s="35" t="str">
        <f aca="true">IF(OR(E906="",J906=0),"",IF(F906&lt;&gt;"",F906-E906,TODAY()-E906))</f>
        <v/>
      </c>
      <c r="H906" s="29"/>
      <c r="I906" s="33"/>
      <c r="J906" s="32" t="n">
        <f aca="false">IF(OR(D906="",D906="Planned"),0,1)</f>
        <v>0</v>
      </c>
      <c r="K906" s="32" t="n">
        <f aca="false">IF(OR(D906="Under review",D906="Revision requested"),1,0)</f>
        <v>0</v>
      </c>
      <c r="L906" s="32" t="str">
        <f aca="false">IF(AND(J906=1,E906&lt;&gt;""),E906+ROW()/100000,"")</f>
        <v/>
      </c>
      <c r="M906" s="32" t="str">
        <f aca="false">IF(D906="Planned",ROW(),"")</f>
        <v/>
      </c>
      <c r="N906" s="32" t="str">
        <f aca="true">IF(K906=1,IF(E906="",0,TODAY()-E906)+ROW()/100000,"")</f>
        <v/>
      </c>
      <c r="O906" s="32" t="str">
        <f aca="false">IF(N906="","",RANK(N906,$N$2:$N$1000))</f>
        <v/>
      </c>
    </row>
    <row r="907" customFormat="false" ht="15" hidden="false" customHeight="false" outlineLevel="0" collapsed="false">
      <c r="A907" s="33"/>
      <c r="B907" s="33"/>
      <c r="C907" s="33"/>
      <c r="D907" s="33"/>
      <c r="E907" s="34"/>
      <c r="F907" s="34"/>
      <c r="G907" s="35" t="str">
        <f aca="true">IF(OR(E907="",J907=0),"",IF(F907&lt;&gt;"",F907-E907,TODAY()-E907))</f>
        <v/>
      </c>
      <c r="H907" s="29"/>
      <c r="I907" s="33"/>
      <c r="J907" s="32" t="n">
        <f aca="false">IF(OR(D907="",D907="Planned"),0,1)</f>
        <v>0</v>
      </c>
      <c r="K907" s="32" t="n">
        <f aca="false">IF(OR(D907="Under review",D907="Revision requested"),1,0)</f>
        <v>0</v>
      </c>
      <c r="L907" s="32" t="str">
        <f aca="false">IF(AND(J907=1,E907&lt;&gt;""),E907+ROW()/100000,"")</f>
        <v/>
      </c>
      <c r="M907" s="32" t="str">
        <f aca="false">IF(D907="Planned",ROW(),"")</f>
        <v/>
      </c>
      <c r="N907" s="32" t="str">
        <f aca="true">IF(K907=1,IF(E907="",0,TODAY()-E907)+ROW()/100000,"")</f>
        <v/>
      </c>
      <c r="O907" s="32" t="str">
        <f aca="false">IF(N907="","",RANK(N907,$N$2:$N$1000))</f>
        <v/>
      </c>
    </row>
    <row r="908" customFormat="false" ht="15" hidden="false" customHeight="false" outlineLevel="0" collapsed="false">
      <c r="A908" s="33"/>
      <c r="B908" s="33"/>
      <c r="C908" s="33"/>
      <c r="D908" s="33"/>
      <c r="E908" s="34"/>
      <c r="F908" s="34"/>
      <c r="G908" s="35" t="str">
        <f aca="true">IF(OR(E908="",J908=0),"",IF(F908&lt;&gt;"",F908-E908,TODAY()-E908))</f>
        <v/>
      </c>
      <c r="H908" s="29"/>
      <c r="I908" s="33"/>
      <c r="J908" s="32" t="n">
        <f aca="false">IF(OR(D908="",D908="Planned"),0,1)</f>
        <v>0</v>
      </c>
      <c r="K908" s="32" t="n">
        <f aca="false">IF(OR(D908="Under review",D908="Revision requested"),1,0)</f>
        <v>0</v>
      </c>
      <c r="L908" s="32" t="str">
        <f aca="false">IF(AND(J908=1,E908&lt;&gt;""),E908+ROW()/100000,"")</f>
        <v/>
      </c>
      <c r="M908" s="32" t="str">
        <f aca="false">IF(D908="Planned",ROW(),"")</f>
        <v/>
      </c>
      <c r="N908" s="32" t="str">
        <f aca="true">IF(K908=1,IF(E908="",0,TODAY()-E908)+ROW()/100000,"")</f>
        <v/>
      </c>
      <c r="O908" s="32" t="str">
        <f aca="false">IF(N908="","",RANK(N908,$N$2:$N$1000))</f>
        <v/>
      </c>
    </row>
    <row r="909" customFormat="false" ht="15" hidden="false" customHeight="false" outlineLevel="0" collapsed="false">
      <c r="A909" s="33"/>
      <c r="B909" s="33"/>
      <c r="C909" s="33"/>
      <c r="D909" s="33"/>
      <c r="E909" s="34"/>
      <c r="F909" s="34"/>
      <c r="G909" s="35" t="str">
        <f aca="true">IF(OR(E909="",J909=0),"",IF(F909&lt;&gt;"",F909-E909,TODAY()-E909))</f>
        <v/>
      </c>
      <c r="H909" s="29"/>
      <c r="I909" s="33"/>
      <c r="J909" s="32" t="n">
        <f aca="false">IF(OR(D909="",D909="Planned"),0,1)</f>
        <v>0</v>
      </c>
      <c r="K909" s="32" t="n">
        <f aca="false">IF(OR(D909="Under review",D909="Revision requested"),1,0)</f>
        <v>0</v>
      </c>
      <c r="L909" s="32" t="str">
        <f aca="false">IF(AND(J909=1,E909&lt;&gt;""),E909+ROW()/100000,"")</f>
        <v/>
      </c>
      <c r="M909" s="32" t="str">
        <f aca="false">IF(D909="Planned",ROW(),"")</f>
        <v/>
      </c>
      <c r="N909" s="32" t="str">
        <f aca="true">IF(K909=1,IF(E909="",0,TODAY()-E909)+ROW()/100000,"")</f>
        <v/>
      </c>
      <c r="O909" s="32" t="str">
        <f aca="false">IF(N909="","",RANK(N909,$N$2:$N$1000))</f>
        <v/>
      </c>
    </row>
    <row r="910" customFormat="false" ht="15" hidden="false" customHeight="false" outlineLevel="0" collapsed="false">
      <c r="A910" s="33"/>
      <c r="B910" s="33"/>
      <c r="C910" s="33"/>
      <c r="D910" s="33"/>
      <c r="E910" s="34"/>
      <c r="F910" s="34"/>
      <c r="G910" s="35" t="str">
        <f aca="true">IF(OR(E910="",J910=0),"",IF(F910&lt;&gt;"",F910-E910,TODAY()-E910))</f>
        <v/>
      </c>
      <c r="H910" s="29"/>
      <c r="I910" s="33"/>
      <c r="J910" s="32" t="n">
        <f aca="false">IF(OR(D910="",D910="Planned"),0,1)</f>
        <v>0</v>
      </c>
      <c r="K910" s="32" t="n">
        <f aca="false">IF(OR(D910="Under review",D910="Revision requested"),1,0)</f>
        <v>0</v>
      </c>
      <c r="L910" s="32" t="str">
        <f aca="false">IF(AND(J910=1,E910&lt;&gt;""),E910+ROW()/100000,"")</f>
        <v/>
      </c>
      <c r="M910" s="32" t="str">
        <f aca="false">IF(D910="Planned",ROW(),"")</f>
        <v/>
      </c>
      <c r="N910" s="32" t="str">
        <f aca="true">IF(K910=1,IF(E910="",0,TODAY()-E910)+ROW()/100000,"")</f>
        <v/>
      </c>
      <c r="O910" s="32" t="str">
        <f aca="false">IF(N910="","",RANK(N910,$N$2:$N$1000))</f>
        <v/>
      </c>
    </row>
    <row r="911" customFormat="false" ht="15" hidden="false" customHeight="false" outlineLevel="0" collapsed="false">
      <c r="A911" s="33"/>
      <c r="B911" s="33"/>
      <c r="C911" s="33"/>
      <c r="D911" s="33"/>
      <c r="E911" s="34"/>
      <c r="F911" s="34"/>
      <c r="G911" s="35" t="str">
        <f aca="true">IF(OR(E911="",J911=0),"",IF(F911&lt;&gt;"",F911-E911,TODAY()-E911))</f>
        <v/>
      </c>
      <c r="H911" s="29"/>
      <c r="I911" s="33"/>
      <c r="J911" s="32" t="n">
        <f aca="false">IF(OR(D911="",D911="Planned"),0,1)</f>
        <v>0</v>
      </c>
      <c r="K911" s="32" t="n">
        <f aca="false">IF(OR(D911="Under review",D911="Revision requested"),1,0)</f>
        <v>0</v>
      </c>
      <c r="L911" s="32" t="str">
        <f aca="false">IF(AND(J911=1,E911&lt;&gt;""),E911+ROW()/100000,"")</f>
        <v/>
      </c>
      <c r="M911" s="32" t="str">
        <f aca="false">IF(D911="Planned",ROW(),"")</f>
        <v/>
      </c>
      <c r="N911" s="32" t="str">
        <f aca="true">IF(K911=1,IF(E911="",0,TODAY()-E911)+ROW()/100000,"")</f>
        <v/>
      </c>
      <c r="O911" s="32" t="str">
        <f aca="false">IF(N911="","",RANK(N911,$N$2:$N$1000))</f>
        <v/>
      </c>
    </row>
    <row r="912" customFormat="false" ht="15" hidden="false" customHeight="false" outlineLevel="0" collapsed="false">
      <c r="A912" s="33"/>
      <c r="B912" s="33"/>
      <c r="C912" s="33"/>
      <c r="D912" s="33"/>
      <c r="E912" s="34"/>
      <c r="F912" s="34"/>
      <c r="G912" s="35" t="str">
        <f aca="true">IF(OR(E912="",J912=0),"",IF(F912&lt;&gt;"",F912-E912,TODAY()-E912))</f>
        <v/>
      </c>
      <c r="H912" s="29"/>
      <c r="I912" s="33"/>
      <c r="J912" s="32" t="n">
        <f aca="false">IF(OR(D912="",D912="Planned"),0,1)</f>
        <v>0</v>
      </c>
      <c r="K912" s="32" t="n">
        <f aca="false">IF(OR(D912="Under review",D912="Revision requested"),1,0)</f>
        <v>0</v>
      </c>
      <c r="L912" s="32" t="str">
        <f aca="false">IF(AND(J912=1,E912&lt;&gt;""),E912+ROW()/100000,"")</f>
        <v/>
      </c>
      <c r="M912" s="32" t="str">
        <f aca="false">IF(D912="Planned",ROW(),"")</f>
        <v/>
      </c>
      <c r="N912" s="32" t="str">
        <f aca="true">IF(K912=1,IF(E912="",0,TODAY()-E912)+ROW()/100000,"")</f>
        <v/>
      </c>
      <c r="O912" s="32" t="str">
        <f aca="false">IF(N912="","",RANK(N912,$N$2:$N$1000))</f>
        <v/>
      </c>
    </row>
    <row r="913" customFormat="false" ht="15" hidden="false" customHeight="false" outlineLevel="0" collapsed="false">
      <c r="A913" s="33"/>
      <c r="B913" s="33"/>
      <c r="C913" s="33"/>
      <c r="D913" s="33"/>
      <c r="E913" s="34"/>
      <c r="F913" s="34"/>
      <c r="G913" s="35" t="str">
        <f aca="true">IF(OR(E913="",J913=0),"",IF(F913&lt;&gt;"",F913-E913,TODAY()-E913))</f>
        <v/>
      </c>
      <c r="H913" s="29"/>
      <c r="I913" s="33"/>
      <c r="J913" s="32" t="n">
        <f aca="false">IF(OR(D913="",D913="Planned"),0,1)</f>
        <v>0</v>
      </c>
      <c r="K913" s="32" t="n">
        <f aca="false">IF(OR(D913="Under review",D913="Revision requested"),1,0)</f>
        <v>0</v>
      </c>
      <c r="L913" s="32" t="str">
        <f aca="false">IF(AND(J913=1,E913&lt;&gt;""),E913+ROW()/100000,"")</f>
        <v/>
      </c>
      <c r="M913" s="32" t="str">
        <f aca="false">IF(D913="Planned",ROW(),"")</f>
        <v/>
      </c>
      <c r="N913" s="32" t="str">
        <f aca="true">IF(K913=1,IF(E913="",0,TODAY()-E913)+ROW()/100000,"")</f>
        <v/>
      </c>
      <c r="O913" s="32" t="str">
        <f aca="false">IF(N913="","",RANK(N913,$N$2:$N$1000))</f>
        <v/>
      </c>
    </row>
    <row r="914" customFormat="false" ht="15" hidden="false" customHeight="false" outlineLevel="0" collapsed="false">
      <c r="A914" s="33"/>
      <c r="B914" s="33"/>
      <c r="C914" s="33"/>
      <c r="D914" s="33"/>
      <c r="E914" s="34"/>
      <c r="F914" s="34"/>
      <c r="G914" s="35" t="str">
        <f aca="true">IF(OR(E914="",J914=0),"",IF(F914&lt;&gt;"",F914-E914,TODAY()-E914))</f>
        <v/>
      </c>
      <c r="H914" s="29"/>
      <c r="I914" s="33"/>
      <c r="J914" s="32" t="n">
        <f aca="false">IF(OR(D914="",D914="Planned"),0,1)</f>
        <v>0</v>
      </c>
      <c r="K914" s="32" t="n">
        <f aca="false">IF(OR(D914="Under review",D914="Revision requested"),1,0)</f>
        <v>0</v>
      </c>
      <c r="L914" s="32" t="str">
        <f aca="false">IF(AND(J914=1,E914&lt;&gt;""),E914+ROW()/100000,"")</f>
        <v/>
      </c>
      <c r="M914" s="32" t="str">
        <f aca="false">IF(D914="Planned",ROW(),"")</f>
        <v/>
      </c>
      <c r="N914" s="32" t="str">
        <f aca="true">IF(K914=1,IF(E914="",0,TODAY()-E914)+ROW()/100000,"")</f>
        <v/>
      </c>
      <c r="O914" s="32" t="str">
        <f aca="false">IF(N914="","",RANK(N914,$N$2:$N$1000))</f>
        <v/>
      </c>
    </row>
    <row r="915" customFormat="false" ht="15" hidden="false" customHeight="false" outlineLevel="0" collapsed="false">
      <c r="A915" s="33"/>
      <c r="B915" s="33"/>
      <c r="C915" s="33"/>
      <c r="D915" s="33"/>
      <c r="E915" s="34"/>
      <c r="F915" s="34"/>
      <c r="G915" s="35" t="str">
        <f aca="true">IF(OR(E915="",J915=0),"",IF(F915&lt;&gt;"",F915-E915,TODAY()-E915))</f>
        <v/>
      </c>
      <c r="H915" s="29"/>
      <c r="I915" s="33"/>
      <c r="J915" s="32" t="n">
        <f aca="false">IF(OR(D915="",D915="Planned"),0,1)</f>
        <v>0</v>
      </c>
      <c r="K915" s="32" t="n">
        <f aca="false">IF(OR(D915="Under review",D915="Revision requested"),1,0)</f>
        <v>0</v>
      </c>
      <c r="L915" s="32" t="str">
        <f aca="false">IF(AND(J915=1,E915&lt;&gt;""),E915+ROW()/100000,"")</f>
        <v/>
      </c>
      <c r="M915" s="32" t="str">
        <f aca="false">IF(D915="Planned",ROW(),"")</f>
        <v/>
      </c>
      <c r="N915" s="32" t="str">
        <f aca="true">IF(K915=1,IF(E915="",0,TODAY()-E915)+ROW()/100000,"")</f>
        <v/>
      </c>
      <c r="O915" s="32" t="str">
        <f aca="false">IF(N915="","",RANK(N915,$N$2:$N$1000))</f>
        <v/>
      </c>
    </row>
    <row r="916" customFormat="false" ht="15" hidden="false" customHeight="false" outlineLevel="0" collapsed="false">
      <c r="A916" s="33"/>
      <c r="B916" s="33"/>
      <c r="C916" s="33"/>
      <c r="D916" s="33"/>
      <c r="E916" s="34"/>
      <c r="F916" s="34"/>
      <c r="G916" s="35" t="str">
        <f aca="true">IF(OR(E916="",J916=0),"",IF(F916&lt;&gt;"",F916-E916,TODAY()-E916))</f>
        <v/>
      </c>
      <c r="H916" s="29"/>
      <c r="I916" s="33"/>
      <c r="J916" s="32" t="n">
        <f aca="false">IF(OR(D916="",D916="Planned"),0,1)</f>
        <v>0</v>
      </c>
      <c r="K916" s="32" t="n">
        <f aca="false">IF(OR(D916="Under review",D916="Revision requested"),1,0)</f>
        <v>0</v>
      </c>
      <c r="L916" s="32" t="str">
        <f aca="false">IF(AND(J916=1,E916&lt;&gt;""),E916+ROW()/100000,"")</f>
        <v/>
      </c>
      <c r="M916" s="32" t="str">
        <f aca="false">IF(D916="Planned",ROW(),"")</f>
        <v/>
      </c>
      <c r="N916" s="32" t="str">
        <f aca="true">IF(K916=1,IF(E916="",0,TODAY()-E916)+ROW()/100000,"")</f>
        <v/>
      </c>
      <c r="O916" s="32" t="str">
        <f aca="false">IF(N916="","",RANK(N916,$N$2:$N$1000))</f>
        <v/>
      </c>
    </row>
    <row r="917" customFormat="false" ht="15" hidden="false" customHeight="false" outlineLevel="0" collapsed="false">
      <c r="A917" s="33"/>
      <c r="B917" s="33"/>
      <c r="C917" s="33"/>
      <c r="D917" s="33"/>
      <c r="E917" s="34"/>
      <c r="F917" s="34"/>
      <c r="G917" s="35" t="str">
        <f aca="true">IF(OR(E917="",J917=0),"",IF(F917&lt;&gt;"",F917-E917,TODAY()-E917))</f>
        <v/>
      </c>
      <c r="H917" s="29"/>
      <c r="I917" s="33"/>
      <c r="J917" s="32" t="n">
        <f aca="false">IF(OR(D917="",D917="Planned"),0,1)</f>
        <v>0</v>
      </c>
      <c r="K917" s="32" t="n">
        <f aca="false">IF(OR(D917="Under review",D917="Revision requested"),1,0)</f>
        <v>0</v>
      </c>
      <c r="L917" s="32" t="str">
        <f aca="false">IF(AND(J917=1,E917&lt;&gt;""),E917+ROW()/100000,"")</f>
        <v/>
      </c>
      <c r="M917" s="32" t="str">
        <f aca="false">IF(D917="Planned",ROW(),"")</f>
        <v/>
      </c>
      <c r="N917" s="32" t="str">
        <f aca="true">IF(K917=1,IF(E917="",0,TODAY()-E917)+ROW()/100000,"")</f>
        <v/>
      </c>
      <c r="O917" s="32" t="str">
        <f aca="false">IF(N917="","",RANK(N917,$N$2:$N$1000))</f>
        <v/>
      </c>
    </row>
    <row r="918" customFormat="false" ht="15" hidden="false" customHeight="false" outlineLevel="0" collapsed="false">
      <c r="A918" s="33"/>
      <c r="B918" s="33"/>
      <c r="C918" s="33"/>
      <c r="D918" s="33"/>
      <c r="E918" s="34"/>
      <c r="F918" s="34"/>
      <c r="G918" s="35" t="str">
        <f aca="true">IF(OR(E918="",J918=0),"",IF(F918&lt;&gt;"",F918-E918,TODAY()-E918))</f>
        <v/>
      </c>
      <c r="H918" s="29"/>
      <c r="I918" s="33"/>
      <c r="J918" s="32" t="n">
        <f aca="false">IF(OR(D918="",D918="Planned"),0,1)</f>
        <v>0</v>
      </c>
      <c r="K918" s="32" t="n">
        <f aca="false">IF(OR(D918="Under review",D918="Revision requested"),1,0)</f>
        <v>0</v>
      </c>
      <c r="L918" s="32" t="str">
        <f aca="false">IF(AND(J918=1,E918&lt;&gt;""),E918+ROW()/100000,"")</f>
        <v/>
      </c>
      <c r="M918" s="32" t="str">
        <f aca="false">IF(D918="Planned",ROW(),"")</f>
        <v/>
      </c>
      <c r="N918" s="32" t="str">
        <f aca="true">IF(K918=1,IF(E918="",0,TODAY()-E918)+ROW()/100000,"")</f>
        <v/>
      </c>
      <c r="O918" s="32" t="str">
        <f aca="false">IF(N918="","",RANK(N918,$N$2:$N$1000))</f>
        <v/>
      </c>
    </row>
    <row r="919" customFormat="false" ht="15" hidden="false" customHeight="false" outlineLevel="0" collapsed="false">
      <c r="A919" s="33"/>
      <c r="B919" s="33"/>
      <c r="C919" s="33"/>
      <c r="D919" s="33"/>
      <c r="E919" s="34"/>
      <c r="F919" s="34"/>
      <c r="G919" s="35" t="str">
        <f aca="true">IF(OR(E919="",J919=0),"",IF(F919&lt;&gt;"",F919-E919,TODAY()-E919))</f>
        <v/>
      </c>
      <c r="H919" s="29"/>
      <c r="I919" s="33"/>
      <c r="J919" s="32" t="n">
        <f aca="false">IF(OR(D919="",D919="Planned"),0,1)</f>
        <v>0</v>
      </c>
      <c r="K919" s="32" t="n">
        <f aca="false">IF(OR(D919="Under review",D919="Revision requested"),1,0)</f>
        <v>0</v>
      </c>
      <c r="L919" s="32" t="str">
        <f aca="false">IF(AND(J919=1,E919&lt;&gt;""),E919+ROW()/100000,"")</f>
        <v/>
      </c>
      <c r="M919" s="32" t="str">
        <f aca="false">IF(D919="Planned",ROW(),"")</f>
        <v/>
      </c>
      <c r="N919" s="32" t="str">
        <f aca="true">IF(K919=1,IF(E919="",0,TODAY()-E919)+ROW()/100000,"")</f>
        <v/>
      </c>
      <c r="O919" s="32" t="str">
        <f aca="false">IF(N919="","",RANK(N919,$N$2:$N$1000))</f>
        <v/>
      </c>
    </row>
    <row r="920" customFormat="false" ht="15" hidden="false" customHeight="false" outlineLevel="0" collapsed="false">
      <c r="A920" s="33"/>
      <c r="B920" s="33"/>
      <c r="C920" s="33"/>
      <c r="D920" s="33"/>
      <c r="E920" s="34"/>
      <c r="F920" s="34"/>
      <c r="G920" s="35" t="str">
        <f aca="true">IF(OR(E920="",J920=0),"",IF(F920&lt;&gt;"",F920-E920,TODAY()-E920))</f>
        <v/>
      </c>
      <c r="H920" s="29"/>
      <c r="I920" s="33"/>
      <c r="J920" s="32" t="n">
        <f aca="false">IF(OR(D920="",D920="Planned"),0,1)</f>
        <v>0</v>
      </c>
      <c r="K920" s="32" t="n">
        <f aca="false">IF(OR(D920="Under review",D920="Revision requested"),1,0)</f>
        <v>0</v>
      </c>
      <c r="L920" s="32" t="str">
        <f aca="false">IF(AND(J920=1,E920&lt;&gt;""),E920+ROW()/100000,"")</f>
        <v/>
      </c>
      <c r="M920" s="32" t="str">
        <f aca="false">IF(D920="Planned",ROW(),"")</f>
        <v/>
      </c>
      <c r="N920" s="32" t="str">
        <f aca="true">IF(K920=1,IF(E920="",0,TODAY()-E920)+ROW()/100000,"")</f>
        <v/>
      </c>
      <c r="O920" s="32" t="str">
        <f aca="false">IF(N920="","",RANK(N920,$N$2:$N$1000))</f>
        <v/>
      </c>
    </row>
    <row r="921" customFormat="false" ht="15" hidden="false" customHeight="false" outlineLevel="0" collapsed="false">
      <c r="A921" s="33"/>
      <c r="B921" s="33"/>
      <c r="C921" s="33"/>
      <c r="D921" s="33"/>
      <c r="E921" s="34"/>
      <c r="F921" s="34"/>
      <c r="G921" s="35" t="str">
        <f aca="true">IF(OR(E921="",J921=0),"",IF(F921&lt;&gt;"",F921-E921,TODAY()-E921))</f>
        <v/>
      </c>
      <c r="H921" s="29"/>
      <c r="I921" s="33"/>
      <c r="J921" s="32" t="n">
        <f aca="false">IF(OR(D921="",D921="Planned"),0,1)</f>
        <v>0</v>
      </c>
      <c r="K921" s="32" t="n">
        <f aca="false">IF(OR(D921="Under review",D921="Revision requested"),1,0)</f>
        <v>0</v>
      </c>
      <c r="L921" s="32" t="str">
        <f aca="false">IF(AND(J921=1,E921&lt;&gt;""),E921+ROW()/100000,"")</f>
        <v/>
      </c>
      <c r="M921" s="32" t="str">
        <f aca="false">IF(D921="Planned",ROW(),"")</f>
        <v/>
      </c>
      <c r="N921" s="32" t="str">
        <f aca="true">IF(K921=1,IF(E921="",0,TODAY()-E921)+ROW()/100000,"")</f>
        <v/>
      </c>
      <c r="O921" s="32" t="str">
        <f aca="false">IF(N921="","",RANK(N921,$N$2:$N$1000))</f>
        <v/>
      </c>
    </row>
    <row r="922" customFormat="false" ht="15" hidden="false" customHeight="false" outlineLevel="0" collapsed="false">
      <c r="A922" s="33"/>
      <c r="B922" s="33"/>
      <c r="C922" s="33"/>
      <c r="D922" s="33"/>
      <c r="E922" s="34"/>
      <c r="F922" s="34"/>
      <c r="G922" s="35" t="str">
        <f aca="true">IF(OR(E922="",J922=0),"",IF(F922&lt;&gt;"",F922-E922,TODAY()-E922))</f>
        <v/>
      </c>
      <c r="H922" s="29"/>
      <c r="I922" s="33"/>
      <c r="J922" s="32" t="n">
        <f aca="false">IF(OR(D922="",D922="Planned"),0,1)</f>
        <v>0</v>
      </c>
      <c r="K922" s="32" t="n">
        <f aca="false">IF(OR(D922="Under review",D922="Revision requested"),1,0)</f>
        <v>0</v>
      </c>
      <c r="L922" s="32" t="str">
        <f aca="false">IF(AND(J922=1,E922&lt;&gt;""),E922+ROW()/100000,"")</f>
        <v/>
      </c>
      <c r="M922" s="32" t="str">
        <f aca="false">IF(D922="Planned",ROW(),"")</f>
        <v/>
      </c>
      <c r="N922" s="32" t="str">
        <f aca="true">IF(K922=1,IF(E922="",0,TODAY()-E922)+ROW()/100000,"")</f>
        <v/>
      </c>
      <c r="O922" s="32" t="str">
        <f aca="false">IF(N922="","",RANK(N922,$N$2:$N$1000))</f>
        <v/>
      </c>
    </row>
    <row r="923" customFormat="false" ht="15" hidden="false" customHeight="false" outlineLevel="0" collapsed="false">
      <c r="A923" s="33"/>
      <c r="B923" s="33"/>
      <c r="C923" s="33"/>
      <c r="D923" s="33"/>
      <c r="E923" s="34"/>
      <c r="F923" s="34"/>
      <c r="G923" s="35" t="str">
        <f aca="true">IF(OR(E923="",J923=0),"",IF(F923&lt;&gt;"",F923-E923,TODAY()-E923))</f>
        <v/>
      </c>
      <c r="H923" s="29"/>
      <c r="I923" s="33"/>
      <c r="J923" s="32" t="n">
        <f aca="false">IF(OR(D923="",D923="Planned"),0,1)</f>
        <v>0</v>
      </c>
      <c r="K923" s="32" t="n">
        <f aca="false">IF(OR(D923="Under review",D923="Revision requested"),1,0)</f>
        <v>0</v>
      </c>
      <c r="L923" s="32" t="str">
        <f aca="false">IF(AND(J923=1,E923&lt;&gt;""),E923+ROW()/100000,"")</f>
        <v/>
      </c>
      <c r="M923" s="32" t="str">
        <f aca="false">IF(D923="Planned",ROW(),"")</f>
        <v/>
      </c>
      <c r="N923" s="32" t="str">
        <f aca="true">IF(K923=1,IF(E923="",0,TODAY()-E923)+ROW()/100000,"")</f>
        <v/>
      </c>
      <c r="O923" s="32" t="str">
        <f aca="false">IF(N923="","",RANK(N923,$N$2:$N$1000))</f>
        <v/>
      </c>
    </row>
    <row r="924" customFormat="false" ht="15" hidden="false" customHeight="false" outlineLevel="0" collapsed="false">
      <c r="A924" s="33"/>
      <c r="B924" s="33"/>
      <c r="C924" s="33"/>
      <c r="D924" s="33"/>
      <c r="E924" s="34"/>
      <c r="F924" s="34"/>
      <c r="G924" s="35" t="str">
        <f aca="true">IF(OR(E924="",J924=0),"",IF(F924&lt;&gt;"",F924-E924,TODAY()-E924))</f>
        <v/>
      </c>
      <c r="H924" s="29"/>
      <c r="I924" s="33"/>
      <c r="J924" s="32" t="n">
        <f aca="false">IF(OR(D924="",D924="Planned"),0,1)</f>
        <v>0</v>
      </c>
      <c r="K924" s="32" t="n">
        <f aca="false">IF(OR(D924="Under review",D924="Revision requested"),1,0)</f>
        <v>0</v>
      </c>
      <c r="L924" s="32" t="str">
        <f aca="false">IF(AND(J924=1,E924&lt;&gt;""),E924+ROW()/100000,"")</f>
        <v/>
      </c>
      <c r="M924" s="32" t="str">
        <f aca="false">IF(D924="Planned",ROW(),"")</f>
        <v/>
      </c>
      <c r="N924" s="32" t="str">
        <f aca="true">IF(K924=1,IF(E924="",0,TODAY()-E924)+ROW()/100000,"")</f>
        <v/>
      </c>
      <c r="O924" s="32" t="str">
        <f aca="false">IF(N924="","",RANK(N924,$N$2:$N$1000))</f>
        <v/>
      </c>
    </row>
    <row r="925" customFormat="false" ht="15" hidden="false" customHeight="false" outlineLevel="0" collapsed="false">
      <c r="A925" s="33"/>
      <c r="B925" s="33"/>
      <c r="C925" s="33"/>
      <c r="D925" s="33"/>
      <c r="E925" s="34"/>
      <c r="F925" s="34"/>
      <c r="G925" s="35" t="str">
        <f aca="true">IF(OR(E925="",J925=0),"",IF(F925&lt;&gt;"",F925-E925,TODAY()-E925))</f>
        <v/>
      </c>
      <c r="H925" s="29"/>
      <c r="I925" s="33"/>
      <c r="J925" s="32" t="n">
        <f aca="false">IF(OR(D925="",D925="Planned"),0,1)</f>
        <v>0</v>
      </c>
      <c r="K925" s="32" t="n">
        <f aca="false">IF(OR(D925="Under review",D925="Revision requested"),1,0)</f>
        <v>0</v>
      </c>
      <c r="L925" s="32" t="str">
        <f aca="false">IF(AND(J925=1,E925&lt;&gt;""),E925+ROW()/100000,"")</f>
        <v/>
      </c>
      <c r="M925" s="32" t="str">
        <f aca="false">IF(D925="Planned",ROW(),"")</f>
        <v/>
      </c>
      <c r="N925" s="32" t="str">
        <f aca="true">IF(K925=1,IF(E925="",0,TODAY()-E925)+ROW()/100000,"")</f>
        <v/>
      </c>
      <c r="O925" s="32" t="str">
        <f aca="false">IF(N925="","",RANK(N925,$N$2:$N$1000))</f>
        <v/>
      </c>
    </row>
    <row r="926" customFormat="false" ht="15" hidden="false" customHeight="false" outlineLevel="0" collapsed="false">
      <c r="A926" s="33"/>
      <c r="B926" s="33"/>
      <c r="C926" s="33"/>
      <c r="D926" s="33"/>
      <c r="E926" s="34"/>
      <c r="F926" s="34"/>
      <c r="G926" s="35" t="str">
        <f aca="true">IF(OR(E926="",J926=0),"",IF(F926&lt;&gt;"",F926-E926,TODAY()-E926))</f>
        <v/>
      </c>
      <c r="H926" s="29"/>
      <c r="I926" s="33"/>
      <c r="J926" s="32" t="n">
        <f aca="false">IF(OR(D926="",D926="Planned"),0,1)</f>
        <v>0</v>
      </c>
      <c r="K926" s="32" t="n">
        <f aca="false">IF(OR(D926="Under review",D926="Revision requested"),1,0)</f>
        <v>0</v>
      </c>
      <c r="L926" s="32" t="str">
        <f aca="false">IF(AND(J926=1,E926&lt;&gt;""),E926+ROW()/100000,"")</f>
        <v/>
      </c>
      <c r="M926" s="32" t="str">
        <f aca="false">IF(D926="Planned",ROW(),"")</f>
        <v/>
      </c>
      <c r="N926" s="32" t="str">
        <f aca="true">IF(K926=1,IF(E926="",0,TODAY()-E926)+ROW()/100000,"")</f>
        <v/>
      </c>
      <c r="O926" s="32" t="str">
        <f aca="false">IF(N926="","",RANK(N926,$N$2:$N$1000))</f>
        <v/>
      </c>
    </row>
    <row r="927" customFormat="false" ht="15" hidden="false" customHeight="false" outlineLevel="0" collapsed="false">
      <c r="A927" s="33"/>
      <c r="B927" s="33"/>
      <c r="C927" s="33"/>
      <c r="D927" s="33"/>
      <c r="E927" s="34"/>
      <c r="F927" s="34"/>
      <c r="G927" s="35" t="str">
        <f aca="true">IF(OR(E927="",J927=0),"",IF(F927&lt;&gt;"",F927-E927,TODAY()-E927))</f>
        <v/>
      </c>
      <c r="H927" s="29"/>
      <c r="I927" s="33"/>
      <c r="J927" s="32" t="n">
        <f aca="false">IF(OR(D927="",D927="Planned"),0,1)</f>
        <v>0</v>
      </c>
      <c r="K927" s="32" t="n">
        <f aca="false">IF(OR(D927="Under review",D927="Revision requested"),1,0)</f>
        <v>0</v>
      </c>
      <c r="L927" s="32" t="str">
        <f aca="false">IF(AND(J927=1,E927&lt;&gt;""),E927+ROW()/100000,"")</f>
        <v/>
      </c>
      <c r="M927" s="32" t="str">
        <f aca="false">IF(D927="Planned",ROW(),"")</f>
        <v/>
      </c>
      <c r="N927" s="32" t="str">
        <f aca="true">IF(K927=1,IF(E927="",0,TODAY()-E927)+ROW()/100000,"")</f>
        <v/>
      </c>
      <c r="O927" s="32" t="str">
        <f aca="false">IF(N927="","",RANK(N927,$N$2:$N$1000))</f>
        <v/>
      </c>
    </row>
    <row r="928" customFormat="false" ht="15" hidden="false" customHeight="false" outlineLevel="0" collapsed="false">
      <c r="A928" s="33"/>
      <c r="B928" s="33"/>
      <c r="C928" s="33"/>
      <c r="D928" s="33"/>
      <c r="E928" s="34"/>
      <c r="F928" s="34"/>
      <c r="G928" s="35" t="str">
        <f aca="true">IF(OR(E928="",J928=0),"",IF(F928&lt;&gt;"",F928-E928,TODAY()-E928))</f>
        <v/>
      </c>
      <c r="H928" s="29"/>
      <c r="I928" s="33"/>
      <c r="J928" s="32" t="n">
        <f aca="false">IF(OR(D928="",D928="Planned"),0,1)</f>
        <v>0</v>
      </c>
      <c r="K928" s="32" t="n">
        <f aca="false">IF(OR(D928="Under review",D928="Revision requested"),1,0)</f>
        <v>0</v>
      </c>
      <c r="L928" s="32" t="str">
        <f aca="false">IF(AND(J928=1,E928&lt;&gt;""),E928+ROW()/100000,"")</f>
        <v/>
      </c>
      <c r="M928" s="32" t="str">
        <f aca="false">IF(D928="Planned",ROW(),"")</f>
        <v/>
      </c>
      <c r="N928" s="32" t="str">
        <f aca="true">IF(K928=1,IF(E928="",0,TODAY()-E928)+ROW()/100000,"")</f>
        <v/>
      </c>
      <c r="O928" s="32" t="str">
        <f aca="false">IF(N928="","",RANK(N928,$N$2:$N$1000))</f>
        <v/>
      </c>
    </row>
    <row r="929" customFormat="false" ht="15" hidden="false" customHeight="false" outlineLevel="0" collapsed="false">
      <c r="A929" s="33"/>
      <c r="B929" s="33"/>
      <c r="C929" s="33"/>
      <c r="D929" s="33"/>
      <c r="E929" s="34"/>
      <c r="F929" s="34"/>
      <c r="G929" s="35" t="str">
        <f aca="true">IF(OR(E929="",J929=0),"",IF(F929&lt;&gt;"",F929-E929,TODAY()-E929))</f>
        <v/>
      </c>
      <c r="H929" s="29"/>
      <c r="I929" s="33"/>
      <c r="J929" s="32" t="n">
        <f aca="false">IF(OR(D929="",D929="Planned"),0,1)</f>
        <v>0</v>
      </c>
      <c r="K929" s="32" t="n">
        <f aca="false">IF(OR(D929="Under review",D929="Revision requested"),1,0)</f>
        <v>0</v>
      </c>
      <c r="L929" s="32" t="str">
        <f aca="false">IF(AND(J929=1,E929&lt;&gt;""),E929+ROW()/100000,"")</f>
        <v/>
      </c>
      <c r="M929" s="32" t="str">
        <f aca="false">IF(D929="Planned",ROW(),"")</f>
        <v/>
      </c>
      <c r="N929" s="32" t="str">
        <f aca="true">IF(K929=1,IF(E929="",0,TODAY()-E929)+ROW()/100000,"")</f>
        <v/>
      </c>
      <c r="O929" s="32" t="str">
        <f aca="false">IF(N929="","",RANK(N929,$N$2:$N$1000))</f>
        <v/>
      </c>
    </row>
    <row r="930" customFormat="false" ht="15" hidden="false" customHeight="false" outlineLevel="0" collapsed="false">
      <c r="A930" s="33"/>
      <c r="B930" s="33"/>
      <c r="C930" s="33"/>
      <c r="D930" s="33"/>
      <c r="E930" s="34"/>
      <c r="F930" s="34"/>
      <c r="G930" s="35" t="str">
        <f aca="true">IF(OR(E930="",J930=0),"",IF(F930&lt;&gt;"",F930-E930,TODAY()-E930))</f>
        <v/>
      </c>
      <c r="H930" s="29"/>
      <c r="I930" s="33"/>
      <c r="J930" s="32" t="n">
        <f aca="false">IF(OR(D930="",D930="Planned"),0,1)</f>
        <v>0</v>
      </c>
      <c r="K930" s="32" t="n">
        <f aca="false">IF(OR(D930="Under review",D930="Revision requested"),1,0)</f>
        <v>0</v>
      </c>
      <c r="L930" s="32" t="str">
        <f aca="false">IF(AND(J930=1,E930&lt;&gt;""),E930+ROW()/100000,"")</f>
        <v/>
      </c>
      <c r="M930" s="32" t="str">
        <f aca="false">IF(D930="Planned",ROW(),"")</f>
        <v/>
      </c>
      <c r="N930" s="32" t="str">
        <f aca="true">IF(K930=1,IF(E930="",0,TODAY()-E930)+ROW()/100000,"")</f>
        <v/>
      </c>
      <c r="O930" s="32" t="str">
        <f aca="false">IF(N930="","",RANK(N930,$N$2:$N$1000))</f>
        <v/>
      </c>
    </row>
    <row r="931" customFormat="false" ht="15" hidden="false" customHeight="false" outlineLevel="0" collapsed="false">
      <c r="A931" s="33"/>
      <c r="B931" s="33"/>
      <c r="C931" s="33"/>
      <c r="D931" s="33"/>
      <c r="E931" s="34"/>
      <c r="F931" s="34"/>
      <c r="G931" s="35" t="str">
        <f aca="true">IF(OR(E931="",J931=0),"",IF(F931&lt;&gt;"",F931-E931,TODAY()-E931))</f>
        <v/>
      </c>
      <c r="H931" s="29"/>
      <c r="I931" s="33"/>
      <c r="J931" s="32" t="n">
        <f aca="false">IF(OR(D931="",D931="Planned"),0,1)</f>
        <v>0</v>
      </c>
      <c r="K931" s="32" t="n">
        <f aca="false">IF(OR(D931="Under review",D931="Revision requested"),1,0)</f>
        <v>0</v>
      </c>
      <c r="L931" s="32" t="str">
        <f aca="false">IF(AND(J931=1,E931&lt;&gt;""),E931+ROW()/100000,"")</f>
        <v/>
      </c>
      <c r="M931" s="32" t="str">
        <f aca="false">IF(D931="Planned",ROW(),"")</f>
        <v/>
      </c>
      <c r="N931" s="32" t="str">
        <f aca="true">IF(K931=1,IF(E931="",0,TODAY()-E931)+ROW()/100000,"")</f>
        <v/>
      </c>
      <c r="O931" s="32" t="str">
        <f aca="false">IF(N931="","",RANK(N931,$N$2:$N$1000))</f>
        <v/>
      </c>
    </row>
    <row r="932" customFormat="false" ht="15" hidden="false" customHeight="false" outlineLevel="0" collapsed="false">
      <c r="A932" s="33"/>
      <c r="B932" s="33"/>
      <c r="C932" s="33"/>
      <c r="D932" s="33"/>
      <c r="E932" s="34"/>
      <c r="F932" s="34"/>
      <c r="G932" s="35" t="str">
        <f aca="true">IF(OR(E932="",J932=0),"",IF(F932&lt;&gt;"",F932-E932,TODAY()-E932))</f>
        <v/>
      </c>
      <c r="H932" s="29"/>
      <c r="I932" s="33"/>
      <c r="J932" s="32" t="n">
        <f aca="false">IF(OR(D932="",D932="Planned"),0,1)</f>
        <v>0</v>
      </c>
      <c r="K932" s="32" t="n">
        <f aca="false">IF(OR(D932="Under review",D932="Revision requested"),1,0)</f>
        <v>0</v>
      </c>
      <c r="L932" s="32" t="str">
        <f aca="false">IF(AND(J932=1,E932&lt;&gt;""),E932+ROW()/100000,"")</f>
        <v/>
      </c>
      <c r="M932" s="32" t="str">
        <f aca="false">IF(D932="Planned",ROW(),"")</f>
        <v/>
      </c>
      <c r="N932" s="32" t="str">
        <f aca="true">IF(K932=1,IF(E932="",0,TODAY()-E932)+ROW()/100000,"")</f>
        <v/>
      </c>
      <c r="O932" s="32" t="str">
        <f aca="false">IF(N932="","",RANK(N932,$N$2:$N$1000))</f>
        <v/>
      </c>
    </row>
    <row r="933" customFormat="false" ht="15" hidden="false" customHeight="false" outlineLevel="0" collapsed="false">
      <c r="A933" s="33"/>
      <c r="B933" s="33"/>
      <c r="C933" s="33"/>
      <c r="D933" s="33"/>
      <c r="E933" s="34"/>
      <c r="F933" s="34"/>
      <c r="G933" s="35" t="str">
        <f aca="true">IF(OR(E933="",J933=0),"",IF(F933&lt;&gt;"",F933-E933,TODAY()-E933))</f>
        <v/>
      </c>
      <c r="H933" s="29"/>
      <c r="I933" s="33"/>
      <c r="J933" s="32" t="n">
        <f aca="false">IF(OR(D933="",D933="Planned"),0,1)</f>
        <v>0</v>
      </c>
      <c r="K933" s="32" t="n">
        <f aca="false">IF(OR(D933="Under review",D933="Revision requested"),1,0)</f>
        <v>0</v>
      </c>
      <c r="L933" s="32" t="str">
        <f aca="false">IF(AND(J933=1,E933&lt;&gt;""),E933+ROW()/100000,"")</f>
        <v/>
      </c>
      <c r="M933" s="32" t="str">
        <f aca="false">IF(D933="Planned",ROW(),"")</f>
        <v/>
      </c>
      <c r="N933" s="32" t="str">
        <f aca="true">IF(K933=1,IF(E933="",0,TODAY()-E933)+ROW()/100000,"")</f>
        <v/>
      </c>
      <c r="O933" s="32" t="str">
        <f aca="false">IF(N933="","",RANK(N933,$N$2:$N$1000))</f>
        <v/>
      </c>
    </row>
    <row r="934" customFormat="false" ht="15" hidden="false" customHeight="false" outlineLevel="0" collapsed="false">
      <c r="A934" s="33"/>
      <c r="B934" s="33"/>
      <c r="C934" s="33"/>
      <c r="D934" s="33"/>
      <c r="E934" s="34"/>
      <c r="F934" s="34"/>
      <c r="G934" s="35" t="str">
        <f aca="true">IF(OR(E934="",J934=0),"",IF(F934&lt;&gt;"",F934-E934,TODAY()-E934))</f>
        <v/>
      </c>
      <c r="H934" s="29"/>
      <c r="I934" s="33"/>
      <c r="J934" s="32" t="n">
        <f aca="false">IF(OR(D934="",D934="Planned"),0,1)</f>
        <v>0</v>
      </c>
      <c r="K934" s="32" t="n">
        <f aca="false">IF(OR(D934="Under review",D934="Revision requested"),1,0)</f>
        <v>0</v>
      </c>
      <c r="L934" s="32" t="str">
        <f aca="false">IF(AND(J934=1,E934&lt;&gt;""),E934+ROW()/100000,"")</f>
        <v/>
      </c>
      <c r="M934" s="32" t="str">
        <f aca="false">IF(D934="Planned",ROW(),"")</f>
        <v/>
      </c>
      <c r="N934" s="32" t="str">
        <f aca="true">IF(K934=1,IF(E934="",0,TODAY()-E934)+ROW()/100000,"")</f>
        <v/>
      </c>
      <c r="O934" s="32" t="str">
        <f aca="false">IF(N934="","",RANK(N934,$N$2:$N$1000))</f>
        <v/>
      </c>
    </row>
    <row r="935" customFormat="false" ht="15" hidden="false" customHeight="false" outlineLevel="0" collapsed="false">
      <c r="A935" s="33"/>
      <c r="B935" s="33"/>
      <c r="C935" s="33"/>
      <c r="D935" s="33"/>
      <c r="E935" s="34"/>
      <c r="F935" s="34"/>
      <c r="G935" s="35" t="str">
        <f aca="true">IF(OR(E935="",J935=0),"",IF(F935&lt;&gt;"",F935-E935,TODAY()-E935))</f>
        <v/>
      </c>
      <c r="H935" s="29"/>
      <c r="I935" s="33"/>
      <c r="J935" s="32" t="n">
        <f aca="false">IF(OR(D935="",D935="Planned"),0,1)</f>
        <v>0</v>
      </c>
      <c r="K935" s="32" t="n">
        <f aca="false">IF(OR(D935="Under review",D935="Revision requested"),1,0)</f>
        <v>0</v>
      </c>
      <c r="L935" s="32" t="str">
        <f aca="false">IF(AND(J935=1,E935&lt;&gt;""),E935+ROW()/100000,"")</f>
        <v/>
      </c>
      <c r="M935" s="32" t="str">
        <f aca="false">IF(D935="Planned",ROW(),"")</f>
        <v/>
      </c>
      <c r="N935" s="32" t="str">
        <f aca="true">IF(K935=1,IF(E935="",0,TODAY()-E935)+ROW()/100000,"")</f>
        <v/>
      </c>
      <c r="O935" s="32" t="str">
        <f aca="false">IF(N935="","",RANK(N935,$N$2:$N$1000))</f>
        <v/>
      </c>
    </row>
    <row r="936" customFormat="false" ht="15" hidden="false" customHeight="false" outlineLevel="0" collapsed="false">
      <c r="A936" s="33"/>
      <c r="B936" s="33"/>
      <c r="C936" s="33"/>
      <c r="D936" s="33"/>
      <c r="E936" s="34"/>
      <c r="F936" s="34"/>
      <c r="G936" s="35" t="str">
        <f aca="true">IF(OR(E936="",J936=0),"",IF(F936&lt;&gt;"",F936-E936,TODAY()-E936))</f>
        <v/>
      </c>
      <c r="H936" s="29"/>
      <c r="I936" s="33"/>
      <c r="J936" s="32" t="n">
        <f aca="false">IF(OR(D936="",D936="Planned"),0,1)</f>
        <v>0</v>
      </c>
      <c r="K936" s="32" t="n">
        <f aca="false">IF(OR(D936="Under review",D936="Revision requested"),1,0)</f>
        <v>0</v>
      </c>
      <c r="L936" s="32" t="str">
        <f aca="false">IF(AND(J936=1,E936&lt;&gt;""),E936+ROW()/100000,"")</f>
        <v/>
      </c>
      <c r="M936" s="32" t="str">
        <f aca="false">IF(D936="Planned",ROW(),"")</f>
        <v/>
      </c>
      <c r="N936" s="32" t="str">
        <f aca="true">IF(K936=1,IF(E936="",0,TODAY()-E936)+ROW()/100000,"")</f>
        <v/>
      </c>
      <c r="O936" s="32" t="str">
        <f aca="false">IF(N936="","",RANK(N936,$N$2:$N$1000))</f>
        <v/>
      </c>
    </row>
    <row r="937" customFormat="false" ht="15" hidden="false" customHeight="false" outlineLevel="0" collapsed="false">
      <c r="A937" s="33"/>
      <c r="B937" s="33"/>
      <c r="C937" s="33"/>
      <c r="D937" s="33"/>
      <c r="E937" s="34"/>
      <c r="F937" s="34"/>
      <c r="G937" s="35" t="str">
        <f aca="true">IF(OR(E937="",J937=0),"",IF(F937&lt;&gt;"",F937-E937,TODAY()-E937))</f>
        <v/>
      </c>
      <c r="H937" s="29"/>
      <c r="I937" s="33"/>
      <c r="J937" s="32" t="n">
        <f aca="false">IF(OR(D937="",D937="Planned"),0,1)</f>
        <v>0</v>
      </c>
      <c r="K937" s="32" t="n">
        <f aca="false">IF(OR(D937="Under review",D937="Revision requested"),1,0)</f>
        <v>0</v>
      </c>
      <c r="L937" s="32" t="str">
        <f aca="false">IF(AND(J937=1,E937&lt;&gt;""),E937+ROW()/100000,"")</f>
        <v/>
      </c>
      <c r="M937" s="32" t="str">
        <f aca="false">IF(D937="Planned",ROW(),"")</f>
        <v/>
      </c>
      <c r="N937" s="32" t="str">
        <f aca="true">IF(K937=1,IF(E937="",0,TODAY()-E937)+ROW()/100000,"")</f>
        <v/>
      </c>
      <c r="O937" s="32" t="str">
        <f aca="false">IF(N937="","",RANK(N937,$N$2:$N$1000))</f>
        <v/>
      </c>
    </row>
    <row r="938" customFormat="false" ht="15" hidden="false" customHeight="false" outlineLevel="0" collapsed="false">
      <c r="A938" s="33"/>
      <c r="B938" s="33"/>
      <c r="C938" s="33"/>
      <c r="D938" s="33"/>
      <c r="E938" s="34"/>
      <c r="F938" s="34"/>
      <c r="G938" s="35" t="str">
        <f aca="true">IF(OR(E938="",J938=0),"",IF(F938&lt;&gt;"",F938-E938,TODAY()-E938))</f>
        <v/>
      </c>
      <c r="H938" s="29"/>
      <c r="I938" s="33"/>
      <c r="J938" s="32" t="n">
        <f aca="false">IF(OR(D938="",D938="Planned"),0,1)</f>
        <v>0</v>
      </c>
      <c r="K938" s="32" t="n">
        <f aca="false">IF(OR(D938="Under review",D938="Revision requested"),1,0)</f>
        <v>0</v>
      </c>
      <c r="L938" s="32" t="str">
        <f aca="false">IF(AND(J938=1,E938&lt;&gt;""),E938+ROW()/100000,"")</f>
        <v/>
      </c>
      <c r="M938" s="32" t="str">
        <f aca="false">IF(D938="Planned",ROW(),"")</f>
        <v/>
      </c>
      <c r="N938" s="32" t="str">
        <f aca="true">IF(K938=1,IF(E938="",0,TODAY()-E938)+ROW()/100000,"")</f>
        <v/>
      </c>
      <c r="O938" s="32" t="str">
        <f aca="false">IF(N938="","",RANK(N938,$N$2:$N$1000))</f>
        <v/>
      </c>
    </row>
    <row r="939" customFormat="false" ht="15" hidden="false" customHeight="false" outlineLevel="0" collapsed="false">
      <c r="A939" s="33"/>
      <c r="B939" s="33"/>
      <c r="C939" s="33"/>
      <c r="D939" s="33"/>
      <c r="E939" s="34"/>
      <c r="F939" s="34"/>
      <c r="G939" s="35" t="str">
        <f aca="true">IF(OR(E939="",J939=0),"",IF(F939&lt;&gt;"",F939-E939,TODAY()-E939))</f>
        <v/>
      </c>
      <c r="H939" s="29"/>
      <c r="I939" s="33"/>
      <c r="J939" s="32" t="n">
        <f aca="false">IF(OR(D939="",D939="Planned"),0,1)</f>
        <v>0</v>
      </c>
      <c r="K939" s="32" t="n">
        <f aca="false">IF(OR(D939="Under review",D939="Revision requested"),1,0)</f>
        <v>0</v>
      </c>
      <c r="L939" s="32" t="str">
        <f aca="false">IF(AND(J939=1,E939&lt;&gt;""),E939+ROW()/100000,"")</f>
        <v/>
      </c>
      <c r="M939" s="32" t="str">
        <f aca="false">IF(D939="Planned",ROW(),"")</f>
        <v/>
      </c>
      <c r="N939" s="32" t="str">
        <f aca="true">IF(K939=1,IF(E939="",0,TODAY()-E939)+ROW()/100000,"")</f>
        <v/>
      </c>
      <c r="O939" s="32" t="str">
        <f aca="false">IF(N939="","",RANK(N939,$N$2:$N$1000))</f>
        <v/>
      </c>
    </row>
    <row r="940" customFormat="false" ht="15" hidden="false" customHeight="false" outlineLevel="0" collapsed="false">
      <c r="A940" s="33"/>
      <c r="B940" s="33"/>
      <c r="C940" s="33"/>
      <c r="D940" s="33"/>
      <c r="E940" s="34"/>
      <c r="F940" s="34"/>
      <c r="G940" s="35" t="str">
        <f aca="true">IF(OR(E940="",J940=0),"",IF(F940&lt;&gt;"",F940-E940,TODAY()-E940))</f>
        <v/>
      </c>
      <c r="H940" s="29"/>
      <c r="I940" s="33"/>
      <c r="J940" s="32" t="n">
        <f aca="false">IF(OR(D940="",D940="Planned"),0,1)</f>
        <v>0</v>
      </c>
      <c r="K940" s="32" t="n">
        <f aca="false">IF(OR(D940="Under review",D940="Revision requested"),1,0)</f>
        <v>0</v>
      </c>
      <c r="L940" s="32" t="str">
        <f aca="false">IF(AND(J940=1,E940&lt;&gt;""),E940+ROW()/100000,"")</f>
        <v/>
      </c>
      <c r="M940" s="32" t="str">
        <f aca="false">IF(D940="Planned",ROW(),"")</f>
        <v/>
      </c>
      <c r="N940" s="32" t="str">
        <f aca="true">IF(K940=1,IF(E940="",0,TODAY()-E940)+ROW()/100000,"")</f>
        <v/>
      </c>
      <c r="O940" s="32" t="str">
        <f aca="false">IF(N940="","",RANK(N940,$N$2:$N$1000))</f>
        <v/>
      </c>
    </row>
    <row r="941" customFormat="false" ht="15" hidden="false" customHeight="false" outlineLevel="0" collapsed="false">
      <c r="A941" s="33"/>
      <c r="B941" s="33"/>
      <c r="C941" s="33"/>
      <c r="D941" s="33"/>
      <c r="E941" s="34"/>
      <c r="F941" s="34"/>
      <c r="G941" s="35" t="str">
        <f aca="true">IF(OR(E941="",J941=0),"",IF(F941&lt;&gt;"",F941-E941,TODAY()-E941))</f>
        <v/>
      </c>
      <c r="H941" s="29"/>
      <c r="I941" s="33"/>
      <c r="J941" s="32" t="n">
        <f aca="false">IF(OR(D941="",D941="Planned"),0,1)</f>
        <v>0</v>
      </c>
      <c r="K941" s="32" t="n">
        <f aca="false">IF(OR(D941="Under review",D941="Revision requested"),1,0)</f>
        <v>0</v>
      </c>
      <c r="L941" s="32" t="str">
        <f aca="false">IF(AND(J941=1,E941&lt;&gt;""),E941+ROW()/100000,"")</f>
        <v/>
      </c>
      <c r="M941" s="32" t="str">
        <f aca="false">IF(D941="Planned",ROW(),"")</f>
        <v/>
      </c>
      <c r="N941" s="32" t="str">
        <f aca="true">IF(K941=1,IF(E941="",0,TODAY()-E941)+ROW()/100000,"")</f>
        <v/>
      </c>
      <c r="O941" s="32" t="str">
        <f aca="false">IF(N941="","",RANK(N941,$N$2:$N$1000))</f>
        <v/>
      </c>
    </row>
    <row r="942" customFormat="false" ht="15" hidden="false" customHeight="false" outlineLevel="0" collapsed="false">
      <c r="A942" s="33"/>
      <c r="B942" s="33"/>
      <c r="C942" s="33"/>
      <c r="D942" s="33"/>
      <c r="E942" s="34"/>
      <c r="F942" s="34"/>
      <c r="G942" s="35" t="str">
        <f aca="true">IF(OR(E942="",J942=0),"",IF(F942&lt;&gt;"",F942-E942,TODAY()-E942))</f>
        <v/>
      </c>
      <c r="H942" s="29"/>
      <c r="I942" s="33"/>
      <c r="J942" s="32" t="n">
        <f aca="false">IF(OR(D942="",D942="Planned"),0,1)</f>
        <v>0</v>
      </c>
      <c r="K942" s="32" t="n">
        <f aca="false">IF(OR(D942="Under review",D942="Revision requested"),1,0)</f>
        <v>0</v>
      </c>
      <c r="L942" s="32" t="str">
        <f aca="false">IF(AND(J942=1,E942&lt;&gt;""),E942+ROW()/100000,"")</f>
        <v/>
      </c>
      <c r="M942" s="32" t="str">
        <f aca="false">IF(D942="Planned",ROW(),"")</f>
        <v/>
      </c>
      <c r="N942" s="32" t="str">
        <f aca="true">IF(K942=1,IF(E942="",0,TODAY()-E942)+ROW()/100000,"")</f>
        <v/>
      </c>
      <c r="O942" s="32" t="str">
        <f aca="false">IF(N942="","",RANK(N942,$N$2:$N$1000))</f>
        <v/>
      </c>
    </row>
    <row r="943" customFormat="false" ht="15" hidden="false" customHeight="false" outlineLevel="0" collapsed="false">
      <c r="A943" s="33"/>
      <c r="B943" s="33"/>
      <c r="C943" s="33"/>
      <c r="D943" s="33"/>
      <c r="E943" s="34"/>
      <c r="F943" s="34"/>
      <c r="G943" s="35" t="str">
        <f aca="true">IF(OR(E943="",J943=0),"",IF(F943&lt;&gt;"",F943-E943,TODAY()-E943))</f>
        <v/>
      </c>
      <c r="H943" s="29"/>
      <c r="I943" s="33"/>
      <c r="J943" s="32" t="n">
        <f aca="false">IF(OR(D943="",D943="Planned"),0,1)</f>
        <v>0</v>
      </c>
      <c r="K943" s="32" t="n">
        <f aca="false">IF(OR(D943="Under review",D943="Revision requested"),1,0)</f>
        <v>0</v>
      </c>
      <c r="L943" s="32" t="str">
        <f aca="false">IF(AND(J943=1,E943&lt;&gt;""),E943+ROW()/100000,"")</f>
        <v/>
      </c>
      <c r="M943" s="32" t="str">
        <f aca="false">IF(D943="Planned",ROW(),"")</f>
        <v/>
      </c>
      <c r="N943" s="32" t="str">
        <f aca="true">IF(K943=1,IF(E943="",0,TODAY()-E943)+ROW()/100000,"")</f>
        <v/>
      </c>
      <c r="O943" s="32" t="str">
        <f aca="false">IF(N943="","",RANK(N943,$N$2:$N$1000))</f>
        <v/>
      </c>
    </row>
    <row r="944" customFormat="false" ht="15" hidden="false" customHeight="false" outlineLevel="0" collapsed="false">
      <c r="A944" s="33"/>
      <c r="B944" s="33"/>
      <c r="C944" s="33"/>
      <c r="D944" s="33"/>
      <c r="E944" s="34"/>
      <c r="F944" s="34"/>
      <c r="G944" s="35" t="str">
        <f aca="true">IF(OR(E944="",J944=0),"",IF(F944&lt;&gt;"",F944-E944,TODAY()-E944))</f>
        <v/>
      </c>
      <c r="H944" s="29"/>
      <c r="I944" s="33"/>
      <c r="J944" s="32" t="n">
        <f aca="false">IF(OR(D944="",D944="Planned"),0,1)</f>
        <v>0</v>
      </c>
      <c r="K944" s="32" t="n">
        <f aca="false">IF(OR(D944="Under review",D944="Revision requested"),1,0)</f>
        <v>0</v>
      </c>
      <c r="L944" s="32" t="str">
        <f aca="false">IF(AND(J944=1,E944&lt;&gt;""),E944+ROW()/100000,"")</f>
        <v/>
      </c>
      <c r="M944" s="32" t="str">
        <f aca="false">IF(D944="Planned",ROW(),"")</f>
        <v/>
      </c>
      <c r="N944" s="32" t="str">
        <f aca="true">IF(K944=1,IF(E944="",0,TODAY()-E944)+ROW()/100000,"")</f>
        <v/>
      </c>
      <c r="O944" s="32" t="str">
        <f aca="false">IF(N944="","",RANK(N944,$N$2:$N$1000))</f>
        <v/>
      </c>
    </row>
    <row r="945" customFormat="false" ht="15" hidden="false" customHeight="false" outlineLevel="0" collapsed="false">
      <c r="A945" s="33"/>
      <c r="B945" s="33"/>
      <c r="C945" s="33"/>
      <c r="D945" s="33"/>
      <c r="E945" s="34"/>
      <c r="F945" s="34"/>
      <c r="G945" s="35" t="str">
        <f aca="true">IF(OR(E945="",J945=0),"",IF(F945&lt;&gt;"",F945-E945,TODAY()-E945))</f>
        <v/>
      </c>
      <c r="H945" s="29"/>
      <c r="I945" s="33"/>
      <c r="J945" s="32" t="n">
        <f aca="false">IF(OR(D945="",D945="Planned"),0,1)</f>
        <v>0</v>
      </c>
      <c r="K945" s="32" t="n">
        <f aca="false">IF(OR(D945="Under review",D945="Revision requested"),1,0)</f>
        <v>0</v>
      </c>
      <c r="L945" s="32" t="str">
        <f aca="false">IF(AND(J945=1,E945&lt;&gt;""),E945+ROW()/100000,"")</f>
        <v/>
      </c>
      <c r="M945" s="32" t="str">
        <f aca="false">IF(D945="Planned",ROW(),"")</f>
        <v/>
      </c>
      <c r="N945" s="32" t="str">
        <f aca="true">IF(K945=1,IF(E945="",0,TODAY()-E945)+ROW()/100000,"")</f>
        <v/>
      </c>
      <c r="O945" s="32" t="str">
        <f aca="false">IF(N945="","",RANK(N945,$N$2:$N$1000))</f>
        <v/>
      </c>
    </row>
    <row r="946" customFormat="false" ht="15" hidden="false" customHeight="false" outlineLevel="0" collapsed="false">
      <c r="A946" s="33"/>
      <c r="B946" s="33"/>
      <c r="C946" s="33"/>
      <c r="D946" s="33"/>
      <c r="E946" s="34"/>
      <c r="F946" s="34"/>
      <c r="G946" s="35" t="str">
        <f aca="true">IF(OR(E946="",J946=0),"",IF(F946&lt;&gt;"",F946-E946,TODAY()-E946))</f>
        <v/>
      </c>
      <c r="H946" s="29"/>
      <c r="I946" s="33"/>
      <c r="J946" s="32" t="n">
        <f aca="false">IF(OR(D946="",D946="Planned"),0,1)</f>
        <v>0</v>
      </c>
      <c r="K946" s="32" t="n">
        <f aca="false">IF(OR(D946="Under review",D946="Revision requested"),1,0)</f>
        <v>0</v>
      </c>
      <c r="L946" s="32" t="str">
        <f aca="false">IF(AND(J946=1,E946&lt;&gt;""),E946+ROW()/100000,"")</f>
        <v/>
      </c>
      <c r="M946" s="32" t="str">
        <f aca="false">IF(D946="Planned",ROW(),"")</f>
        <v/>
      </c>
      <c r="N946" s="32" t="str">
        <f aca="true">IF(K946=1,IF(E946="",0,TODAY()-E946)+ROW()/100000,"")</f>
        <v/>
      </c>
      <c r="O946" s="32" t="str">
        <f aca="false">IF(N946="","",RANK(N946,$N$2:$N$1000))</f>
        <v/>
      </c>
    </row>
    <row r="947" customFormat="false" ht="15" hidden="false" customHeight="false" outlineLevel="0" collapsed="false">
      <c r="A947" s="33"/>
      <c r="B947" s="33"/>
      <c r="C947" s="33"/>
      <c r="D947" s="33"/>
      <c r="E947" s="34"/>
      <c r="F947" s="34"/>
      <c r="G947" s="35" t="str">
        <f aca="true">IF(OR(E947="",J947=0),"",IF(F947&lt;&gt;"",F947-E947,TODAY()-E947))</f>
        <v/>
      </c>
      <c r="H947" s="29"/>
      <c r="I947" s="33"/>
      <c r="J947" s="32" t="n">
        <f aca="false">IF(OR(D947="",D947="Planned"),0,1)</f>
        <v>0</v>
      </c>
      <c r="K947" s="32" t="n">
        <f aca="false">IF(OR(D947="Under review",D947="Revision requested"),1,0)</f>
        <v>0</v>
      </c>
      <c r="L947" s="32" t="str">
        <f aca="false">IF(AND(J947=1,E947&lt;&gt;""),E947+ROW()/100000,"")</f>
        <v/>
      </c>
      <c r="M947" s="32" t="str">
        <f aca="false">IF(D947="Planned",ROW(),"")</f>
        <v/>
      </c>
      <c r="N947" s="32" t="str">
        <f aca="true">IF(K947=1,IF(E947="",0,TODAY()-E947)+ROW()/100000,"")</f>
        <v/>
      </c>
      <c r="O947" s="32" t="str">
        <f aca="false">IF(N947="","",RANK(N947,$N$2:$N$1000))</f>
        <v/>
      </c>
    </row>
    <row r="948" customFormat="false" ht="15" hidden="false" customHeight="false" outlineLevel="0" collapsed="false">
      <c r="A948" s="33"/>
      <c r="B948" s="33"/>
      <c r="C948" s="33"/>
      <c r="D948" s="33"/>
      <c r="E948" s="34"/>
      <c r="F948" s="34"/>
      <c r="G948" s="35" t="str">
        <f aca="true">IF(OR(E948="",J948=0),"",IF(F948&lt;&gt;"",F948-E948,TODAY()-E948))</f>
        <v/>
      </c>
      <c r="H948" s="29"/>
      <c r="I948" s="33"/>
      <c r="J948" s="32" t="n">
        <f aca="false">IF(OR(D948="",D948="Planned"),0,1)</f>
        <v>0</v>
      </c>
      <c r="K948" s="32" t="n">
        <f aca="false">IF(OR(D948="Under review",D948="Revision requested"),1,0)</f>
        <v>0</v>
      </c>
      <c r="L948" s="32" t="str">
        <f aca="false">IF(AND(J948=1,E948&lt;&gt;""),E948+ROW()/100000,"")</f>
        <v/>
      </c>
      <c r="M948" s="32" t="str">
        <f aca="false">IF(D948="Planned",ROW(),"")</f>
        <v/>
      </c>
      <c r="N948" s="32" t="str">
        <f aca="true">IF(K948=1,IF(E948="",0,TODAY()-E948)+ROW()/100000,"")</f>
        <v/>
      </c>
      <c r="O948" s="32" t="str">
        <f aca="false">IF(N948="","",RANK(N948,$N$2:$N$1000))</f>
        <v/>
      </c>
    </row>
    <row r="949" customFormat="false" ht="15" hidden="false" customHeight="false" outlineLevel="0" collapsed="false">
      <c r="A949" s="33"/>
      <c r="B949" s="33"/>
      <c r="C949" s="33"/>
      <c r="D949" s="33"/>
      <c r="E949" s="34"/>
      <c r="F949" s="34"/>
      <c r="G949" s="35" t="str">
        <f aca="true">IF(OR(E949="",J949=0),"",IF(F949&lt;&gt;"",F949-E949,TODAY()-E949))</f>
        <v/>
      </c>
      <c r="H949" s="29"/>
      <c r="I949" s="33"/>
      <c r="J949" s="32" t="n">
        <f aca="false">IF(OR(D949="",D949="Planned"),0,1)</f>
        <v>0</v>
      </c>
      <c r="K949" s="32" t="n">
        <f aca="false">IF(OR(D949="Under review",D949="Revision requested"),1,0)</f>
        <v>0</v>
      </c>
      <c r="L949" s="32" t="str">
        <f aca="false">IF(AND(J949=1,E949&lt;&gt;""),E949+ROW()/100000,"")</f>
        <v/>
      </c>
      <c r="M949" s="32" t="str">
        <f aca="false">IF(D949="Planned",ROW(),"")</f>
        <v/>
      </c>
      <c r="N949" s="32" t="str">
        <f aca="true">IF(K949=1,IF(E949="",0,TODAY()-E949)+ROW()/100000,"")</f>
        <v/>
      </c>
      <c r="O949" s="32" t="str">
        <f aca="false">IF(N949="","",RANK(N949,$N$2:$N$1000))</f>
        <v/>
      </c>
    </row>
    <row r="950" customFormat="false" ht="15" hidden="false" customHeight="false" outlineLevel="0" collapsed="false">
      <c r="A950" s="33"/>
      <c r="B950" s="33"/>
      <c r="C950" s="33"/>
      <c r="D950" s="33"/>
      <c r="E950" s="34"/>
      <c r="F950" s="34"/>
      <c r="G950" s="35" t="str">
        <f aca="true">IF(OR(E950="",J950=0),"",IF(F950&lt;&gt;"",F950-E950,TODAY()-E950))</f>
        <v/>
      </c>
      <c r="H950" s="29"/>
      <c r="I950" s="33"/>
      <c r="J950" s="32" t="n">
        <f aca="false">IF(OR(D950="",D950="Planned"),0,1)</f>
        <v>0</v>
      </c>
      <c r="K950" s="32" t="n">
        <f aca="false">IF(OR(D950="Under review",D950="Revision requested"),1,0)</f>
        <v>0</v>
      </c>
      <c r="L950" s="32" t="str">
        <f aca="false">IF(AND(J950=1,E950&lt;&gt;""),E950+ROW()/100000,"")</f>
        <v/>
      </c>
      <c r="M950" s="32" t="str">
        <f aca="false">IF(D950="Planned",ROW(),"")</f>
        <v/>
      </c>
      <c r="N950" s="32" t="str">
        <f aca="true">IF(K950=1,IF(E950="",0,TODAY()-E950)+ROW()/100000,"")</f>
        <v/>
      </c>
      <c r="O950" s="32" t="str">
        <f aca="false">IF(N950="","",RANK(N950,$N$2:$N$1000))</f>
        <v/>
      </c>
    </row>
    <row r="951" customFormat="false" ht="15" hidden="false" customHeight="false" outlineLevel="0" collapsed="false">
      <c r="A951" s="33"/>
      <c r="B951" s="33"/>
      <c r="C951" s="33"/>
      <c r="D951" s="33"/>
      <c r="E951" s="34"/>
      <c r="F951" s="34"/>
      <c r="G951" s="35" t="str">
        <f aca="true">IF(OR(E951="",J951=0),"",IF(F951&lt;&gt;"",F951-E951,TODAY()-E951))</f>
        <v/>
      </c>
      <c r="H951" s="29"/>
      <c r="I951" s="33"/>
      <c r="J951" s="32" t="n">
        <f aca="false">IF(OR(D951="",D951="Planned"),0,1)</f>
        <v>0</v>
      </c>
      <c r="K951" s="32" t="n">
        <f aca="false">IF(OR(D951="Under review",D951="Revision requested"),1,0)</f>
        <v>0</v>
      </c>
      <c r="L951" s="32" t="str">
        <f aca="false">IF(AND(J951=1,E951&lt;&gt;""),E951+ROW()/100000,"")</f>
        <v/>
      </c>
      <c r="M951" s="32" t="str">
        <f aca="false">IF(D951="Planned",ROW(),"")</f>
        <v/>
      </c>
      <c r="N951" s="32" t="str">
        <f aca="true">IF(K951=1,IF(E951="",0,TODAY()-E951)+ROW()/100000,"")</f>
        <v/>
      </c>
      <c r="O951" s="32" t="str">
        <f aca="false">IF(N951="","",RANK(N951,$N$2:$N$1000))</f>
        <v/>
      </c>
    </row>
    <row r="952" customFormat="false" ht="15" hidden="false" customHeight="false" outlineLevel="0" collapsed="false">
      <c r="A952" s="33"/>
      <c r="B952" s="33"/>
      <c r="C952" s="33"/>
      <c r="D952" s="33"/>
      <c r="E952" s="34"/>
      <c r="F952" s="34"/>
      <c r="G952" s="35" t="str">
        <f aca="true">IF(OR(E952="",J952=0),"",IF(F952&lt;&gt;"",F952-E952,TODAY()-E952))</f>
        <v/>
      </c>
      <c r="H952" s="29"/>
      <c r="I952" s="33"/>
      <c r="J952" s="32" t="n">
        <f aca="false">IF(OR(D952="",D952="Planned"),0,1)</f>
        <v>0</v>
      </c>
      <c r="K952" s="32" t="n">
        <f aca="false">IF(OR(D952="Under review",D952="Revision requested"),1,0)</f>
        <v>0</v>
      </c>
      <c r="L952" s="32" t="str">
        <f aca="false">IF(AND(J952=1,E952&lt;&gt;""),E952+ROW()/100000,"")</f>
        <v/>
      </c>
      <c r="M952" s="32" t="str">
        <f aca="false">IF(D952="Planned",ROW(),"")</f>
        <v/>
      </c>
      <c r="N952" s="32" t="str">
        <f aca="true">IF(K952=1,IF(E952="",0,TODAY()-E952)+ROW()/100000,"")</f>
        <v/>
      </c>
      <c r="O952" s="32" t="str">
        <f aca="false">IF(N952="","",RANK(N952,$N$2:$N$1000))</f>
        <v/>
      </c>
    </row>
    <row r="953" customFormat="false" ht="15" hidden="false" customHeight="false" outlineLevel="0" collapsed="false">
      <c r="A953" s="33"/>
      <c r="B953" s="33"/>
      <c r="C953" s="33"/>
      <c r="D953" s="33"/>
      <c r="E953" s="34"/>
      <c r="F953" s="34"/>
      <c r="G953" s="35" t="str">
        <f aca="true">IF(OR(E953="",J953=0),"",IF(F953&lt;&gt;"",F953-E953,TODAY()-E953))</f>
        <v/>
      </c>
      <c r="H953" s="29"/>
      <c r="I953" s="33"/>
      <c r="J953" s="32" t="n">
        <f aca="false">IF(OR(D953="",D953="Planned"),0,1)</f>
        <v>0</v>
      </c>
      <c r="K953" s="32" t="n">
        <f aca="false">IF(OR(D953="Under review",D953="Revision requested"),1,0)</f>
        <v>0</v>
      </c>
      <c r="L953" s="32" t="str">
        <f aca="false">IF(AND(J953=1,E953&lt;&gt;""),E953+ROW()/100000,"")</f>
        <v/>
      </c>
      <c r="M953" s="32" t="str">
        <f aca="false">IF(D953="Planned",ROW(),"")</f>
        <v/>
      </c>
      <c r="N953" s="32" t="str">
        <f aca="true">IF(K953=1,IF(E953="",0,TODAY()-E953)+ROW()/100000,"")</f>
        <v/>
      </c>
      <c r="O953" s="32" t="str">
        <f aca="false">IF(N953="","",RANK(N953,$N$2:$N$1000))</f>
        <v/>
      </c>
    </row>
    <row r="954" customFormat="false" ht="15" hidden="false" customHeight="false" outlineLevel="0" collapsed="false">
      <c r="A954" s="33"/>
      <c r="B954" s="33"/>
      <c r="C954" s="33"/>
      <c r="D954" s="33"/>
      <c r="E954" s="34"/>
      <c r="F954" s="34"/>
      <c r="G954" s="35" t="str">
        <f aca="true">IF(OR(E954="",J954=0),"",IF(F954&lt;&gt;"",F954-E954,TODAY()-E954))</f>
        <v/>
      </c>
      <c r="H954" s="29"/>
      <c r="I954" s="33"/>
      <c r="J954" s="32" t="n">
        <f aca="false">IF(OR(D954="",D954="Planned"),0,1)</f>
        <v>0</v>
      </c>
      <c r="K954" s="32" t="n">
        <f aca="false">IF(OR(D954="Under review",D954="Revision requested"),1,0)</f>
        <v>0</v>
      </c>
      <c r="L954" s="32" t="str">
        <f aca="false">IF(AND(J954=1,E954&lt;&gt;""),E954+ROW()/100000,"")</f>
        <v/>
      </c>
      <c r="M954" s="32" t="str">
        <f aca="false">IF(D954="Planned",ROW(),"")</f>
        <v/>
      </c>
      <c r="N954" s="32" t="str">
        <f aca="true">IF(K954=1,IF(E954="",0,TODAY()-E954)+ROW()/100000,"")</f>
        <v/>
      </c>
      <c r="O954" s="32" t="str">
        <f aca="false">IF(N954="","",RANK(N954,$N$2:$N$1000))</f>
        <v/>
      </c>
    </row>
    <row r="955" customFormat="false" ht="15" hidden="false" customHeight="false" outlineLevel="0" collapsed="false">
      <c r="A955" s="33"/>
      <c r="B955" s="33"/>
      <c r="C955" s="33"/>
      <c r="D955" s="33"/>
      <c r="E955" s="34"/>
      <c r="F955" s="34"/>
      <c r="G955" s="35" t="str">
        <f aca="true">IF(OR(E955="",J955=0),"",IF(F955&lt;&gt;"",F955-E955,TODAY()-E955))</f>
        <v/>
      </c>
      <c r="H955" s="29"/>
      <c r="I955" s="33"/>
      <c r="J955" s="32" t="n">
        <f aca="false">IF(OR(D955="",D955="Planned"),0,1)</f>
        <v>0</v>
      </c>
      <c r="K955" s="32" t="n">
        <f aca="false">IF(OR(D955="Under review",D955="Revision requested"),1,0)</f>
        <v>0</v>
      </c>
      <c r="L955" s="32" t="str">
        <f aca="false">IF(AND(J955=1,E955&lt;&gt;""),E955+ROW()/100000,"")</f>
        <v/>
      </c>
      <c r="M955" s="32" t="str">
        <f aca="false">IF(D955="Planned",ROW(),"")</f>
        <v/>
      </c>
      <c r="N955" s="32" t="str">
        <f aca="true">IF(K955=1,IF(E955="",0,TODAY()-E955)+ROW()/100000,"")</f>
        <v/>
      </c>
      <c r="O955" s="32" t="str">
        <f aca="false">IF(N955="","",RANK(N955,$N$2:$N$1000))</f>
        <v/>
      </c>
    </row>
    <row r="956" customFormat="false" ht="15" hidden="false" customHeight="false" outlineLevel="0" collapsed="false">
      <c r="A956" s="33"/>
      <c r="B956" s="33"/>
      <c r="C956" s="33"/>
      <c r="D956" s="33"/>
      <c r="E956" s="34"/>
      <c r="F956" s="34"/>
      <c r="G956" s="35" t="str">
        <f aca="true">IF(OR(E956="",J956=0),"",IF(F956&lt;&gt;"",F956-E956,TODAY()-E956))</f>
        <v/>
      </c>
      <c r="H956" s="29"/>
      <c r="I956" s="33"/>
      <c r="J956" s="32" t="n">
        <f aca="false">IF(OR(D956="",D956="Planned"),0,1)</f>
        <v>0</v>
      </c>
      <c r="K956" s="32" t="n">
        <f aca="false">IF(OR(D956="Under review",D956="Revision requested"),1,0)</f>
        <v>0</v>
      </c>
      <c r="L956" s="32" t="str">
        <f aca="false">IF(AND(J956=1,E956&lt;&gt;""),E956+ROW()/100000,"")</f>
        <v/>
      </c>
      <c r="M956" s="32" t="str">
        <f aca="false">IF(D956="Planned",ROW(),"")</f>
        <v/>
      </c>
      <c r="N956" s="32" t="str">
        <f aca="true">IF(K956=1,IF(E956="",0,TODAY()-E956)+ROW()/100000,"")</f>
        <v/>
      </c>
      <c r="O956" s="32" t="str">
        <f aca="false">IF(N956="","",RANK(N956,$N$2:$N$1000))</f>
        <v/>
      </c>
    </row>
    <row r="957" customFormat="false" ht="15" hidden="false" customHeight="false" outlineLevel="0" collapsed="false">
      <c r="A957" s="33"/>
      <c r="B957" s="33"/>
      <c r="C957" s="33"/>
      <c r="D957" s="33"/>
      <c r="E957" s="34"/>
      <c r="F957" s="34"/>
      <c r="G957" s="35" t="str">
        <f aca="true">IF(OR(E957="",J957=0),"",IF(F957&lt;&gt;"",F957-E957,TODAY()-E957))</f>
        <v/>
      </c>
      <c r="H957" s="29"/>
      <c r="I957" s="33"/>
      <c r="J957" s="32" t="n">
        <f aca="false">IF(OR(D957="",D957="Planned"),0,1)</f>
        <v>0</v>
      </c>
      <c r="K957" s="32" t="n">
        <f aca="false">IF(OR(D957="Under review",D957="Revision requested"),1,0)</f>
        <v>0</v>
      </c>
      <c r="L957" s="32" t="str">
        <f aca="false">IF(AND(J957=1,E957&lt;&gt;""),E957+ROW()/100000,"")</f>
        <v/>
      </c>
      <c r="M957" s="32" t="str">
        <f aca="false">IF(D957="Planned",ROW(),"")</f>
        <v/>
      </c>
      <c r="N957" s="32" t="str">
        <f aca="true">IF(K957=1,IF(E957="",0,TODAY()-E957)+ROW()/100000,"")</f>
        <v/>
      </c>
      <c r="O957" s="32" t="str">
        <f aca="false">IF(N957="","",RANK(N957,$N$2:$N$1000))</f>
        <v/>
      </c>
    </row>
    <row r="958" customFormat="false" ht="15" hidden="false" customHeight="false" outlineLevel="0" collapsed="false">
      <c r="A958" s="33"/>
      <c r="B958" s="33"/>
      <c r="C958" s="33"/>
      <c r="D958" s="33"/>
      <c r="E958" s="34"/>
      <c r="F958" s="34"/>
      <c r="G958" s="35" t="str">
        <f aca="true">IF(OR(E958="",J958=0),"",IF(F958&lt;&gt;"",F958-E958,TODAY()-E958))</f>
        <v/>
      </c>
      <c r="H958" s="29"/>
      <c r="I958" s="33"/>
      <c r="J958" s="32" t="n">
        <f aca="false">IF(OR(D958="",D958="Planned"),0,1)</f>
        <v>0</v>
      </c>
      <c r="K958" s="32" t="n">
        <f aca="false">IF(OR(D958="Under review",D958="Revision requested"),1,0)</f>
        <v>0</v>
      </c>
      <c r="L958" s="32" t="str">
        <f aca="false">IF(AND(J958=1,E958&lt;&gt;""),E958+ROW()/100000,"")</f>
        <v/>
      </c>
      <c r="M958" s="32" t="str">
        <f aca="false">IF(D958="Planned",ROW(),"")</f>
        <v/>
      </c>
      <c r="N958" s="32" t="str">
        <f aca="true">IF(K958=1,IF(E958="",0,TODAY()-E958)+ROW()/100000,"")</f>
        <v/>
      </c>
      <c r="O958" s="32" t="str">
        <f aca="false">IF(N958="","",RANK(N958,$N$2:$N$1000))</f>
        <v/>
      </c>
    </row>
    <row r="959" customFormat="false" ht="15" hidden="false" customHeight="false" outlineLevel="0" collapsed="false">
      <c r="A959" s="33"/>
      <c r="B959" s="33"/>
      <c r="C959" s="33"/>
      <c r="D959" s="33"/>
      <c r="E959" s="34"/>
      <c r="F959" s="34"/>
      <c r="G959" s="35" t="str">
        <f aca="true">IF(OR(E959="",J959=0),"",IF(F959&lt;&gt;"",F959-E959,TODAY()-E959))</f>
        <v/>
      </c>
      <c r="H959" s="29"/>
      <c r="I959" s="33"/>
      <c r="J959" s="32" t="n">
        <f aca="false">IF(OR(D959="",D959="Planned"),0,1)</f>
        <v>0</v>
      </c>
      <c r="K959" s="32" t="n">
        <f aca="false">IF(OR(D959="Under review",D959="Revision requested"),1,0)</f>
        <v>0</v>
      </c>
      <c r="L959" s="32" t="str">
        <f aca="false">IF(AND(J959=1,E959&lt;&gt;""),E959+ROW()/100000,"")</f>
        <v/>
      </c>
      <c r="M959" s="32" t="str">
        <f aca="false">IF(D959="Planned",ROW(),"")</f>
        <v/>
      </c>
      <c r="N959" s="32" t="str">
        <f aca="true">IF(K959=1,IF(E959="",0,TODAY()-E959)+ROW()/100000,"")</f>
        <v/>
      </c>
      <c r="O959" s="32" t="str">
        <f aca="false">IF(N959="","",RANK(N959,$N$2:$N$1000))</f>
        <v/>
      </c>
    </row>
    <row r="960" customFormat="false" ht="15" hidden="false" customHeight="false" outlineLevel="0" collapsed="false">
      <c r="A960" s="33"/>
      <c r="B960" s="33"/>
      <c r="C960" s="33"/>
      <c r="D960" s="33"/>
      <c r="E960" s="34"/>
      <c r="F960" s="34"/>
      <c r="G960" s="35" t="str">
        <f aca="true">IF(OR(E960="",J960=0),"",IF(F960&lt;&gt;"",F960-E960,TODAY()-E960))</f>
        <v/>
      </c>
      <c r="H960" s="29"/>
      <c r="I960" s="33"/>
      <c r="J960" s="32" t="n">
        <f aca="false">IF(OR(D960="",D960="Planned"),0,1)</f>
        <v>0</v>
      </c>
      <c r="K960" s="32" t="n">
        <f aca="false">IF(OR(D960="Under review",D960="Revision requested"),1,0)</f>
        <v>0</v>
      </c>
      <c r="L960" s="32" t="str">
        <f aca="false">IF(AND(J960=1,E960&lt;&gt;""),E960+ROW()/100000,"")</f>
        <v/>
      </c>
      <c r="M960" s="32" t="str">
        <f aca="false">IF(D960="Planned",ROW(),"")</f>
        <v/>
      </c>
      <c r="N960" s="32" t="str">
        <f aca="true">IF(K960=1,IF(E960="",0,TODAY()-E960)+ROW()/100000,"")</f>
        <v/>
      </c>
      <c r="O960" s="32" t="str">
        <f aca="false">IF(N960="","",RANK(N960,$N$2:$N$1000))</f>
        <v/>
      </c>
    </row>
    <row r="961" customFormat="false" ht="15" hidden="false" customHeight="false" outlineLevel="0" collapsed="false">
      <c r="A961" s="33"/>
      <c r="B961" s="33"/>
      <c r="C961" s="33"/>
      <c r="D961" s="33"/>
      <c r="E961" s="34"/>
      <c r="F961" s="34"/>
      <c r="G961" s="35" t="str">
        <f aca="true">IF(OR(E961="",J961=0),"",IF(F961&lt;&gt;"",F961-E961,TODAY()-E961))</f>
        <v/>
      </c>
      <c r="H961" s="29"/>
      <c r="I961" s="33"/>
      <c r="J961" s="32" t="n">
        <f aca="false">IF(OR(D961="",D961="Planned"),0,1)</f>
        <v>0</v>
      </c>
      <c r="K961" s="32" t="n">
        <f aca="false">IF(OR(D961="Under review",D961="Revision requested"),1,0)</f>
        <v>0</v>
      </c>
      <c r="L961" s="32" t="str">
        <f aca="false">IF(AND(J961=1,E961&lt;&gt;""),E961+ROW()/100000,"")</f>
        <v/>
      </c>
      <c r="M961" s="32" t="str">
        <f aca="false">IF(D961="Planned",ROW(),"")</f>
        <v/>
      </c>
      <c r="N961" s="32" t="str">
        <f aca="true">IF(K961=1,IF(E961="",0,TODAY()-E961)+ROW()/100000,"")</f>
        <v/>
      </c>
      <c r="O961" s="32" t="str">
        <f aca="false">IF(N961="","",RANK(N961,$N$2:$N$1000))</f>
        <v/>
      </c>
    </row>
    <row r="962" customFormat="false" ht="15" hidden="false" customHeight="false" outlineLevel="0" collapsed="false">
      <c r="A962" s="33"/>
      <c r="B962" s="33"/>
      <c r="C962" s="33"/>
      <c r="D962" s="33"/>
      <c r="E962" s="34"/>
      <c r="F962" s="34"/>
      <c r="G962" s="35" t="str">
        <f aca="true">IF(OR(E962="",J962=0),"",IF(F962&lt;&gt;"",F962-E962,TODAY()-E962))</f>
        <v/>
      </c>
      <c r="H962" s="29"/>
      <c r="I962" s="33"/>
      <c r="J962" s="32" t="n">
        <f aca="false">IF(OR(D962="",D962="Planned"),0,1)</f>
        <v>0</v>
      </c>
      <c r="K962" s="32" t="n">
        <f aca="false">IF(OR(D962="Under review",D962="Revision requested"),1,0)</f>
        <v>0</v>
      </c>
      <c r="L962" s="32" t="str">
        <f aca="false">IF(AND(J962=1,E962&lt;&gt;""),E962+ROW()/100000,"")</f>
        <v/>
      </c>
      <c r="M962" s="32" t="str">
        <f aca="false">IF(D962="Planned",ROW(),"")</f>
        <v/>
      </c>
      <c r="N962" s="32" t="str">
        <f aca="true">IF(K962=1,IF(E962="",0,TODAY()-E962)+ROW()/100000,"")</f>
        <v/>
      </c>
      <c r="O962" s="32" t="str">
        <f aca="false">IF(N962="","",RANK(N962,$N$2:$N$1000))</f>
        <v/>
      </c>
    </row>
    <row r="963" customFormat="false" ht="15" hidden="false" customHeight="false" outlineLevel="0" collapsed="false">
      <c r="A963" s="33"/>
      <c r="B963" s="33"/>
      <c r="C963" s="33"/>
      <c r="D963" s="33"/>
      <c r="E963" s="34"/>
      <c r="F963" s="34"/>
      <c r="G963" s="35" t="str">
        <f aca="true">IF(OR(E963="",J963=0),"",IF(F963&lt;&gt;"",F963-E963,TODAY()-E963))</f>
        <v/>
      </c>
      <c r="H963" s="29"/>
      <c r="I963" s="33"/>
      <c r="J963" s="32" t="n">
        <f aca="false">IF(OR(D963="",D963="Planned"),0,1)</f>
        <v>0</v>
      </c>
      <c r="K963" s="32" t="n">
        <f aca="false">IF(OR(D963="Under review",D963="Revision requested"),1,0)</f>
        <v>0</v>
      </c>
      <c r="L963" s="32" t="str">
        <f aca="false">IF(AND(J963=1,E963&lt;&gt;""),E963+ROW()/100000,"")</f>
        <v/>
      </c>
      <c r="M963" s="32" t="str">
        <f aca="false">IF(D963="Planned",ROW(),"")</f>
        <v/>
      </c>
      <c r="N963" s="32" t="str">
        <f aca="true">IF(K963=1,IF(E963="",0,TODAY()-E963)+ROW()/100000,"")</f>
        <v/>
      </c>
      <c r="O963" s="32" t="str">
        <f aca="false">IF(N963="","",RANK(N963,$N$2:$N$1000))</f>
        <v/>
      </c>
    </row>
    <row r="964" customFormat="false" ht="15" hidden="false" customHeight="false" outlineLevel="0" collapsed="false">
      <c r="A964" s="33"/>
      <c r="B964" s="33"/>
      <c r="C964" s="33"/>
      <c r="D964" s="33"/>
      <c r="E964" s="34"/>
      <c r="F964" s="34"/>
      <c r="G964" s="35" t="str">
        <f aca="true">IF(OR(E964="",J964=0),"",IF(F964&lt;&gt;"",F964-E964,TODAY()-E964))</f>
        <v/>
      </c>
      <c r="H964" s="29"/>
      <c r="I964" s="33"/>
      <c r="J964" s="32" t="n">
        <f aca="false">IF(OR(D964="",D964="Planned"),0,1)</f>
        <v>0</v>
      </c>
      <c r="K964" s="32" t="n">
        <f aca="false">IF(OR(D964="Under review",D964="Revision requested"),1,0)</f>
        <v>0</v>
      </c>
      <c r="L964" s="32" t="str">
        <f aca="false">IF(AND(J964=1,E964&lt;&gt;""),E964+ROW()/100000,"")</f>
        <v/>
      </c>
      <c r="M964" s="32" t="str">
        <f aca="false">IF(D964="Planned",ROW(),"")</f>
        <v/>
      </c>
      <c r="N964" s="32" t="str">
        <f aca="true">IF(K964=1,IF(E964="",0,TODAY()-E964)+ROW()/100000,"")</f>
        <v/>
      </c>
      <c r="O964" s="32" t="str">
        <f aca="false">IF(N964="","",RANK(N964,$N$2:$N$1000))</f>
        <v/>
      </c>
    </row>
    <row r="965" customFormat="false" ht="15" hidden="false" customHeight="false" outlineLevel="0" collapsed="false">
      <c r="A965" s="33"/>
      <c r="B965" s="33"/>
      <c r="C965" s="33"/>
      <c r="D965" s="33"/>
      <c r="E965" s="34"/>
      <c r="F965" s="34"/>
      <c r="G965" s="35" t="str">
        <f aca="true">IF(OR(E965="",J965=0),"",IF(F965&lt;&gt;"",F965-E965,TODAY()-E965))</f>
        <v/>
      </c>
      <c r="H965" s="29"/>
      <c r="I965" s="33"/>
      <c r="J965" s="32" t="n">
        <f aca="false">IF(OR(D965="",D965="Planned"),0,1)</f>
        <v>0</v>
      </c>
      <c r="K965" s="32" t="n">
        <f aca="false">IF(OR(D965="Under review",D965="Revision requested"),1,0)</f>
        <v>0</v>
      </c>
      <c r="L965" s="32" t="str">
        <f aca="false">IF(AND(J965=1,E965&lt;&gt;""),E965+ROW()/100000,"")</f>
        <v/>
      </c>
      <c r="M965" s="32" t="str">
        <f aca="false">IF(D965="Planned",ROW(),"")</f>
        <v/>
      </c>
      <c r="N965" s="32" t="str">
        <f aca="true">IF(K965=1,IF(E965="",0,TODAY()-E965)+ROW()/100000,"")</f>
        <v/>
      </c>
      <c r="O965" s="32" t="str">
        <f aca="false">IF(N965="","",RANK(N965,$N$2:$N$1000))</f>
        <v/>
      </c>
    </row>
    <row r="966" customFormat="false" ht="15" hidden="false" customHeight="false" outlineLevel="0" collapsed="false">
      <c r="A966" s="33"/>
      <c r="B966" s="33"/>
      <c r="C966" s="33"/>
      <c r="D966" s="33"/>
      <c r="E966" s="34"/>
      <c r="F966" s="34"/>
      <c r="G966" s="35" t="str">
        <f aca="true">IF(OR(E966="",J966=0),"",IF(F966&lt;&gt;"",F966-E966,TODAY()-E966))</f>
        <v/>
      </c>
      <c r="H966" s="29"/>
      <c r="I966" s="33"/>
      <c r="J966" s="32" t="n">
        <f aca="false">IF(OR(D966="",D966="Planned"),0,1)</f>
        <v>0</v>
      </c>
      <c r="K966" s="32" t="n">
        <f aca="false">IF(OR(D966="Under review",D966="Revision requested"),1,0)</f>
        <v>0</v>
      </c>
      <c r="L966" s="32" t="str">
        <f aca="false">IF(AND(J966=1,E966&lt;&gt;""),E966+ROW()/100000,"")</f>
        <v/>
      </c>
      <c r="M966" s="32" t="str">
        <f aca="false">IF(D966="Planned",ROW(),"")</f>
        <v/>
      </c>
      <c r="N966" s="32" t="str">
        <f aca="true">IF(K966=1,IF(E966="",0,TODAY()-E966)+ROW()/100000,"")</f>
        <v/>
      </c>
      <c r="O966" s="32" t="str">
        <f aca="false">IF(N966="","",RANK(N966,$N$2:$N$1000))</f>
        <v/>
      </c>
    </row>
    <row r="967" customFormat="false" ht="15" hidden="false" customHeight="false" outlineLevel="0" collapsed="false">
      <c r="A967" s="33"/>
      <c r="B967" s="33"/>
      <c r="C967" s="33"/>
      <c r="D967" s="33"/>
      <c r="E967" s="34"/>
      <c r="F967" s="34"/>
      <c r="G967" s="35" t="str">
        <f aca="true">IF(OR(E967="",J967=0),"",IF(F967&lt;&gt;"",F967-E967,TODAY()-E967))</f>
        <v/>
      </c>
      <c r="H967" s="29"/>
      <c r="I967" s="33"/>
      <c r="J967" s="32" t="n">
        <f aca="false">IF(OR(D967="",D967="Planned"),0,1)</f>
        <v>0</v>
      </c>
      <c r="K967" s="32" t="n">
        <f aca="false">IF(OR(D967="Under review",D967="Revision requested"),1,0)</f>
        <v>0</v>
      </c>
      <c r="L967" s="32" t="str">
        <f aca="false">IF(AND(J967=1,E967&lt;&gt;""),E967+ROW()/100000,"")</f>
        <v/>
      </c>
      <c r="M967" s="32" t="str">
        <f aca="false">IF(D967="Planned",ROW(),"")</f>
        <v/>
      </c>
      <c r="N967" s="32" t="str">
        <f aca="true">IF(K967=1,IF(E967="",0,TODAY()-E967)+ROW()/100000,"")</f>
        <v/>
      </c>
      <c r="O967" s="32" t="str">
        <f aca="false">IF(N967="","",RANK(N967,$N$2:$N$1000))</f>
        <v/>
      </c>
    </row>
    <row r="968" customFormat="false" ht="15" hidden="false" customHeight="false" outlineLevel="0" collapsed="false">
      <c r="A968" s="33"/>
      <c r="B968" s="33"/>
      <c r="C968" s="33"/>
      <c r="D968" s="33"/>
      <c r="E968" s="34"/>
      <c r="F968" s="34"/>
      <c r="G968" s="35" t="str">
        <f aca="true">IF(OR(E968="",J968=0),"",IF(F968&lt;&gt;"",F968-E968,TODAY()-E968))</f>
        <v/>
      </c>
      <c r="H968" s="29"/>
      <c r="I968" s="33"/>
      <c r="J968" s="32" t="n">
        <f aca="false">IF(OR(D968="",D968="Planned"),0,1)</f>
        <v>0</v>
      </c>
      <c r="K968" s="32" t="n">
        <f aca="false">IF(OR(D968="Under review",D968="Revision requested"),1,0)</f>
        <v>0</v>
      </c>
      <c r="L968" s="32" t="str">
        <f aca="false">IF(AND(J968=1,E968&lt;&gt;""),E968+ROW()/100000,"")</f>
        <v/>
      </c>
      <c r="M968" s="32" t="str">
        <f aca="false">IF(D968="Planned",ROW(),"")</f>
        <v/>
      </c>
      <c r="N968" s="32" t="str">
        <f aca="true">IF(K968=1,IF(E968="",0,TODAY()-E968)+ROW()/100000,"")</f>
        <v/>
      </c>
      <c r="O968" s="32" t="str">
        <f aca="false">IF(N968="","",RANK(N968,$N$2:$N$1000))</f>
        <v/>
      </c>
    </row>
    <row r="969" customFormat="false" ht="15" hidden="false" customHeight="false" outlineLevel="0" collapsed="false">
      <c r="A969" s="33"/>
      <c r="B969" s="33"/>
      <c r="C969" s="33"/>
      <c r="D969" s="33"/>
      <c r="E969" s="34"/>
      <c r="F969" s="34"/>
      <c r="G969" s="35" t="str">
        <f aca="true">IF(OR(E969="",J969=0),"",IF(F969&lt;&gt;"",F969-E969,TODAY()-E969))</f>
        <v/>
      </c>
      <c r="H969" s="29"/>
      <c r="I969" s="33"/>
      <c r="J969" s="32" t="n">
        <f aca="false">IF(OR(D969="",D969="Planned"),0,1)</f>
        <v>0</v>
      </c>
      <c r="K969" s="32" t="n">
        <f aca="false">IF(OR(D969="Under review",D969="Revision requested"),1,0)</f>
        <v>0</v>
      </c>
      <c r="L969" s="32" t="str">
        <f aca="false">IF(AND(J969=1,E969&lt;&gt;""),E969+ROW()/100000,"")</f>
        <v/>
      </c>
      <c r="M969" s="32" t="str">
        <f aca="false">IF(D969="Planned",ROW(),"")</f>
        <v/>
      </c>
      <c r="N969" s="32" t="str">
        <f aca="true">IF(K969=1,IF(E969="",0,TODAY()-E969)+ROW()/100000,"")</f>
        <v/>
      </c>
      <c r="O969" s="32" t="str">
        <f aca="false">IF(N969="","",RANK(N969,$N$2:$N$1000))</f>
        <v/>
      </c>
    </row>
    <row r="970" customFormat="false" ht="15" hidden="false" customHeight="false" outlineLevel="0" collapsed="false">
      <c r="A970" s="33"/>
      <c r="B970" s="33"/>
      <c r="C970" s="33"/>
      <c r="D970" s="33"/>
      <c r="E970" s="34"/>
      <c r="F970" s="34"/>
      <c r="G970" s="35" t="str">
        <f aca="true">IF(OR(E970="",J970=0),"",IF(F970&lt;&gt;"",F970-E970,TODAY()-E970))</f>
        <v/>
      </c>
      <c r="H970" s="29"/>
      <c r="I970" s="33"/>
      <c r="J970" s="32" t="n">
        <f aca="false">IF(OR(D970="",D970="Planned"),0,1)</f>
        <v>0</v>
      </c>
      <c r="K970" s="32" t="n">
        <f aca="false">IF(OR(D970="Under review",D970="Revision requested"),1,0)</f>
        <v>0</v>
      </c>
      <c r="L970" s="32" t="str">
        <f aca="false">IF(AND(J970=1,E970&lt;&gt;""),E970+ROW()/100000,"")</f>
        <v/>
      </c>
      <c r="M970" s="32" t="str">
        <f aca="false">IF(D970="Planned",ROW(),"")</f>
        <v/>
      </c>
      <c r="N970" s="32" t="str">
        <f aca="true">IF(K970=1,IF(E970="",0,TODAY()-E970)+ROW()/100000,"")</f>
        <v/>
      </c>
      <c r="O970" s="32" t="str">
        <f aca="false">IF(N970="","",RANK(N970,$N$2:$N$1000))</f>
        <v/>
      </c>
    </row>
    <row r="971" customFormat="false" ht="15" hidden="false" customHeight="false" outlineLevel="0" collapsed="false">
      <c r="A971" s="33"/>
      <c r="B971" s="33"/>
      <c r="C971" s="33"/>
      <c r="D971" s="33"/>
      <c r="E971" s="34"/>
      <c r="F971" s="34"/>
      <c r="G971" s="35" t="str">
        <f aca="true">IF(OR(E971="",J971=0),"",IF(F971&lt;&gt;"",F971-E971,TODAY()-E971))</f>
        <v/>
      </c>
      <c r="H971" s="29"/>
      <c r="I971" s="33"/>
      <c r="J971" s="32" t="n">
        <f aca="false">IF(OR(D971="",D971="Planned"),0,1)</f>
        <v>0</v>
      </c>
      <c r="K971" s="32" t="n">
        <f aca="false">IF(OR(D971="Under review",D971="Revision requested"),1,0)</f>
        <v>0</v>
      </c>
      <c r="L971" s="32" t="str">
        <f aca="false">IF(AND(J971=1,E971&lt;&gt;""),E971+ROW()/100000,"")</f>
        <v/>
      </c>
      <c r="M971" s="32" t="str">
        <f aca="false">IF(D971="Planned",ROW(),"")</f>
        <v/>
      </c>
      <c r="N971" s="32" t="str">
        <f aca="true">IF(K971=1,IF(E971="",0,TODAY()-E971)+ROW()/100000,"")</f>
        <v/>
      </c>
      <c r="O971" s="32" t="str">
        <f aca="false">IF(N971="","",RANK(N971,$N$2:$N$1000))</f>
        <v/>
      </c>
    </row>
    <row r="972" customFormat="false" ht="15" hidden="false" customHeight="false" outlineLevel="0" collapsed="false">
      <c r="A972" s="33"/>
      <c r="B972" s="33"/>
      <c r="C972" s="33"/>
      <c r="D972" s="33"/>
      <c r="E972" s="34"/>
      <c r="F972" s="34"/>
      <c r="G972" s="35" t="str">
        <f aca="true">IF(OR(E972="",J972=0),"",IF(F972&lt;&gt;"",F972-E972,TODAY()-E972))</f>
        <v/>
      </c>
      <c r="H972" s="29"/>
      <c r="I972" s="33"/>
      <c r="J972" s="32" t="n">
        <f aca="false">IF(OR(D972="",D972="Planned"),0,1)</f>
        <v>0</v>
      </c>
      <c r="K972" s="32" t="n">
        <f aca="false">IF(OR(D972="Under review",D972="Revision requested"),1,0)</f>
        <v>0</v>
      </c>
      <c r="L972" s="32" t="str">
        <f aca="false">IF(AND(J972=1,E972&lt;&gt;""),E972+ROW()/100000,"")</f>
        <v/>
      </c>
      <c r="M972" s="32" t="str">
        <f aca="false">IF(D972="Planned",ROW(),"")</f>
        <v/>
      </c>
      <c r="N972" s="32" t="str">
        <f aca="true">IF(K972=1,IF(E972="",0,TODAY()-E972)+ROW()/100000,"")</f>
        <v/>
      </c>
      <c r="O972" s="32" t="str">
        <f aca="false">IF(N972="","",RANK(N972,$N$2:$N$1000))</f>
        <v/>
      </c>
    </row>
    <row r="973" customFormat="false" ht="15" hidden="false" customHeight="false" outlineLevel="0" collapsed="false">
      <c r="A973" s="33"/>
      <c r="B973" s="33"/>
      <c r="C973" s="33"/>
      <c r="D973" s="33"/>
      <c r="E973" s="34"/>
      <c r="F973" s="34"/>
      <c r="G973" s="35" t="str">
        <f aca="true">IF(OR(E973="",J973=0),"",IF(F973&lt;&gt;"",F973-E973,TODAY()-E973))</f>
        <v/>
      </c>
      <c r="H973" s="29"/>
      <c r="I973" s="33"/>
      <c r="J973" s="32" t="n">
        <f aca="false">IF(OR(D973="",D973="Planned"),0,1)</f>
        <v>0</v>
      </c>
      <c r="K973" s="32" t="n">
        <f aca="false">IF(OR(D973="Under review",D973="Revision requested"),1,0)</f>
        <v>0</v>
      </c>
      <c r="L973" s="32" t="str">
        <f aca="false">IF(AND(J973=1,E973&lt;&gt;""),E973+ROW()/100000,"")</f>
        <v/>
      </c>
      <c r="M973" s="32" t="str">
        <f aca="false">IF(D973="Planned",ROW(),"")</f>
        <v/>
      </c>
      <c r="N973" s="32" t="str">
        <f aca="true">IF(K973=1,IF(E973="",0,TODAY()-E973)+ROW()/100000,"")</f>
        <v/>
      </c>
      <c r="O973" s="32" t="str">
        <f aca="false">IF(N973="","",RANK(N973,$N$2:$N$1000))</f>
        <v/>
      </c>
    </row>
    <row r="974" customFormat="false" ht="15" hidden="false" customHeight="false" outlineLevel="0" collapsed="false">
      <c r="A974" s="33"/>
      <c r="B974" s="33"/>
      <c r="C974" s="33"/>
      <c r="D974" s="33"/>
      <c r="E974" s="34"/>
      <c r="F974" s="34"/>
      <c r="G974" s="35" t="str">
        <f aca="true">IF(OR(E974="",J974=0),"",IF(F974&lt;&gt;"",F974-E974,TODAY()-E974))</f>
        <v/>
      </c>
      <c r="H974" s="29"/>
      <c r="I974" s="33"/>
      <c r="J974" s="32" t="n">
        <f aca="false">IF(OR(D974="",D974="Planned"),0,1)</f>
        <v>0</v>
      </c>
      <c r="K974" s="32" t="n">
        <f aca="false">IF(OR(D974="Under review",D974="Revision requested"),1,0)</f>
        <v>0</v>
      </c>
      <c r="L974" s="32" t="str">
        <f aca="false">IF(AND(J974=1,E974&lt;&gt;""),E974+ROW()/100000,"")</f>
        <v/>
      </c>
      <c r="M974" s="32" t="str">
        <f aca="false">IF(D974="Planned",ROW(),"")</f>
        <v/>
      </c>
      <c r="N974" s="32" t="str">
        <f aca="true">IF(K974=1,IF(E974="",0,TODAY()-E974)+ROW()/100000,"")</f>
        <v/>
      </c>
      <c r="O974" s="32" t="str">
        <f aca="false">IF(N974="","",RANK(N974,$N$2:$N$1000))</f>
        <v/>
      </c>
    </row>
    <row r="975" customFormat="false" ht="15" hidden="false" customHeight="false" outlineLevel="0" collapsed="false">
      <c r="A975" s="33"/>
      <c r="B975" s="33"/>
      <c r="C975" s="33"/>
      <c r="D975" s="33"/>
      <c r="E975" s="34"/>
      <c r="F975" s="34"/>
      <c r="G975" s="35" t="str">
        <f aca="true">IF(OR(E975="",J975=0),"",IF(F975&lt;&gt;"",F975-E975,TODAY()-E975))</f>
        <v/>
      </c>
      <c r="H975" s="29"/>
      <c r="I975" s="33"/>
      <c r="J975" s="32" t="n">
        <f aca="false">IF(OR(D975="",D975="Planned"),0,1)</f>
        <v>0</v>
      </c>
      <c r="K975" s="32" t="n">
        <f aca="false">IF(OR(D975="Under review",D975="Revision requested"),1,0)</f>
        <v>0</v>
      </c>
      <c r="L975" s="32" t="str">
        <f aca="false">IF(AND(J975=1,E975&lt;&gt;""),E975+ROW()/100000,"")</f>
        <v/>
      </c>
      <c r="M975" s="32" t="str">
        <f aca="false">IF(D975="Planned",ROW(),"")</f>
        <v/>
      </c>
      <c r="N975" s="32" t="str">
        <f aca="true">IF(K975=1,IF(E975="",0,TODAY()-E975)+ROW()/100000,"")</f>
        <v/>
      </c>
      <c r="O975" s="32" t="str">
        <f aca="false">IF(N975="","",RANK(N975,$N$2:$N$1000))</f>
        <v/>
      </c>
    </row>
    <row r="976" customFormat="false" ht="15" hidden="false" customHeight="false" outlineLevel="0" collapsed="false">
      <c r="A976" s="33"/>
      <c r="B976" s="33"/>
      <c r="C976" s="33"/>
      <c r="D976" s="33"/>
      <c r="E976" s="34"/>
      <c r="F976" s="34"/>
      <c r="G976" s="35" t="str">
        <f aca="true">IF(OR(E976="",J976=0),"",IF(F976&lt;&gt;"",F976-E976,TODAY()-E976))</f>
        <v/>
      </c>
      <c r="H976" s="29"/>
      <c r="I976" s="33"/>
      <c r="J976" s="32" t="n">
        <f aca="false">IF(OR(D976="",D976="Planned"),0,1)</f>
        <v>0</v>
      </c>
      <c r="K976" s="32" t="n">
        <f aca="false">IF(OR(D976="Under review",D976="Revision requested"),1,0)</f>
        <v>0</v>
      </c>
      <c r="L976" s="32" t="str">
        <f aca="false">IF(AND(J976=1,E976&lt;&gt;""),E976+ROW()/100000,"")</f>
        <v/>
      </c>
      <c r="M976" s="32" t="str">
        <f aca="false">IF(D976="Planned",ROW(),"")</f>
        <v/>
      </c>
      <c r="N976" s="32" t="str">
        <f aca="true">IF(K976=1,IF(E976="",0,TODAY()-E976)+ROW()/100000,"")</f>
        <v/>
      </c>
      <c r="O976" s="32" t="str">
        <f aca="false">IF(N976="","",RANK(N976,$N$2:$N$1000))</f>
        <v/>
      </c>
    </row>
    <row r="977" customFormat="false" ht="15" hidden="false" customHeight="false" outlineLevel="0" collapsed="false">
      <c r="A977" s="33"/>
      <c r="B977" s="33"/>
      <c r="C977" s="33"/>
      <c r="D977" s="33"/>
      <c r="E977" s="34"/>
      <c r="F977" s="34"/>
      <c r="G977" s="35" t="str">
        <f aca="true">IF(OR(E977="",J977=0),"",IF(F977&lt;&gt;"",F977-E977,TODAY()-E977))</f>
        <v/>
      </c>
      <c r="H977" s="29"/>
      <c r="I977" s="33"/>
      <c r="J977" s="32" t="n">
        <f aca="false">IF(OR(D977="",D977="Planned"),0,1)</f>
        <v>0</v>
      </c>
      <c r="K977" s="32" t="n">
        <f aca="false">IF(OR(D977="Under review",D977="Revision requested"),1,0)</f>
        <v>0</v>
      </c>
      <c r="L977" s="32" t="str">
        <f aca="false">IF(AND(J977=1,E977&lt;&gt;""),E977+ROW()/100000,"")</f>
        <v/>
      </c>
      <c r="M977" s="32" t="str">
        <f aca="false">IF(D977="Planned",ROW(),"")</f>
        <v/>
      </c>
      <c r="N977" s="32" t="str">
        <f aca="true">IF(K977=1,IF(E977="",0,TODAY()-E977)+ROW()/100000,"")</f>
        <v/>
      </c>
      <c r="O977" s="32" t="str">
        <f aca="false">IF(N977="","",RANK(N977,$N$2:$N$1000))</f>
        <v/>
      </c>
    </row>
    <row r="978" customFormat="false" ht="15" hidden="false" customHeight="false" outlineLevel="0" collapsed="false">
      <c r="A978" s="33"/>
      <c r="B978" s="33"/>
      <c r="C978" s="33"/>
      <c r="D978" s="33"/>
      <c r="E978" s="34"/>
      <c r="F978" s="34"/>
      <c r="G978" s="35" t="str">
        <f aca="true">IF(OR(E978="",J978=0),"",IF(F978&lt;&gt;"",F978-E978,TODAY()-E978))</f>
        <v/>
      </c>
      <c r="H978" s="29"/>
      <c r="I978" s="33"/>
      <c r="J978" s="32" t="n">
        <f aca="false">IF(OR(D978="",D978="Planned"),0,1)</f>
        <v>0</v>
      </c>
      <c r="K978" s="32" t="n">
        <f aca="false">IF(OR(D978="Under review",D978="Revision requested"),1,0)</f>
        <v>0</v>
      </c>
      <c r="L978" s="32" t="str">
        <f aca="false">IF(AND(J978=1,E978&lt;&gt;""),E978+ROW()/100000,"")</f>
        <v/>
      </c>
      <c r="M978" s="32" t="str">
        <f aca="false">IF(D978="Planned",ROW(),"")</f>
        <v/>
      </c>
      <c r="N978" s="32" t="str">
        <f aca="true">IF(K978=1,IF(E978="",0,TODAY()-E978)+ROW()/100000,"")</f>
        <v/>
      </c>
      <c r="O978" s="32" t="str">
        <f aca="false">IF(N978="","",RANK(N978,$N$2:$N$1000))</f>
        <v/>
      </c>
    </row>
    <row r="979" customFormat="false" ht="15" hidden="false" customHeight="false" outlineLevel="0" collapsed="false">
      <c r="A979" s="33"/>
      <c r="B979" s="33"/>
      <c r="C979" s="33"/>
      <c r="D979" s="33"/>
      <c r="E979" s="34"/>
      <c r="F979" s="34"/>
      <c r="G979" s="35" t="str">
        <f aca="true">IF(OR(E979="",J979=0),"",IF(F979&lt;&gt;"",F979-E979,TODAY()-E979))</f>
        <v/>
      </c>
      <c r="H979" s="29"/>
      <c r="I979" s="33"/>
      <c r="J979" s="32" t="n">
        <f aca="false">IF(OR(D979="",D979="Planned"),0,1)</f>
        <v>0</v>
      </c>
      <c r="K979" s="32" t="n">
        <f aca="false">IF(OR(D979="Under review",D979="Revision requested"),1,0)</f>
        <v>0</v>
      </c>
      <c r="L979" s="32" t="str">
        <f aca="false">IF(AND(J979=1,E979&lt;&gt;""),E979+ROW()/100000,"")</f>
        <v/>
      </c>
      <c r="M979" s="32" t="str">
        <f aca="false">IF(D979="Planned",ROW(),"")</f>
        <v/>
      </c>
      <c r="N979" s="32" t="str">
        <f aca="true">IF(K979=1,IF(E979="",0,TODAY()-E979)+ROW()/100000,"")</f>
        <v/>
      </c>
      <c r="O979" s="32" t="str">
        <f aca="false">IF(N979="","",RANK(N979,$N$2:$N$1000))</f>
        <v/>
      </c>
    </row>
    <row r="980" customFormat="false" ht="15" hidden="false" customHeight="false" outlineLevel="0" collapsed="false">
      <c r="A980" s="33"/>
      <c r="B980" s="33"/>
      <c r="C980" s="33"/>
      <c r="D980" s="33"/>
      <c r="E980" s="34"/>
      <c r="F980" s="34"/>
      <c r="G980" s="35" t="str">
        <f aca="true">IF(OR(E980="",J980=0),"",IF(F980&lt;&gt;"",F980-E980,TODAY()-E980))</f>
        <v/>
      </c>
      <c r="H980" s="29"/>
      <c r="I980" s="33"/>
      <c r="J980" s="32" t="n">
        <f aca="false">IF(OR(D980="",D980="Planned"),0,1)</f>
        <v>0</v>
      </c>
      <c r="K980" s="32" t="n">
        <f aca="false">IF(OR(D980="Under review",D980="Revision requested"),1,0)</f>
        <v>0</v>
      </c>
      <c r="L980" s="32" t="str">
        <f aca="false">IF(AND(J980=1,E980&lt;&gt;""),E980+ROW()/100000,"")</f>
        <v/>
      </c>
      <c r="M980" s="32" t="str">
        <f aca="false">IF(D980="Planned",ROW(),"")</f>
        <v/>
      </c>
      <c r="N980" s="32" t="str">
        <f aca="true">IF(K980=1,IF(E980="",0,TODAY()-E980)+ROW()/100000,"")</f>
        <v/>
      </c>
      <c r="O980" s="32" t="str">
        <f aca="false">IF(N980="","",RANK(N980,$N$2:$N$1000))</f>
        <v/>
      </c>
    </row>
    <row r="981" customFormat="false" ht="15" hidden="false" customHeight="false" outlineLevel="0" collapsed="false">
      <c r="A981" s="33"/>
      <c r="B981" s="33"/>
      <c r="C981" s="33"/>
      <c r="D981" s="33"/>
      <c r="E981" s="34"/>
      <c r="F981" s="34"/>
      <c r="G981" s="35" t="str">
        <f aca="true">IF(OR(E981="",J981=0),"",IF(F981&lt;&gt;"",F981-E981,TODAY()-E981))</f>
        <v/>
      </c>
      <c r="H981" s="29"/>
      <c r="I981" s="33"/>
      <c r="J981" s="32" t="n">
        <f aca="false">IF(OR(D981="",D981="Planned"),0,1)</f>
        <v>0</v>
      </c>
      <c r="K981" s="32" t="n">
        <f aca="false">IF(OR(D981="Under review",D981="Revision requested"),1,0)</f>
        <v>0</v>
      </c>
      <c r="L981" s="32" t="str">
        <f aca="false">IF(AND(J981=1,E981&lt;&gt;""),E981+ROW()/100000,"")</f>
        <v/>
      </c>
      <c r="M981" s="32" t="str">
        <f aca="false">IF(D981="Planned",ROW(),"")</f>
        <v/>
      </c>
      <c r="N981" s="32" t="str">
        <f aca="true">IF(K981=1,IF(E981="",0,TODAY()-E981)+ROW()/100000,"")</f>
        <v/>
      </c>
      <c r="O981" s="32" t="str">
        <f aca="false">IF(N981="","",RANK(N981,$N$2:$N$1000))</f>
        <v/>
      </c>
    </row>
    <row r="982" customFormat="false" ht="15" hidden="false" customHeight="false" outlineLevel="0" collapsed="false">
      <c r="A982" s="33"/>
      <c r="B982" s="33"/>
      <c r="C982" s="33"/>
      <c r="D982" s="33"/>
      <c r="E982" s="34"/>
      <c r="F982" s="34"/>
      <c r="G982" s="35" t="str">
        <f aca="true">IF(OR(E982="",J982=0),"",IF(F982&lt;&gt;"",F982-E982,TODAY()-E982))</f>
        <v/>
      </c>
      <c r="H982" s="29"/>
      <c r="I982" s="33"/>
      <c r="J982" s="32" t="n">
        <f aca="false">IF(OR(D982="",D982="Planned"),0,1)</f>
        <v>0</v>
      </c>
      <c r="K982" s="32" t="n">
        <f aca="false">IF(OR(D982="Under review",D982="Revision requested"),1,0)</f>
        <v>0</v>
      </c>
      <c r="L982" s="32" t="str">
        <f aca="false">IF(AND(J982=1,E982&lt;&gt;""),E982+ROW()/100000,"")</f>
        <v/>
      </c>
      <c r="M982" s="32" t="str">
        <f aca="false">IF(D982="Planned",ROW(),"")</f>
        <v/>
      </c>
      <c r="N982" s="32" t="str">
        <f aca="true">IF(K982=1,IF(E982="",0,TODAY()-E982)+ROW()/100000,"")</f>
        <v/>
      </c>
      <c r="O982" s="32" t="str">
        <f aca="false">IF(N982="","",RANK(N982,$N$2:$N$1000))</f>
        <v/>
      </c>
    </row>
    <row r="983" customFormat="false" ht="15" hidden="false" customHeight="false" outlineLevel="0" collapsed="false">
      <c r="A983" s="33"/>
      <c r="B983" s="33"/>
      <c r="C983" s="33"/>
      <c r="D983" s="33"/>
      <c r="E983" s="34"/>
      <c r="F983" s="34"/>
      <c r="G983" s="35" t="str">
        <f aca="true">IF(OR(E983="",J983=0),"",IF(F983&lt;&gt;"",F983-E983,TODAY()-E983))</f>
        <v/>
      </c>
      <c r="H983" s="29"/>
      <c r="I983" s="33"/>
      <c r="J983" s="32" t="n">
        <f aca="false">IF(OR(D983="",D983="Planned"),0,1)</f>
        <v>0</v>
      </c>
      <c r="K983" s="32" t="n">
        <f aca="false">IF(OR(D983="Under review",D983="Revision requested"),1,0)</f>
        <v>0</v>
      </c>
      <c r="L983" s="32" t="str">
        <f aca="false">IF(AND(J983=1,E983&lt;&gt;""),E983+ROW()/100000,"")</f>
        <v/>
      </c>
      <c r="M983" s="32" t="str">
        <f aca="false">IF(D983="Planned",ROW(),"")</f>
        <v/>
      </c>
      <c r="N983" s="32" t="str">
        <f aca="true">IF(K983=1,IF(E983="",0,TODAY()-E983)+ROW()/100000,"")</f>
        <v/>
      </c>
      <c r="O983" s="32" t="str">
        <f aca="false">IF(N983="","",RANK(N983,$N$2:$N$1000))</f>
        <v/>
      </c>
    </row>
    <row r="984" customFormat="false" ht="15" hidden="false" customHeight="false" outlineLevel="0" collapsed="false">
      <c r="A984" s="33"/>
      <c r="B984" s="33"/>
      <c r="C984" s="33"/>
      <c r="D984" s="33"/>
      <c r="E984" s="34"/>
      <c r="F984" s="34"/>
      <c r="G984" s="35" t="str">
        <f aca="true">IF(OR(E984="",J984=0),"",IF(F984&lt;&gt;"",F984-E984,TODAY()-E984))</f>
        <v/>
      </c>
      <c r="H984" s="29"/>
      <c r="I984" s="33"/>
      <c r="J984" s="32" t="n">
        <f aca="false">IF(OR(D984="",D984="Planned"),0,1)</f>
        <v>0</v>
      </c>
      <c r="K984" s="32" t="n">
        <f aca="false">IF(OR(D984="Under review",D984="Revision requested"),1,0)</f>
        <v>0</v>
      </c>
      <c r="L984" s="32" t="str">
        <f aca="false">IF(AND(J984=1,E984&lt;&gt;""),E984+ROW()/100000,"")</f>
        <v/>
      </c>
      <c r="M984" s="32" t="str">
        <f aca="false">IF(D984="Planned",ROW(),"")</f>
        <v/>
      </c>
      <c r="N984" s="32" t="str">
        <f aca="true">IF(K984=1,IF(E984="",0,TODAY()-E984)+ROW()/100000,"")</f>
        <v/>
      </c>
      <c r="O984" s="32" t="str">
        <f aca="false">IF(N984="","",RANK(N984,$N$2:$N$1000))</f>
        <v/>
      </c>
    </row>
    <row r="985" customFormat="false" ht="15" hidden="false" customHeight="false" outlineLevel="0" collapsed="false">
      <c r="A985" s="33"/>
      <c r="B985" s="33"/>
      <c r="C985" s="33"/>
      <c r="D985" s="33"/>
      <c r="E985" s="34"/>
      <c r="F985" s="34"/>
      <c r="G985" s="35" t="str">
        <f aca="true">IF(OR(E985="",J985=0),"",IF(F985&lt;&gt;"",F985-E985,TODAY()-E985))</f>
        <v/>
      </c>
      <c r="H985" s="29"/>
      <c r="I985" s="33"/>
      <c r="J985" s="32" t="n">
        <f aca="false">IF(OR(D985="",D985="Planned"),0,1)</f>
        <v>0</v>
      </c>
      <c r="K985" s="32" t="n">
        <f aca="false">IF(OR(D985="Under review",D985="Revision requested"),1,0)</f>
        <v>0</v>
      </c>
      <c r="L985" s="32" t="str">
        <f aca="false">IF(AND(J985=1,E985&lt;&gt;""),E985+ROW()/100000,"")</f>
        <v/>
      </c>
      <c r="M985" s="32" t="str">
        <f aca="false">IF(D985="Planned",ROW(),"")</f>
        <v/>
      </c>
      <c r="N985" s="32" t="str">
        <f aca="true">IF(K985=1,IF(E985="",0,TODAY()-E985)+ROW()/100000,"")</f>
        <v/>
      </c>
      <c r="O985" s="32" t="str">
        <f aca="false">IF(N985="","",RANK(N985,$N$2:$N$1000))</f>
        <v/>
      </c>
    </row>
    <row r="986" customFormat="false" ht="15" hidden="false" customHeight="false" outlineLevel="0" collapsed="false">
      <c r="A986" s="33"/>
      <c r="B986" s="33"/>
      <c r="C986" s="33"/>
      <c r="D986" s="33"/>
      <c r="E986" s="34"/>
      <c r="F986" s="34"/>
      <c r="G986" s="35" t="str">
        <f aca="true">IF(OR(E986="",J986=0),"",IF(F986&lt;&gt;"",F986-E986,TODAY()-E986))</f>
        <v/>
      </c>
      <c r="H986" s="29"/>
      <c r="I986" s="33"/>
      <c r="J986" s="32" t="n">
        <f aca="false">IF(OR(D986="",D986="Planned"),0,1)</f>
        <v>0</v>
      </c>
      <c r="K986" s="32" t="n">
        <f aca="false">IF(OR(D986="Under review",D986="Revision requested"),1,0)</f>
        <v>0</v>
      </c>
      <c r="L986" s="32" t="str">
        <f aca="false">IF(AND(J986=1,E986&lt;&gt;""),E986+ROW()/100000,"")</f>
        <v/>
      </c>
      <c r="M986" s="32" t="str">
        <f aca="false">IF(D986="Planned",ROW(),"")</f>
        <v/>
      </c>
      <c r="N986" s="32" t="str">
        <f aca="true">IF(K986=1,IF(E986="",0,TODAY()-E986)+ROW()/100000,"")</f>
        <v/>
      </c>
      <c r="O986" s="32" t="str">
        <f aca="false">IF(N986="","",RANK(N986,$N$2:$N$1000))</f>
        <v/>
      </c>
    </row>
    <row r="987" customFormat="false" ht="15" hidden="false" customHeight="false" outlineLevel="0" collapsed="false">
      <c r="A987" s="33"/>
      <c r="B987" s="33"/>
      <c r="C987" s="33"/>
      <c r="D987" s="33"/>
      <c r="E987" s="34"/>
      <c r="F987" s="34"/>
      <c r="G987" s="35" t="str">
        <f aca="true">IF(OR(E987="",J987=0),"",IF(F987&lt;&gt;"",F987-E987,TODAY()-E987))</f>
        <v/>
      </c>
      <c r="H987" s="29"/>
      <c r="I987" s="33"/>
      <c r="J987" s="32" t="n">
        <f aca="false">IF(OR(D987="",D987="Planned"),0,1)</f>
        <v>0</v>
      </c>
      <c r="K987" s="32" t="n">
        <f aca="false">IF(OR(D987="Under review",D987="Revision requested"),1,0)</f>
        <v>0</v>
      </c>
      <c r="L987" s="32" t="str">
        <f aca="false">IF(AND(J987=1,E987&lt;&gt;""),E987+ROW()/100000,"")</f>
        <v/>
      </c>
      <c r="M987" s="32" t="str">
        <f aca="false">IF(D987="Planned",ROW(),"")</f>
        <v/>
      </c>
      <c r="N987" s="32" t="str">
        <f aca="true">IF(K987=1,IF(E987="",0,TODAY()-E987)+ROW()/100000,"")</f>
        <v/>
      </c>
      <c r="O987" s="32" t="str">
        <f aca="false">IF(N987="","",RANK(N987,$N$2:$N$1000))</f>
        <v/>
      </c>
    </row>
    <row r="988" customFormat="false" ht="15" hidden="false" customHeight="false" outlineLevel="0" collapsed="false">
      <c r="A988" s="33"/>
      <c r="B988" s="33"/>
      <c r="C988" s="33"/>
      <c r="D988" s="33"/>
      <c r="E988" s="34"/>
      <c r="F988" s="34"/>
      <c r="G988" s="35" t="str">
        <f aca="true">IF(OR(E988="",J988=0),"",IF(F988&lt;&gt;"",F988-E988,TODAY()-E988))</f>
        <v/>
      </c>
      <c r="H988" s="29"/>
      <c r="I988" s="33"/>
      <c r="J988" s="32" t="n">
        <f aca="false">IF(OR(D988="",D988="Planned"),0,1)</f>
        <v>0</v>
      </c>
      <c r="K988" s="32" t="n">
        <f aca="false">IF(OR(D988="Under review",D988="Revision requested"),1,0)</f>
        <v>0</v>
      </c>
      <c r="L988" s="32" t="str">
        <f aca="false">IF(AND(J988=1,E988&lt;&gt;""),E988+ROW()/100000,"")</f>
        <v/>
      </c>
      <c r="M988" s="32" t="str">
        <f aca="false">IF(D988="Planned",ROW(),"")</f>
        <v/>
      </c>
      <c r="N988" s="32" t="str">
        <f aca="true">IF(K988=1,IF(E988="",0,TODAY()-E988)+ROW()/100000,"")</f>
        <v/>
      </c>
      <c r="O988" s="32" t="str">
        <f aca="false">IF(N988="","",RANK(N988,$N$2:$N$1000))</f>
        <v/>
      </c>
    </row>
    <row r="989" customFormat="false" ht="15" hidden="false" customHeight="false" outlineLevel="0" collapsed="false">
      <c r="A989" s="33"/>
      <c r="B989" s="33"/>
      <c r="C989" s="33"/>
      <c r="D989" s="33"/>
      <c r="E989" s="34"/>
      <c r="F989" s="34"/>
      <c r="G989" s="35" t="str">
        <f aca="true">IF(OR(E989="",J989=0),"",IF(F989&lt;&gt;"",F989-E989,TODAY()-E989))</f>
        <v/>
      </c>
      <c r="H989" s="29"/>
      <c r="I989" s="33"/>
      <c r="J989" s="32" t="n">
        <f aca="false">IF(OR(D989="",D989="Planned"),0,1)</f>
        <v>0</v>
      </c>
      <c r="K989" s="32" t="n">
        <f aca="false">IF(OR(D989="Under review",D989="Revision requested"),1,0)</f>
        <v>0</v>
      </c>
      <c r="L989" s="32" t="str">
        <f aca="false">IF(AND(J989=1,E989&lt;&gt;""),E989+ROW()/100000,"")</f>
        <v/>
      </c>
      <c r="M989" s="32" t="str">
        <f aca="false">IF(D989="Planned",ROW(),"")</f>
        <v/>
      </c>
      <c r="N989" s="32" t="str">
        <f aca="true">IF(K989=1,IF(E989="",0,TODAY()-E989)+ROW()/100000,"")</f>
        <v/>
      </c>
      <c r="O989" s="32" t="str">
        <f aca="false">IF(N989="","",RANK(N989,$N$2:$N$1000))</f>
        <v/>
      </c>
    </row>
    <row r="990" customFormat="false" ht="15" hidden="false" customHeight="false" outlineLevel="0" collapsed="false">
      <c r="A990" s="33"/>
      <c r="B990" s="33"/>
      <c r="C990" s="33"/>
      <c r="D990" s="33"/>
      <c r="E990" s="34"/>
      <c r="F990" s="34"/>
      <c r="G990" s="35" t="str">
        <f aca="true">IF(OR(E990="",J990=0),"",IF(F990&lt;&gt;"",F990-E990,TODAY()-E990))</f>
        <v/>
      </c>
      <c r="H990" s="29"/>
      <c r="I990" s="33"/>
      <c r="J990" s="32" t="n">
        <f aca="false">IF(OR(D990="",D990="Planned"),0,1)</f>
        <v>0</v>
      </c>
      <c r="K990" s="32" t="n">
        <f aca="false">IF(OR(D990="Under review",D990="Revision requested"),1,0)</f>
        <v>0</v>
      </c>
      <c r="L990" s="32" t="str">
        <f aca="false">IF(AND(J990=1,E990&lt;&gt;""),E990+ROW()/100000,"")</f>
        <v/>
      </c>
      <c r="M990" s="32" t="str">
        <f aca="false">IF(D990="Planned",ROW(),"")</f>
        <v/>
      </c>
      <c r="N990" s="32" t="str">
        <f aca="true">IF(K990=1,IF(E990="",0,TODAY()-E990)+ROW()/100000,"")</f>
        <v/>
      </c>
      <c r="O990" s="32" t="str">
        <f aca="false">IF(N990="","",RANK(N990,$N$2:$N$1000))</f>
        <v/>
      </c>
    </row>
    <row r="991" customFormat="false" ht="15" hidden="false" customHeight="false" outlineLevel="0" collapsed="false">
      <c r="A991" s="33"/>
      <c r="B991" s="33"/>
      <c r="C991" s="33"/>
      <c r="D991" s="33"/>
      <c r="E991" s="34"/>
      <c r="F991" s="34"/>
      <c r="G991" s="35" t="str">
        <f aca="true">IF(OR(E991="",J991=0),"",IF(F991&lt;&gt;"",F991-E991,TODAY()-E991))</f>
        <v/>
      </c>
      <c r="H991" s="29"/>
      <c r="I991" s="33"/>
      <c r="J991" s="32" t="n">
        <f aca="false">IF(OR(D991="",D991="Planned"),0,1)</f>
        <v>0</v>
      </c>
      <c r="K991" s="32" t="n">
        <f aca="false">IF(OR(D991="Under review",D991="Revision requested"),1,0)</f>
        <v>0</v>
      </c>
      <c r="L991" s="32" t="str">
        <f aca="false">IF(AND(J991=1,E991&lt;&gt;""),E991+ROW()/100000,"")</f>
        <v/>
      </c>
      <c r="M991" s="32" t="str">
        <f aca="false">IF(D991="Planned",ROW(),"")</f>
        <v/>
      </c>
      <c r="N991" s="32" t="str">
        <f aca="true">IF(K991=1,IF(E991="",0,TODAY()-E991)+ROW()/100000,"")</f>
        <v/>
      </c>
      <c r="O991" s="32" t="str">
        <f aca="false">IF(N991="","",RANK(N991,$N$2:$N$1000))</f>
        <v/>
      </c>
    </row>
    <row r="992" customFormat="false" ht="15" hidden="false" customHeight="false" outlineLevel="0" collapsed="false">
      <c r="A992" s="33"/>
      <c r="B992" s="33"/>
      <c r="C992" s="33"/>
      <c r="D992" s="33"/>
      <c r="E992" s="34"/>
      <c r="F992" s="34"/>
      <c r="G992" s="35" t="str">
        <f aca="true">IF(OR(E992="",J992=0),"",IF(F992&lt;&gt;"",F992-E992,TODAY()-E992))</f>
        <v/>
      </c>
      <c r="H992" s="29"/>
      <c r="I992" s="33"/>
      <c r="J992" s="32" t="n">
        <f aca="false">IF(OR(D992="",D992="Planned"),0,1)</f>
        <v>0</v>
      </c>
      <c r="K992" s="32" t="n">
        <f aca="false">IF(OR(D992="Under review",D992="Revision requested"),1,0)</f>
        <v>0</v>
      </c>
      <c r="L992" s="32" t="str">
        <f aca="false">IF(AND(J992=1,E992&lt;&gt;""),E992+ROW()/100000,"")</f>
        <v/>
      </c>
      <c r="M992" s="32" t="str">
        <f aca="false">IF(D992="Planned",ROW(),"")</f>
        <v/>
      </c>
      <c r="N992" s="32" t="str">
        <f aca="true">IF(K992=1,IF(E992="",0,TODAY()-E992)+ROW()/100000,"")</f>
        <v/>
      </c>
      <c r="O992" s="32" t="str">
        <f aca="false">IF(N992="","",RANK(N992,$N$2:$N$1000))</f>
        <v/>
      </c>
    </row>
    <row r="993" customFormat="false" ht="15" hidden="false" customHeight="false" outlineLevel="0" collapsed="false">
      <c r="A993" s="33"/>
      <c r="B993" s="33"/>
      <c r="C993" s="33"/>
      <c r="D993" s="33"/>
      <c r="E993" s="34"/>
      <c r="F993" s="34"/>
      <c r="G993" s="35" t="str">
        <f aca="true">IF(OR(E993="",J993=0),"",IF(F993&lt;&gt;"",F993-E993,TODAY()-E993))</f>
        <v/>
      </c>
      <c r="H993" s="29"/>
      <c r="I993" s="33"/>
      <c r="J993" s="32" t="n">
        <f aca="false">IF(OR(D993="",D993="Planned"),0,1)</f>
        <v>0</v>
      </c>
      <c r="K993" s="32" t="n">
        <f aca="false">IF(OR(D993="Under review",D993="Revision requested"),1,0)</f>
        <v>0</v>
      </c>
      <c r="L993" s="32" t="str">
        <f aca="false">IF(AND(J993=1,E993&lt;&gt;""),E993+ROW()/100000,"")</f>
        <v/>
      </c>
      <c r="M993" s="32" t="str">
        <f aca="false">IF(D993="Planned",ROW(),"")</f>
        <v/>
      </c>
      <c r="N993" s="32" t="str">
        <f aca="true">IF(K993=1,IF(E993="",0,TODAY()-E993)+ROW()/100000,"")</f>
        <v/>
      </c>
      <c r="O993" s="32" t="str">
        <f aca="false">IF(N993="","",RANK(N993,$N$2:$N$1000))</f>
        <v/>
      </c>
    </row>
    <row r="994" customFormat="false" ht="15" hidden="false" customHeight="false" outlineLevel="0" collapsed="false">
      <c r="A994" s="33"/>
      <c r="B994" s="33"/>
      <c r="C994" s="33"/>
      <c r="D994" s="33"/>
      <c r="E994" s="34"/>
      <c r="F994" s="34"/>
      <c r="G994" s="35" t="str">
        <f aca="true">IF(OR(E994="",J994=0),"",IF(F994&lt;&gt;"",F994-E994,TODAY()-E994))</f>
        <v/>
      </c>
      <c r="H994" s="29"/>
      <c r="I994" s="33"/>
      <c r="J994" s="32" t="n">
        <f aca="false">IF(OR(D994="",D994="Planned"),0,1)</f>
        <v>0</v>
      </c>
      <c r="K994" s="32" t="n">
        <f aca="false">IF(OR(D994="Under review",D994="Revision requested"),1,0)</f>
        <v>0</v>
      </c>
      <c r="L994" s="32" t="str">
        <f aca="false">IF(AND(J994=1,E994&lt;&gt;""),E994+ROW()/100000,"")</f>
        <v/>
      </c>
      <c r="M994" s="32" t="str">
        <f aca="false">IF(D994="Planned",ROW(),"")</f>
        <v/>
      </c>
      <c r="N994" s="32" t="str">
        <f aca="true">IF(K994=1,IF(E994="",0,TODAY()-E994)+ROW()/100000,"")</f>
        <v/>
      </c>
      <c r="O994" s="32" t="str">
        <f aca="false">IF(N994="","",RANK(N994,$N$2:$N$1000))</f>
        <v/>
      </c>
    </row>
    <row r="995" customFormat="false" ht="15" hidden="false" customHeight="false" outlineLevel="0" collapsed="false">
      <c r="A995" s="33"/>
      <c r="B995" s="33"/>
      <c r="C995" s="33"/>
      <c r="D995" s="33"/>
      <c r="E995" s="34"/>
      <c r="F995" s="34"/>
      <c r="G995" s="35" t="str">
        <f aca="true">IF(OR(E995="",J995=0),"",IF(F995&lt;&gt;"",F995-E995,TODAY()-E995))</f>
        <v/>
      </c>
      <c r="H995" s="29"/>
      <c r="I995" s="33"/>
      <c r="J995" s="32" t="n">
        <f aca="false">IF(OR(D995="",D995="Planned"),0,1)</f>
        <v>0</v>
      </c>
      <c r="K995" s="32" t="n">
        <f aca="false">IF(OR(D995="Under review",D995="Revision requested"),1,0)</f>
        <v>0</v>
      </c>
      <c r="L995" s="32" t="str">
        <f aca="false">IF(AND(J995=1,E995&lt;&gt;""),E995+ROW()/100000,"")</f>
        <v/>
      </c>
      <c r="M995" s="32" t="str">
        <f aca="false">IF(D995="Planned",ROW(),"")</f>
        <v/>
      </c>
      <c r="N995" s="32" t="str">
        <f aca="true">IF(K995=1,IF(E995="",0,TODAY()-E995)+ROW()/100000,"")</f>
        <v/>
      </c>
      <c r="O995" s="32" t="str">
        <f aca="false">IF(N995="","",RANK(N995,$N$2:$N$1000))</f>
        <v/>
      </c>
    </row>
    <row r="996" customFormat="false" ht="15" hidden="false" customHeight="false" outlineLevel="0" collapsed="false">
      <c r="A996" s="33"/>
      <c r="B996" s="33"/>
      <c r="C996" s="33"/>
      <c r="D996" s="33"/>
      <c r="E996" s="34"/>
      <c r="F996" s="34"/>
      <c r="G996" s="35" t="str">
        <f aca="true">IF(OR(E996="",J996=0),"",IF(F996&lt;&gt;"",F996-E996,TODAY()-E996))</f>
        <v/>
      </c>
      <c r="H996" s="29"/>
      <c r="I996" s="33"/>
      <c r="J996" s="32" t="n">
        <f aca="false">IF(OR(D996="",D996="Planned"),0,1)</f>
        <v>0</v>
      </c>
      <c r="K996" s="32" t="n">
        <f aca="false">IF(OR(D996="Under review",D996="Revision requested"),1,0)</f>
        <v>0</v>
      </c>
      <c r="L996" s="32" t="str">
        <f aca="false">IF(AND(J996=1,E996&lt;&gt;""),E996+ROW()/100000,"")</f>
        <v/>
      </c>
      <c r="M996" s="32" t="str">
        <f aca="false">IF(D996="Planned",ROW(),"")</f>
        <v/>
      </c>
      <c r="N996" s="32" t="str">
        <f aca="true">IF(K996=1,IF(E996="",0,TODAY()-E996)+ROW()/100000,"")</f>
        <v/>
      </c>
      <c r="O996" s="32" t="str">
        <f aca="false">IF(N996="","",RANK(N996,$N$2:$N$1000))</f>
        <v/>
      </c>
    </row>
    <row r="997" customFormat="false" ht="15" hidden="false" customHeight="false" outlineLevel="0" collapsed="false">
      <c r="A997" s="33"/>
      <c r="B997" s="33"/>
      <c r="C997" s="33"/>
      <c r="D997" s="33"/>
      <c r="E997" s="34"/>
      <c r="F997" s="34"/>
      <c r="G997" s="35" t="str">
        <f aca="true">IF(OR(E997="",J997=0),"",IF(F997&lt;&gt;"",F997-E997,TODAY()-E997))</f>
        <v/>
      </c>
      <c r="H997" s="29"/>
      <c r="I997" s="33"/>
      <c r="J997" s="32" t="n">
        <f aca="false">IF(OR(D997="",D997="Planned"),0,1)</f>
        <v>0</v>
      </c>
      <c r="K997" s="32" t="n">
        <f aca="false">IF(OR(D997="Under review",D997="Revision requested"),1,0)</f>
        <v>0</v>
      </c>
      <c r="L997" s="32" t="str">
        <f aca="false">IF(AND(J997=1,E997&lt;&gt;""),E997+ROW()/100000,"")</f>
        <v/>
      </c>
      <c r="M997" s="32" t="str">
        <f aca="false">IF(D997="Planned",ROW(),"")</f>
        <v/>
      </c>
      <c r="N997" s="32" t="str">
        <f aca="true">IF(K997=1,IF(E997="",0,TODAY()-E997)+ROW()/100000,"")</f>
        <v/>
      </c>
      <c r="O997" s="32" t="str">
        <f aca="false">IF(N997="","",RANK(N997,$N$2:$N$1000))</f>
        <v/>
      </c>
    </row>
    <row r="998" customFormat="false" ht="15" hidden="false" customHeight="false" outlineLevel="0" collapsed="false">
      <c r="A998" s="33"/>
      <c r="B998" s="33"/>
      <c r="C998" s="33"/>
      <c r="D998" s="33"/>
      <c r="E998" s="34"/>
      <c r="F998" s="34"/>
      <c r="G998" s="35" t="str">
        <f aca="true">IF(OR(E998="",J998=0),"",IF(F998&lt;&gt;"",F998-E998,TODAY()-E998))</f>
        <v/>
      </c>
      <c r="H998" s="29"/>
      <c r="I998" s="33"/>
      <c r="J998" s="32" t="n">
        <f aca="false">IF(OR(D998="",D998="Planned"),0,1)</f>
        <v>0</v>
      </c>
      <c r="K998" s="32" t="n">
        <f aca="false">IF(OR(D998="Under review",D998="Revision requested"),1,0)</f>
        <v>0</v>
      </c>
      <c r="L998" s="32" t="str">
        <f aca="false">IF(AND(J998=1,E998&lt;&gt;""),E998+ROW()/100000,"")</f>
        <v/>
      </c>
      <c r="M998" s="32" t="str">
        <f aca="false">IF(D998="Planned",ROW(),"")</f>
        <v/>
      </c>
      <c r="N998" s="32" t="str">
        <f aca="true">IF(K998=1,IF(E998="",0,TODAY()-E998)+ROW()/100000,"")</f>
        <v/>
      </c>
      <c r="O998" s="32" t="str">
        <f aca="false">IF(N998="","",RANK(N998,$N$2:$N$1000))</f>
        <v/>
      </c>
    </row>
    <row r="999" customFormat="false" ht="15" hidden="false" customHeight="false" outlineLevel="0" collapsed="false">
      <c r="A999" s="33"/>
      <c r="B999" s="33"/>
      <c r="C999" s="33"/>
      <c r="D999" s="33"/>
      <c r="E999" s="34"/>
      <c r="F999" s="34"/>
      <c r="G999" s="35" t="str">
        <f aca="true">IF(OR(E999="",J999=0),"",IF(F999&lt;&gt;"",F999-E999,TODAY()-E999))</f>
        <v/>
      </c>
      <c r="H999" s="29"/>
      <c r="I999" s="33"/>
      <c r="J999" s="32" t="n">
        <f aca="false">IF(OR(D999="",D999="Planned"),0,1)</f>
        <v>0</v>
      </c>
      <c r="K999" s="32" t="n">
        <f aca="false">IF(OR(D999="Under review",D999="Revision requested"),1,0)</f>
        <v>0</v>
      </c>
      <c r="L999" s="32" t="str">
        <f aca="false">IF(AND(J999=1,E999&lt;&gt;""),E999+ROW()/100000,"")</f>
        <v/>
      </c>
      <c r="M999" s="32" t="str">
        <f aca="false">IF(D999="Planned",ROW(),"")</f>
        <v/>
      </c>
      <c r="N999" s="32" t="str">
        <f aca="true">IF(K999=1,IF(E999="",0,TODAY()-E999)+ROW()/100000,"")</f>
        <v/>
      </c>
      <c r="O999" s="32" t="str">
        <f aca="false">IF(N999="","",RANK(N999,$N$2:$N$1000))</f>
        <v/>
      </c>
    </row>
    <row r="1000" customFormat="false" ht="15" hidden="false" customHeight="false" outlineLevel="0" collapsed="false">
      <c r="A1000" s="33"/>
      <c r="B1000" s="33"/>
      <c r="C1000" s="33"/>
      <c r="D1000" s="33"/>
      <c r="E1000" s="34"/>
      <c r="F1000" s="34"/>
      <c r="G1000" s="35" t="str">
        <f aca="true">IF(OR(E1000="",J1000=0),"",IF(F1000&lt;&gt;"",F1000-E1000,TODAY()-E1000))</f>
        <v/>
      </c>
      <c r="H1000" s="29"/>
      <c r="I1000" s="33"/>
      <c r="J1000" s="32" t="n">
        <f aca="false">IF(OR(D1000="",D1000="Planned"),0,1)</f>
        <v>0</v>
      </c>
      <c r="K1000" s="32" t="n">
        <f aca="false">IF(OR(D1000="Under review",D1000="Revision requested"),1,0)</f>
        <v>0</v>
      </c>
      <c r="L1000" s="32" t="str">
        <f aca="false">IF(AND(J1000=1,E1000&lt;&gt;""),E1000+ROW()/100000,"")</f>
        <v/>
      </c>
      <c r="M1000" s="32" t="str">
        <f aca="false">IF(D1000="Planned",ROW(),"")</f>
        <v/>
      </c>
      <c r="N1000" s="32" t="str">
        <f aca="true">IF(K1000=1,IF(E1000="",0,TODAY()-E1000)+ROW()/100000,"")</f>
        <v/>
      </c>
      <c r="O1000" s="32" t="str">
        <f aca="false">IF(N1000="","",RANK(N1000,$N$2:$N$1000))</f>
        <v/>
      </c>
    </row>
  </sheetData>
  <autoFilter ref="A1:I1000"/>
  <conditionalFormatting sqref="D2:D1000">
    <cfRule type="cellIs" priority="2" operator="equal" aboveAverage="0" equalAverage="0" bottom="0" percent="0" rank="0" text="" dxfId="3">
      <formula>"Under review"</formula>
    </cfRule>
    <cfRule type="cellIs" priority="3" operator="equal" aboveAverage="0" equalAverage="0" bottom="0" percent="0" rank="0" text="" dxfId="0">
      <formula>"Revision requested"</formula>
    </cfRule>
    <cfRule type="cellIs" priority="4" operator="equal" aboveAverage="0" equalAverage="0" bottom="0" percent="0" rank="0" text="" dxfId="5">
      <formula>"Rejected"</formula>
    </cfRule>
    <cfRule type="cellIs" priority="5" operator="equal" aboveAverage="0" equalAverage="0" bottom="0" percent="0" rank="0" text="" dxfId="5">
      <formula>"Returned by office"</formula>
    </cfRule>
    <cfRule type="cellIs" priority="6" operator="equal" aboveAverage="0" equalAverage="0" bottom="0" percent="0" rank="0" text="" dxfId="5">
      <formula>"Revision resubmitted"</formula>
    </cfRule>
    <cfRule type="cellIs" priority="7" operator="equal" aboveAverage="0" equalAverage="0" bottom="0" percent="0" rank="0" text="" dxfId="4">
      <formula>"Accepted"</formula>
    </cfRule>
    <cfRule type="cellIs" priority="8" operator="equal" aboveAverage="0" equalAverage="0" bottom="0" percent="0" rank="0" text="" dxfId="25">
      <formula>"Planned"</formula>
    </cfRule>
    <cfRule type="cellIs" priority="9" operator="equal" aboveAverage="0" equalAverage="0" bottom="0" percent="0" rank="0" text="" dxfId="5">
      <formula>"Withdrawn"</formula>
    </cfRule>
  </conditionalFormatting>
  <conditionalFormatting sqref="A2:C1000">
    <cfRule type="expression" priority="10" aboveAverage="0" equalAverage="0" bottom="0" percent="0" rank="0" text="" dxfId="26">
      <formula>$D2="Planned"</formula>
    </cfRule>
  </conditionalFormatting>
  <conditionalFormatting sqref="G2:G1000">
    <cfRule type="expression" priority="11" aboveAverage="0" equalAverage="0" bottom="0" percent="0" rank="0" text="" dxfId="7">
      <formula>AND($K2=1,ISNUMBER($G2),$G2&gt;Dashboard!$M$3)</formula>
    </cfRule>
  </conditionalFormatting>
  <conditionalFormatting sqref="A2:I1000">
    <cfRule type="expression" priority="12" aboveAverage="0" equalAverage="0" bottom="0" percent="0" rank="0" text="" dxfId="27">
      <formula>AND($A2&lt;&gt;"",$A2&lt;&gt;$A1,ROW()&gt;2)</formula>
    </cfRule>
  </conditionalFormatting>
  <dataValidations count="3">
    <dataValidation allowBlank="true" error="Pick a paper from the list (add new papers on the Papers sheet first)." errorStyle="stop" errorTitle="Unknown paper" operator="between" showDropDown="false" showErrorMessage="true" showInputMessage="false" sqref="A2:A1000" type="list">
      <formula1>Papers!$A$2:$A$81</formula1>
      <formula2>0</formula2>
    </dataValidation>
    <dataValidation allowBlank="true" errorStyle="stop" operator="between" showDropDown="false" showErrorMessage="false" showInputMessage="false" sqref="D2:D1000" type="list">
      <formula1>"Planned,Under review,Revision requested,Revision resubmitted,Rejected,Returned by office,Accepted,Withdrawn"</formula1>
      <formula2>0</formula2>
    </dataValidation>
    <dataValidation allowBlank="true" error="Enter a valid date." errorStyle="stop" operator="greaterThan" showDropDown="false" showErrorMessage="true" showInputMessage="false" sqref="E2:F10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7" min="4" style="0" width="22"/>
  </cols>
  <sheetData>
    <row r="1" customFormat="false" ht="15" hidden="false" customHeight="false" outlineLevel="0" collapsed="false">
      <c r="A1" s="0" t="s">
        <v>56</v>
      </c>
      <c r="B1" s="0" t="s">
        <v>369</v>
      </c>
      <c r="D1" s="0" t="s">
        <v>370</v>
      </c>
      <c r="E1" s="0" t="s">
        <v>371</v>
      </c>
      <c r="F1" s="0" t="s">
        <v>372</v>
      </c>
      <c r="G1" s="0" t="s">
        <v>373</v>
      </c>
    </row>
    <row r="2" customFormat="false" ht="15" hidden="false" customHeight="false" outlineLevel="0" collapsed="false">
      <c r="A2" s="0" t="s">
        <v>374</v>
      </c>
      <c r="B2" s="0" t="n">
        <f aca="false">COUNTIF(Papers!$F$2:$F$81,A2)</f>
        <v>0</v>
      </c>
      <c r="D2" s="37" t="n">
        <f aca="true">EDATE(DATE(YEAR(TODAY()),3*INT((MONTH(TODAY())-1)/3)+1,1),-3*11)</f>
        <v>45292</v>
      </c>
      <c r="E2" s="0" t="str">
        <f aca="false">YEAR(D2)&amp;" Q"&amp;INT((MONTH(D2)+2)/3)</f>
        <v>2024 Q1</v>
      </c>
      <c r="F2" s="21" t="n">
        <f aca="false">COUNTIFS(Submissions!$E$2:$E$1000,"&gt;="&amp;D2,Submissions!$E$2:$E$1000,"&lt;"&amp;EDATE(D2,3),Submissions!$J$2:$J$1000,1)</f>
        <v>0</v>
      </c>
      <c r="G2" s="21" t="n">
        <f aca="false">COUNTIFS(Submissions!$F$2:$F$1000,"&gt;="&amp;D2,Submissions!$F$2:$F$1000,"&lt;"&amp;EDATE(D2,3))</f>
        <v>0</v>
      </c>
    </row>
    <row r="3" customFormat="false" ht="15" hidden="false" customHeight="false" outlineLevel="0" collapsed="false">
      <c r="A3" s="0" t="s">
        <v>375</v>
      </c>
      <c r="B3" s="0" t="n">
        <f aca="false">COUNTIF(Papers!$F$2:$F$81,A3)</f>
        <v>3</v>
      </c>
      <c r="D3" s="37" t="n">
        <f aca="true">EDATE(DATE(YEAR(TODAY()),3*INT((MONTH(TODAY())-1)/3)+1,1),-3*10)</f>
        <v>45383</v>
      </c>
      <c r="E3" s="0" t="str">
        <f aca="false">YEAR(D3)&amp;" Q"&amp;INT((MONTH(D3)+2)/3)</f>
        <v>2024 Q2</v>
      </c>
      <c r="F3" s="21" t="n">
        <f aca="false">COUNTIFS(Submissions!$E$2:$E$1000,"&gt;="&amp;D3,Submissions!$E$2:$E$1000,"&lt;"&amp;EDATE(D3,3),Submissions!$J$2:$J$1000,1)</f>
        <v>7</v>
      </c>
      <c r="G3" s="21" t="n">
        <f aca="false">COUNTIFS(Submissions!$F$2:$F$1000,"&gt;="&amp;D3,Submissions!$F$2:$F$1000,"&lt;"&amp;EDATE(D3,3))</f>
        <v>3</v>
      </c>
    </row>
    <row r="4" customFormat="false" ht="15" hidden="false" customHeight="false" outlineLevel="0" collapsed="false">
      <c r="A4" s="0" t="s">
        <v>376</v>
      </c>
      <c r="B4" s="0" t="n">
        <f aca="false">COUNTIF(Papers!$F$2:$F$81,A4)</f>
        <v>3</v>
      </c>
      <c r="D4" s="37" t="n">
        <f aca="true">EDATE(DATE(YEAR(TODAY()),3*INT((MONTH(TODAY())-1)/3)+1,1),-3*9)</f>
        <v>45474</v>
      </c>
      <c r="E4" s="0" t="str">
        <f aca="false">YEAR(D4)&amp;" Q"&amp;INT((MONTH(D4)+2)/3)</f>
        <v>2024 Q3</v>
      </c>
      <c r="F4" s="21" t="n">
        <f aca="false">COUNTIFS(Submissions!$E$2:$E$1000,"&gt;="&amp;D4,Submissions!$E$2:$E$1000,"&lt;"&amp;EDATE(D4,3),Submissions!$J$2:$J$1000,1)</f>
        <v>11</v>
      </c>
      <c r="G4" s="21" t="n">
        <f aca="false">COUNTIFS(Submissions!$F$2:$F$1000,"&gt;="&amp;D4,Submissions!$F$2:$F$1000,"&lt;"&amp;EDATE(D4,3))</f>
        <v>10</v>
      </c>
    </row>
    <row r="5" customFormat="false" ht="15" hidden="false" customHeight="false" outlineLevel="0" collapsed="false">
      <c r="A5" s="0" t="s">
        <v>148</v>
      </c>
      <c r="B5" s="0" t="n">
        <f aca="false">COUNTIF(Papers!$F$2:$F$81,A5)</f>
        <v>10</v>
      </c>
      <c r="D5" s="37" t="n">
        <f aca="true">EDATE(DATE(YEAR(TODAY()),3*INT((MONTH(TODAY())-1)/3)+1,1),-3*8)</f>
        <v>45566</v>
      </c>
      <c r="E5" s="0" t="str">
        <f aca="false">YEAR(D5)&amp;" Q"&amp;INT((MONTH(D5)+2)/3)</f>
        <v>2024 Q4</v>
      </c>
      <c r="F5" s="21" t="n">
        <f aca="false">COUNTIFS(Submissions!$E$2:$E$1000,"&gt;="&amp;D5,Submissions!$E$2:$E$1000,"&lt;"&amp;EDATE(D5,3),Submissions!$J$2:$J$1000,1)</f>
        <v>7</v>
      </c>
      <c r="G5" s="21" t="n">
        <f aca="false">COUNTIFS(Submissions!$F$2:$F$1000,"&gt;="&amp;D5,Submissions!$F$2:$F$1000,"&lt;"&amp;EDATE(D5,3))</f>
        <v>9</v>
      </c>
    </row>
    <row r="6" customFormat="false" ht="15" hidden="false" customHeight="false" outlineLevel="0" collapsed="false">
      <c r="A6" s="0" t="s">
        <v>377</v>
      </c>
      <c r="B6" s="0" t="n">
        <f aca="false">COUNTIF(Papers!$F$2:$F$81,A6)</f>
        <v>0</v>
      </c>
      <c r="D6" s="37" t="n">
        <f aca="true">EDATE(DATE(YEAR(TODAY()),3*INT((MONTH(TODAY())-1)/3)+1,1),-3*7)</f>
        <v>45658</v>
      </c>
      <c r="E6" s="0" t="str">
        <f aca="false">YEAR(D6)&amp;" Q"&amp;INT((MONTH(D6)+2)/3)</f>
        <v>2025 Q1</v>
      </c>
      <c r="F6" s="21" t="n">
        <f aca="false">COUNTIFS(Submissions!$E$2:$E$1000,"&gt;="&amp;D6,Submissions!$E$2:$E$1000,"&lt;"&amp;EDATE(D6,3),Submissions!$J$2:$J$1000,1)</f>
        <v>3</v>
      </c>
      <c r="G6" s="21" t="n">
        <f aca="false">COUNTIFS(Submissions!$F$2:$F$1000,"&gt;="&amp;D6,Submissions!$F$2:$F$1000,"&lt;"&amp;EDATE(D6,3))</f>
        <v>2</v>
      </c>
    </row>
    <row r="7" customFormat="false" ht="15" hidden="false" customHeight="false" outlineLevel="0" collapsed="false">
      <c r="A7" s="0" t="s">
        <v>86</v>
      </c>
      <c r="B7" s="0" t="n">
        <f aca="false">COUNTIF(Papers!$F$2:$F$81,A7)</f>
        <v>5</v>
      </c>
      <c r="D7" s="37" t="n">
        <f aca="true">EDATE(DATE(YEAR(TODAY()),3*INT((MONTH(TODAY())-1)/3)+1,1),-3*6)</f>
        <v>45748</v>
      </c>
      <c r="E7" s="0" t="str">
        <f aca="false">YEAR(D7)&amp;" Q"&amp;INT((MONTH(D7)+2)/3)</f>
        <v>2025 Q2</v>
      </c>
      <c r="F7" s="21" t="n">
        <f aca="false">COUNTIFS(Submissions!$E$2:$E$1000,"&gt;="&amp;D7,Submissions!$E$2:$E$1000,"&lt;"&amp;EDATE(D7,3),Submissions!$J$2:$J$1000,1)</f>
        <v>18</v>
      </c>
      <c r="G7" s="21" t="n">
        <f aca="false">COUNTIFS(Submissions!$F$2:$F$1000,"&gt;="&amp;D7,Submissions!$F$2:$F$1000,"&lt;"&amp;EDATE(D7,3))</f>
        <v>14</v>
      </c>
    </row>
    <row r="8" customFormat="false" ht="15" hidden="false" customHeight="false" outlineLevel="0" collapsed="false">
      <c r="A8" s="0" t="s">
        <v>378</v>
      </c>
      <c r="B8" s="0" t="n">
        <f aca="false">COUNTIF(Papers!$F$2:$F$81,A8)</f>
        <v>0</v>
      </c>
      <c r="D8" s="37" t="n">
        <f aca="true">EDATE(DATE(YEAR(TODAY()),3*INT((MONTH(TODAY())-1)/3)+1,1),-3*5)</f>
        <v>45839</v>
      </c>
      <c r="E8" s="0" t="str">
        <f aca="false">YEAR(D8)&amp;" Q"&amp;INT((MONTH(D8)+2)/3)</f>
        <v>2025 Q3</v>
      </c>
      <c r="F8" s="21" t="n">
        <f aca="false">COUNTIFS(Submissions!$E$2:$E$1000,"&gt;="&amp;D8,Submissions!$E$2:$E$1000,"&lt;"&amp;EDATE(D8,3),Submissions!$J$2:$J$1000,1)</f>
        <v>9</v>
      </c>
      <c r="G8" s="21" t="n">
        <f aca="false">COUNTIFS(Submissions!$F$2:$F$1000,"&gt;="&amp;D8,Submissions!$F$2:$F$1000,"&lt;"&amp;EDATE(D8,3))</f>
        <v>14</v>
      </c>
    </row>
    <row r="9" customFormat="false" ht="15" hidden="false" customHeight="false" outlineLevel="0" collapsed="false">
      <c r="D9" s="37" t="n">
        <f aca="true">EDATE(DATE(YEAR(TODAY()),3*INT((MONTH(TODAY())-1)/3)+1,1),-3*4)</f>
        <v>45931</v>
      </c>
      <c r="E9" s="0" t="str">
        <f aca="false">YEAR(D9)&amp;" Q"&amp;INT((MONTH(D9)+2)/3)</f>
        <v>2025 Q4</v>
      </c>
      <c r="F9" s="21" t="n">
        <f aca="false">COUNTIFS(Submissions!$E$2:$E$1000,"&gt;="&amp;D9,Submissions!$E$2:$E$1000,"&lt;"&amp;EDATE(D9,3),Submissions!$J$2:$J$1000,1)</f>
        <v>0</v>
      </c>
      <c r="G9" s="21" t="n">
        <f aca="false">COUNTIFS(Submissions!$F$2:$F$1000,"&gt;="&amp;D9,Submissions!$F$2:$F$1000,"&lt;"&amp;EDATE(D9,3))</f>
        <v>1</v>
      </c>
    </row>
    <row r="10" customFormat="false" ht="15" hidden="false" customHeight="false" outlineLevel="0" collapsed="false">
      <c r="D10" s="37" t="n">
        <f aca="true">EDATE(DATE(YEAR(TODAY()),3*INT((MONTH(TODAY())-1)/3)+1,1),-3*3)</f>
        <v>46023</v>
      </c>
      <c r="E10" s="0" t="str">
        <f aca="false">YEAR(D10)&amp;" Q"&amp;INT((MONTH(D10)+2)/3)</f>
        <v>2026 Q1</v>
      </c>
      <c r="F10" s="21" t="n">
        <f aca="false">COUNTIFS(Submissions!$E$2:$E$1000,"&gt;="&amp;D10,Submissions!$E$2:$E$1000,"&lt;"&amp;EDATE(D10,3),Submissions!$J$2:$J$1000,1)</f>
        <v>6</v>
      </c>
      <c r="G10" s="21" t="n">
        <f aca="false">COUNTIFS(Submissions!$F$2:$F$1000,"&gt;="&amp;D10,Submissions!$F$2:$F$1000,"&lt;"&amp;EDATE(D10,3))</f>
        <v>5</v>
      </c>
    </row>
    <row r="11" customFormat="false" ht="15" hidden="false" customHeight="false" outlineLevel="0" collapsed="false">
      <c r="D11" s="37" t="n">
        <f aca="true">EDATE(DATE(YEAR(TODAY()),3*INT((MONTH(TODAY())-1)/3)+1,1),-3*2)</f>
        <v>46113</v>
      </c>
      <c r="E11" s="0" t="str">
        <f aca="false">YEAR(D11)&amp;" Q"&amp;INT((MONTH(D11)+2)/3)</f>
        <v>2026 Q2</v>
      </c>
      <c r="F11" s="21" t="n">
        <f aca="false">COUNTIFS(Submissions!$E$2:$E$1000,"&gt;="&amp;D11,Submissions!$E$2:$E$1000,"&lt;"&amp;EDATE(D11,3),Submissions!$J$2:$J$1000,1)</f>
        <v>5</v>
      </c>
      <c r="G11" s="21" t="n">
        <f aca="false">COUNTIFS(Submissions!$F$2:$F$1000,"&gt;="&amp;D11,Submissions!$F$2:$F$1000,"&lt;"&amp;EDATE(D11,3))</f>
        <v>3</v>
      </c>
    </row>
    <row r="12" customFormat="false" ht="15" hidden="false" customHeight="false" outlineLevel="0" collapsed="false">
      <c r="D12" s="37" t="n">
        <f aca="true">EDATE(DATE(YEAR(TODAY()),3*INT((MONTH(TODAY())-1)/3)+1,1),-3*1)</f>
        <v>46204</v>
      </c>
      <c r="E12" s="0" t="str">
        <f aca="false">YEAR(D12)&amp;" Q"&amp;INT((MONTH(D12)+2)/3)</f>
        <v>2026 Q3</v>
      </c>
      <c r="F12" s="21" t="n">
        <f aca="false">COUNTIFS(Submissions!$E$2:$E$1000,"&gt;="&amp;D12,Submissions!$E$2:$E$1000,"&lt;"&amp;EDATE(D12,3),Submissions!$J$2:$J$1000,1)</f>
        <v>10</v>
      </c>
      <c r="G12" s="21" t="n">
        <f aca="false">COUNTIFS(Submissions!$F$2:$F$1000,"&gt;="&amp;D12,Submissions!$F$2:$F$1000,"&lt;"&amp;EDATE(D12,3))</f>
        <v>9</v>
      </c>
    </row>
    <row r="13" customFormat="false" ht="15" hidden="false" customHeight="false" outlineLevel="0" collapsed="false">
      <c r="D13" s="37" t="n">
        <f aca="true">EDATE(DATE(YEAR(TODAY()),3*INT((MONTH(TODAY())-1)/3)+1,1),-3*0)</f>
        <v>46296</v>
      </c>
      <c r="E13" s="0" t="str">
        <f aca="false">YEAR(D13)&amp;" Q"&amp;INT((MONTH(D13)+2)/3)</f>
        <v>2026 Q4</v>
      </c>
      <c r="F13" s="21" t="n">
        <f aca="false">COUNTIFS(Submissions!$E$2:$E$1000,"&gt;="&amp;D13,Submissions!$E$2:$E$1000,"&lt;"&amp;EDATE(D13,3),Submissions!$J$2:$J$1000,1)</f>
        <v>8</v>
      </c>
      <c r="G13" s="21" t="n">
        <f aca="false">COUNTIFS(Submissions!$F$2:$F$1000,"&gt;="&amp;D13,Submissions!$F$2:$F$1000,"&lt;"&amp;EDATE(D13,3))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2026-10-11T06:32:36Z</dcterms:created>
  <dc:creator>openpyxl</dc:creator>
  <dc:description/>
  <dc:language>en-US</dc:language>
  <cp:lastModifiedBy/>
  <dcterms:modified xsi:type="dcterms:W3CDTF">2026-10-11T06:32:36Z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